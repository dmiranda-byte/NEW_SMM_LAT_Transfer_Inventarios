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noshka\Desktop\"/>
    </mc:Choice>
  </mc:AlternateContent>
  <xr:revisionPtr revIDLastSave="0" documentId="13_ncr:1_{96A9D445-3E00-4EA9-AE5C-92BD6A28C5E5}" xr6:coauthVersionLast="43" xr6:coauthVersionMax="43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Hoja1" sheetId="2" state="hidden" r:id="rId1"/>
    <sheet name="Inventario al 24 Abril 2019" sheetId="3" r:id="rId2"/>
    <sheet name="Ventas 2018- 2019" sheetId="6" r:id="rId3"/>
    <sheet name="ExistenciaenSAP_TIENDA1 (3)" sheetId="1" state="hidden" r:id="rId4"/>
  </sheets>
  <externalReferences>
    <externalReference r:id="rId5"/>
  </externalReferences>
  <definedNames>
    <definedName name="_xlnm._FilterDatabase" localSheetId="1" hidden="1">'Inventario al 24 Abril 2019'!$A$1:$I$120</definedName>
  </definedNames>
  <calcPr calcId="191029"/>
  <pivotCaches>
    <pivotCache cacheId="1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O5" i="6" l="1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O33" i="6"/>
  <c r="AO34" i="6"/>
  <c r="AO35" i="6"/>
  <c r="AO36" i="6"/>
  <c r="AO37" i="6"/>
  <c r="AO38" i="6"/>
  <c r="AO39" i="6"/>
  <c r="AO40" i="6"/>
  <c r="AO41" i="6"/>
  <c r="AO42" i="6"/>
  <c r="AO43" i="6"/>
  <c r="AO44" i="6"/>
  <c r="AO45" i="6"/>
  <c r="AO46" i="6"/>
  <c r="AO47" i="6"/>
  <c r="AO48" i="6"/>
  <c r="AO49" i="6"/>
  <c r="AO50" i="6"/>
  <c r="AO51" i="6"/>
  <c r="AO52" i="6"/>
  <c r="AO53" i="6"/>
  <c r="AO54" i="6"/>
  <c r="AO55" i="6"/>
  <c r="AO56" i="6"/>
  <c r="AO57" i="6"/>
  <c r="AO58" i="6"/>
  <c r="AO59" i="6"/>
  <c r="AO60" i="6"/>
  <c r="AO61" i="6"/>
  <c r="AO62" i="6"/>
  <c r="AO63" i="6"/>
  <c r="AO64" i="6"/>
  <c r="AO65" i="6"/>
  <c r="AO66" i="6"/>
  <c r="AO67" i="6"/>
  <c r="AO68" i="6"/>
  <c r="AO69" i="6"/>
  <c r="AO70" i="6"/>
  <c r="AO71" i="6"/>
  <c r="AO72" i="6"/>
  <c r="AO73" i="6"/>
  <c r="AO74" i="6"/>
  <c r="AO75" i="6"/>
  <c r="AO76" i="6"/>
  <c r="AO77" i="6"/>
  <c r="AO78" i="6"/>
  <c r="AO79" i="6"/>
  <c r="AO80" i="6"/>
  <c r="AO81" i="6"/>
  <c r="AO82" i="6"/>
  <c r="AO83" i="6"/>
  <c r="AO84" i="6"/>
  <c r="AO85" i="6"/>
  <c r="AO86" i="6"/>
  <c r="AO87" i="6"/>
  <c r="AO88" i="6"/>
  <c r="AO89" i="6"/>
  <c r="AO90" i="6"/>
  <c r="AO91" i="6"/>
  <c r="AO92" i="6"/>
  <c r="AO93" i="6"/>
  <c r="AO94" i="6"/>
  <c r="AO95" i="6"/>
  <c r="AO96" i="6"/>
  <c r="AO97" i="6"/>
  <c r="AO98" i="6"/>
  <c r="AO99" i="6"/>
  <c r="AO100" i="6"/>
  <c r="AO101" i="6"/>
  <c r="AO102" i="6"/>
  <c r="AO103" i="6"/>
  <c r="AO104" i="6"/>
  <c r="AO105" i="6"/>
  <c r="AO106" i="6"/>
  <c r="AO107" i="6"/>
  <c r="AO108" i="6"/>
  <c r="AO109" i="6"/>
  <c r="AO110" i="6"/>
  <c r="AO111" i="6"/>
  <c r="AO112" i="6"/>
  <c r="AO113" i="6"/>
  <c r="AO114" i="6"/>
  <c r="AO115" i="6"/>
  <c r="AO116" i="6"/>
  <c r="AO117" i="6"/>
  <c r="AO118" i="6"/>
  <c r="AO119" i="6"/>
  <c r="AO120" i="6"/>
  <c r="AO121" i="6"/>
  <c r="AO122" i="6"/>
  <c r="AO123" i="6"/>
  <c r="AO124" i="6"/>
  <c r="AO125" i="6"/>
  <c r="AO126" i="6"/>
  <c r="AO127" i="6"/>
  <c r="AO128" i="6"/>
  <c r="AO129" i="6"/>
  <c r="AO130" i="6"/>
  <c r="AO131" i="6"/>
  <c r="AO132" i="6"/>
  <c r="AO133" i="6"/>
  <c r="AO134" i="6"/>
  <c r="AO135" i="6"/>
  <c r="AO136" i="6"/>
  <c r="AO137" i="6"/>
  <c r="AO138" i="6"/>
  <c r="AO139" i="6"/>
  <c r="AO140" i="6"/>
  <c r="AO141" i="6"/>
  <c r="AO142" i="6"/>
  <c r="AO143" i="6"/>
  <c r="AO144" i="6"/>
  <c r="AO145" i="6"/>
  <c r="AO146" i="6"/>
  <c r="AO147" i="6"/>
  <c r="AO148" i="6"/>
  <c r="AO149" i="6"/>
  <c r="AO150" i="6"/>
  <c r="AO151" i="6"/>
  <c r="AO152" i="6"/>
  <c r="AO153" i="6"/>
  <c r="AO154" i="6"/>
  <c r="AO155" i="6"/>
  <c r="AO156" i="6"/>
  <c r="AO157" i="6"/>
  <c r="AO158" i="6"/>
  <c r="AO159" i="6"/>
  <c r="AO160" i="6"/>
  <c r="AO161" i="6"/>
  <c r="AO162" i="6"/>
  <c r="AO163" i="6"/>
  <c r="AO164" i="6"/>
  <c r="AO165" i="6"/>
  <c r="AO166" i="6"/>
  <c r="AO167" i="6"/>
  <c r="AO168" i="6"/>
  <c r="AO169" i="6"/>
  <c r="AO170" i="6"/>
  <c r="AO171" i="6"/>
  <c r="AO172" i="6"/>
  <c r="AO173" i="6"/>
  <c r="AO174" i="6"/>
  <c r="AO175" i="6"/>
  <c r="AO176" i="6"/>
  <c r="AO177" i="6"/>
  <c r="AO178" i="6"/>
  <c r="AO179" i="6"/>
  <c r="AO180" i="6"/>
  <c r="AO181" i="6"/>
  <c r="AO182" i="6"/>
  <c r="AO183" i="6"/>
  <c r="AO184" i="6"/>
  <c r="AO185" i="6"/>
  <c r="AO186" i="6"/>
  <c r="AO187" i="6"/>
  <c r="AO188" i="6"/>
  <c r="AO189" i="6"/>
  <c r="AO190" i="6"/>
  <c r="AO191" i="6"/>
  <c r="AO192" i="6"/>
  <c r="AO193" i="6"/>
  <c r="AO194" i="6"/>
  <c r="AO195" i="6"/>
  <c r="AO196" i="6"/>
  <c r="AO197" i="6"/>
  <c r="AO198" i="6"/>
  <c r="AO199" i="6"/>
  <c r="AO200" i="6"/>
  <c r="AO201" i="6"/>
  <c r="AO202" i="6"/>
  <c r="AO203" i="6"/>
  <c r="AO204" i="6"/>
  <c r="AO205" i="6"/>
  <c r="AO206" i="6"/>
  <c r="AO207" i="6"/>
  <c r="AO208" i="6"/>
  <c r="AO209" i="6"/>
  <c r="AO210" i="6"/>
  <c r="AO211" i="6"/>
  <c r="AO212" i="6"/>
  <c r="AO213" i="6"/>
  <c r="AO214" i="6"/>
  <c r="AO215" i="6"/>
  <c r="AO216" i="6"/>
  <c r="AO217" i="6"/>
  <c r="AO218" i="6"/>
  <c r="AO219" i="6"/>
  <c r="AO220" i="6"/>
  <c r="AO221" i="6"/>
  <c r="AO222" i="6"/>
  <c r="AO223" i="6"/>
  <c r="AO224" i="6"/>
  <c r="AO225" i="6"/>
  <c r="AO226" i="6"/>
  <c r="AO227" i="6"/>
  <c r="AO228" i="6"/>
  <c r="AO229" i="6"/>
  <c r="AO230" i="6"/>
  <c r="AO231" i="6"/>
  <c r="AO232" i="6"/>
  <c r="AO233" i="6"/>
  <c r="AO234" i="6"/>
  <c r="AO235" i="6"/>
  <c r="AO236" i="6"/>
  <c r="AO237" i="6"/>
  <c r="AO238" i="6"/>
  <c r="AO239" i="6"/>
  <c r="AO240" i="6"/>
  <c r="AO241" i="6"/>
  <c r="AO242" i="6"/>
  <c r="AO243" i="6"/>
  <c r="AO244" i="6"/>
  <c r="AO245" i="6"/>
  <c r="AO246" i="6"/>
  <c r="AO247" i="6"/>
  <c r="AO248" i="6"/>
  <c r="AO249" i="6"/>
  <c r="AO250" i="6"/>
  <c r="AO251" i="6"/>
  <c r="AO252" i="6"/>
  <c r="AO253" i="6"/>
  <c r="AO254" i="6"/>
  <c r="AO255" i="6"/>
  <c r="AO256" i="6"/>
  <c r="AO257" i="6"/>
  <c r="AO258" i="6"/>
  <c r="AO259" i="6"/>
  <c r="AO260" i="6"/>
  <c r="AO261" i="6"/>
  <c r="AO262" i="6"/>
  <c r="AO263" i="6"/>
  <c r="AO264" i="6"/>
  <c r="AO265" i="6"/>
  <c r="AO266" i="6"/>
  <c r="AO267" i="6"/>
  <c r="AO268" i="6"/>
  <c r="AO269" i="6"/>
  <c r="AO270" i="6"/>
  <c r="AO271" i="6"/>
  <c r="AO272" i="6"/>
  <c r="AO273" i="6"/>
  <c r="AO274" i="6"/>
  <c r="AO275" i="6"/>
  <c r="AO276" i="6"/>
  <c r="AO277" i="6"/>
  <c r="AO278" i="6"/>
  <c r="AO279" i="6"/>
  <c r="AO280" i="6"/>
  <c r="AO281" i="6"/>
  <c r="AO282" i="6"/>
  <c r="AO283" i="6"/>
  <c r="AO284" i="6"/>
  <c r="AO285" i="6"/>
  <c r="AO286" i="6"/>
  <c r="AO287" i="6"/>
  <c r="AO288" i="6"/>
  <c r="AO289" i="6"/>
  <c r="AO290" i="6"/>
  <c r="AO291" i="6"/>
  <c r="AO292" i="6"/>
  <c r="AO293" i="6"/>
  <c r="AO294" i="6"/>
  <c r="AO295" i="6"/>
  <c r="AO296" i="6"/>
  <c r="AO297" i="6"/>
  <c r="AO298" i="6"/>
  <c r="AO299" i="6"/>
  <c r="AO300" i="6"/>
  <c r="AO301" i="6"/>
  <c r="AO302" i="6"/>
  <c r="AO303" i="6"/>
  <c r="AO304" i="6"/>
  <c r="AO305" i="6"/>
  <c r="AO306" i="6"/>
  <c r="AO307" i="6"/>
  <c r="AO308" i="6"/>
  <c r="AO309" i="6"/>
  <c r="AO310" i="6"/>
  <c r="AO311" i="6"/>
  <c r="AO312" i="6"/>
  <c r="AO313" i="6"/>
  <c r="AO314" i="6"/>
  <c r="AO315" i="6"/>
  <c r="AO316" i="6"/>
  <c r="AO317" i="6"/>
  <c r="AO318" i="6"/>
  <c r="AO319" i="6"/>
  <c r="AO320" i="6"/>
  <c r="AO321" i="6"/>
  <c r="AO322" i="6"/>
  <c r="AO323" i="6"/>
  <c r="AO324" i="6"/>
  <c r="AO325" i="6"/>
  <c r="AO326" i="6"/>
  <c r="AO327" i="6"/>
  <c r="AO328" i="6"/>
  <c r="AO329" i="6"/>
  <c r="AO330" i="6"/>
  <c r="AO331" i="6"/>
  <c r="AO332" i="6"/>
  <c r="AO333" i="6"/>
  <c r="AO334" i="6"/>
  <c r="AO335" i="6"/>
  <c r="AO336" i="6"/>
  <c r="AO337" i="6"/>
  <c r="AO338" i="6"/>
  <c r="AO339" i="6"/>
  <c r="AO340" i="6"/>
  <c r="AO341" i="6"/>
  <c r="AO342" i="6"/>
  <c r="AO343" i="6"/>
  <c r="AO344" i="6"/>
  <c r="AO345" i="6"/>
  <c r="AO346" i="6"/>
  <c r="AO347" i="6"/>
  <c r="AO348" i="6"/>
  <c r="AO349" i="6"/>
  <c r="AO350" i="6"/>
  <c r="AO351" i="6"/>
  <c r="AO352" i="6"/>
  <c r="AO353" i="6"/>
  <c r="AO354" i="6"/>
  <c r="AO355" i="6"/>
  <c r="AO356" i="6"/>
  <c r="AO357" i="6"/>
  <c r="AO358" i="6"/>
  <c r="AO359" i="6"/>
  <c r="AO360" i="6"/>
  <c r="AO361" i="6"/>
  <c r="AO362" i="6"/>
  <c r="AO363" i="6"/>
  <c r="AO364" i="6"/>
  <c r="AO365" i="6"/>
  <c r="AO366" i="6"/>
  <c r="AO367" i="6"/>
  <c r="AO368" i="6"/>
  <c r="AO369" i="6"/>
  <c r="AO370" i="6"/>
  <c r="AO371" i="6"/>
  <c r="AO372" i="6"/>
  <c r="AO373" i="6"/>
  <c r="AO374" i="6"/>
  <c r="AO375" i="6"/>
  <c r="AO376" i="6"/>
  <c r="AO377" i="6"/>
  <c r="AO378" i="6"/>
  <c r="AO379" i="6"/>
  <c r="AO380" i="6"/>
  <c r="AO381" i="6"/>
  <c r="AO382" i="6"/>
  <c r="AO383" i="6"/>
  <c r="AO384" i="6"/>
  <c r="AO385" i="6"/>
  <c r="AO386" i="6"/>
  <c r="AO387" i="6"/>
  <c r="AO388" i="6"/>
  <c r="AO389" i="6"/>
  <c r="AO390" i="6"/>
  <c r="AO391" i="6"/>
  <c r="AO392" i="6"/>
  <c r="AO393" i="6"/>
  <c r="AO394" i="6"/>
  <c r="AO395" i="6"/>
  <c r="AO396" i="6"/>
  <c r="AO397" i="6"/>
  <c r="AO398" i="6"/>
  <c r="AO399" i="6"/>
  <c r="AO400" i="6"/>
  <c r="AO401" i="6"/>
  <c r="AO402" i="6"/>
  <c r="AO403" i="6"/>
  <c r="AO404" i="6"/>
  <c r="AO405" i="6"/>
  <c r="AO406" i="6"/>
  <c r="AO407" i="6"/>
  <c r="AO408" i="6"/>
  <c r="AO409" i="6"/>
  <c r="AO410" i="6"/>
  <c r="AO411" i="6"/>
  <c r="AO412" i="6"/>
  <c r="AO413" i="6"/>
  <c r="AO414" i="6"/>
  <c r="AO415" i="6"/>
  <c r="AO416" i="6"/>
  <c r="AO417" i="6"/>
  <c r="AO418" i="6"/>
  <c r="AO419" i="6"/>
  <c r="AO420" i="6"/>
  <c r="AO421" i="6"/>
  <c r="AO422" i="6"/>
  <c r="AO423" i="6"/>
  <c r="AO424" i="6"/>
  <c r="AO425" i="6"/>
  <c r="AO426" i="6"/>
  <c r="AO427" i="6"/>
  <c r="AO428" i="6"/>
  <c r="AO429" i="6"/>
  <c r="AO430" i="6"/>
  <c r="AO431" i="6"/>
  <c r="AO432" i="6"/>
  <c r="AO433" i="6"/>
  <c r="AO434" i="6"/>
  <c r="AO435" i="6"/>
  <c r="AO436" i="6"/>
  <c r="AO437" i="6"/>
  <c r="AO438" i="6"/>
  <c r="AO439" i="6"/>
  <c r="AO440" i="6"/>
  <c r="AO441" i="6"/>
  <c r="AO442" i="6"/>
  <c r="AO443" i="6"/>
  <c r="AO444" i="6"/>
  <c r="AO445" i="6"/>
  <c r="AO446" i="6"/>
  <c r="AO447" i="6"/>
  <c r="AO448" i="6"/>
  <c r="AO449" i="6"/>
  <c r="AO450" i="6"/>
  <c r="AO451" i="6"/>
  <c r="AO452" i="6"/>
  <c r="AO453" i="6"/>
  <c r="AO454" i="6"/>
  <c r="AO455" i="6"/>
  <c r="AO456" i="6"/>
  <c r="AO457" i="6"/>
  <c r="AO458" i="6"/>
  <c r="AO459" i="6"/>
  <c r="AO460" i="6"/>
  <c r="AO461" i="6"/>
  <c r="AO462" i="6"/>
  <c r="AO463" i="6"/>
  <c r="AO464" i="6"/>
  <c r="AO465" i="6"/>
  <c r="AO466" i="6"/>
  <c r="AO467" i="6"/>
  <c r="AO468" i="6"/>
  <c r="AO469" i="6"/>
  <c r="AO470" i="6"/>
  <c r="AO471" i="6"/>
  <c r="AO472" i="6"/>
  <c r="AO473" i="6"/>
  <c r="AO474" i="6"/>
  <c r="AO475" i="6"/>
  <c r="AO476" i="6"/>
  <c r="AO477" i="6"/>
  <c r="AO478" i="6"/>
  <c r="AO479" i="6"/>
  <c r="AO480" i="6"/>
  <c r="AO481" i="6"/>
  <c r="AO482" i="6"/>
  <c r="AO483" i="6"/>
  <c r="AO484" i="6"/>
  <c r="AO485" i="6"/>
  <c r="AO486" i="6"/>
  <c r="AO487" i="6"/>
  <c r="AO488" i="6"/>
  <c r="AO489" i="6"/>
  <c r="AO490" i="6"/>
  <c r="AO491" i="6"/>
  <c r="AO492" i="6"/>
  <c r="AO493" i="6"/>
  <c r="AO494" i="6"/>
  <c r="AO495" i="6"/>
  <c r="AO496" i="6"/>
  <c r="AO497" i="6"/>
  <c r="AO498" i="6"/>
  <c r="AO499" i="6"/>
  <c r="AO500" i="6"/>
  <c r="AO501" i="6"/>
  <c r="AO502" i="6"/>
  <c r="AO503" i="6"/>
  <c r="AO504" i="6"/>
  <c r="AO505" i="6"/>
  <c r="AO506" i="6"/>
  <c r="AO507" i="6"/>
  <c r="AO508" i="6"/>
  <c r="AO509" i="6"/>
  <c r="AO510" i="6"/>
  <c r="AO511" i="6"/>
  <c r="AO512" i="6"/>
  <c r="AO513" i="6"/>
  <c r="AO514" i="6"/>
  <c r="AO515" i="6"/>
  <c r="AO516" i="6"/>
  <c r="AO517" i="6"/>
  <c r="AO518" i="6"/>
  <c r="AO519" i="6"/>
  <c r="AO520" i="6"/>
  <c r="AO521" i="6"/>
  <c r="AO522" i="6"/>
  <c r="AO523" i="6"/>
  <c r="AO524" i="6"/>
  <c r="AO525" i="6"/>
  <c r="AO526" i="6"/>
  <c r="AO527" i="6"/>
  <c r="AO528" i="6"/>
  <c r="AO529" i="6"/>
  <c r="AO530" i="6"/>
  <c r="AO531" i="6"/>
  <c r="AO532" i="6"/>
  <c r="AO533" i="6"/>
  <c r="AO534" i="6"/>
  <c r="AO535" i="6"/>
  <c r="AO536" i="6"/>
  <c r="AO537" i="6"/>
  <c r="AO538" i="6"/>
  <c r="AO539" i="6"/>
  <c r="AO540" i="6"/>
  <c r="AO541" i="6"/>
  <c r="AO542" i="6"/>
  <c r="AO543" i="6"/>
  <c r="AO544" i="6"/>
  <c r="AO545" i="6"/>
  <c r="AO546" i="6"/>
  <c r="AO4" i="6"/>
  <c r="AO547" i="6" s="1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N33" i="6"/>
  <c r="AN34" i="6"/>
  <c r="AN35" i="6"/>
  <c r="AN36" i="6"/>
  <c r="AN37" i="6"/>
  <c r="AN38" i="6"/>
  <c r="AN39" i="6"/>
  <c r="AN40" i="6"/>
  <c r="AN41" i="6"/>
  <c r="AN42" i="6"/>
  <c r="AN43" i="6"/>
  <c r="AN44" i="6"/>
  <c r="AN45" i="6"/>
  <c r="AN46" i="6"/>
  <c r="AN47" i="6"/>
  <c r="AN48" i="6"/>
  <c r="AN49" i="6"/>
  <c r="AN50" i="6"/>
  <c r="AN51" i="6"/>
  <c r="AN52" i="6"/>
  <c r="AN53" i="6"/>
  <c r="AN54" i="6"/>
  <c r="AN55" i="6"/>
  <c r="AN56" i="6"/>
  <c r="AN57" i="6"/>
  <c r="AN58" i="6"/>
  <c r="AN59" i="6"/>
  <c r="AN60" i="6"/>
  <c r="AN61" i="6"/>
  <c r="AN62" i="6"/>
  <c r="AN63" i="6"/>
  <c r="AN64" i="6"/>
  <c r="AN65" i="6"/>
  <c r="AN66" i="6"/>
  <c r="AN67" i="6"/>
  <c r="AN68" i="6"/>
  <c r="AN69" i="6"/>
  <c r="AN70" i="6"/>
  <c r="AN71" i="6"/>
  <c r="AN72" i="6"/>
  <c r="AN73" i="6"/>
  <c r="AN74" i="6"/>
  <c r="AN75" i="6"/>
  <c r="AN76" i="6"/>
  <c r="AN77" i="6"/>
  <c r="AN78" i="6"/>
  <c r="AN79" i="6"/>
  <c r="AN80" i="6"/>
  <c r="AN81" i="6"/>
  <c r="AN82" i="6"/>
  <c r="AN83" i="6"/>
  <c r="AN84" i="6"/>
  <c r="AN85" i="6"/>
  <c r="AN86" i="6"/>
  <c r="AN87" i="6"/>
  <c r="AN88" i="6"/>
  <c r="AN89" i="6"/>
  <c r="AN90" i="6"/>
  <c r="AN91" i="6"/>
  <c r="AN92" i="6"/>
  <c r="AN93" i="6"/>
  <c r="AN94" i="6"/>
  <c r="AN95" i="6"/>
  <c r="AN96" i="6"/>
  <c r="AN97" i="6"/>
  <c r="AN98" i="6"/>
  <c r="AN99" i="6"/>
  <c r="AN100" i="6"/>
  <c r="AN101" i="6"/>
  <c r="AN102" i="6"/>
  <c r="AN103" i="6"/>
  <c r="AN104" i="6"/>
  <c r="AN105" i="6"/>
  <c r="AN106" i="6"/>
  <c r="AN107" i="6"/>
  <c r="AN108" i="6"/>
  <c r="AN109" i="6"/>
  <c r="AN110" i="6"/>
  <c r="AN111" i="6"/>
  <c r="AN112" i="6"/>
  <c r="AN113" i="6"/>
  <c r="AN114" i="6"/>
  <c r="AN115" i="6"/>
  <c r="AN116" i="6"/>
  <c r="AN117" i="6"/>
  <c r="AN118" i="6"/>
  <c r="AN119" i="6"/>
  <c r="AN120" i="6"/>
  <c r="AN121" i="6"/>
  <c r="AN122" i="6"/>
  <c r="AN123" i="6"/>
  <c r="AN124" i="6"/>
  <c r="AN125" i="6"/>
  <c r="AN126" i="6"/>
  <c r="AN127" i="6"/>
  <c r="AN128" i="6"/>
  <c r="AN129" i="6"/>
  <c r="AN130" i="6"/>
  <c r="AN131" i="6"/>
  <c r="AN132" i="6"/>
  <c r="AN133" i="6"/>
  <c r="AN134" i="6"/>
  <c r="AN135" i="6"/>
  <c r="AN136" i="6"/>
  <c r="AN137" i="6"/>
  <c r="AN138" i="6"/>
  <c r="AN139" i="6"/>
  <c r="AN140" i="6"/>
  <c r="AN141" i="6"/>
  <c r="AN142" i="6"/>
  <c r="AN143" i="6"/>
  <c r="AN144" i="6"/>
  <c r="AN145" i="6"/>
  <c r="AN146" i="6"/>
  <c r="AN147" i="6"/>
  <c r="AN148" i="6"/>
  <c r="AN149" i="6"/>
  <c r="AN150" i="6"/>
  <c r="AN151" i="6"/>
  <c r="AN152" i="6"/>
  <c r="AN153" i="6"/>
  <c r="AN154" i="6"/>
  <c r="AN155" i="6"/>
  <c r="AN156" i="6"/>
  <c r="AN157" i="6"/>
  <c r="AN158" i="6"/>
  <c r="AN159" i="6"/>
  <c r="AN160" i="6"/>
  <c r="AN161" i="6"/>
  <c r="AN162" i="6"/>
  <c r="AN163" i="6"/>
  <c r="AN164" i="6"/>
  <c r="AN165" i="6"/>
  <c r="AN166" i="6"/>
  <c r="AN167" i="6"/>
  <c r="AN168" i="6"/>
  <c r="AN169" i="6"/>
  <c r="AN170" i="6"/>
  <c r="AN171" i="6"/>
  <c r="AN172" i="6"/>
  <c r="AN173" i="6"/>
  <c r="AN174" i="6"/>
  <c r="AN175" i="6"/>
  <c r="AN176" i="6"/>
  <c r="AN177" i="6"/>
  <c r="AN178" i="6"/>
  <c r="AN179" i="6"/>
  <c r="AN180" i="6"/>
  <c r="AN181" i="6"/>
  <c r="AN182" i="6"/>
  <c r="AN183" i="6"/>
  <c r="AN184" i="6"/>
  <c r="AN185" i="6"/>
  <c r="AN186" i="6"/>
  <c r="AN187" i="6"/>
  <c r="AN188" i="6"/>
  <c r="AN189" i="6"/>
  <c r="AN190" i="6"/>
  <c r="AN191" i="6"/>
  <c r="AN192" i="6"/>
  <c r="AN193" i="6"/>
  <c r="AN194" i="6"/>
  <c r="AN195" i="6"/>
  <c r="AN196" i="6"/>
  <c r="AN197" i="6"/>
  <c r="AN198" i="6"/>
  <c r="AN199" i="6"/>
  <c r="AN200" i="6"/>
  <c r="AN201" i="6"/>
  <c r="AN202" i="6"/>
  <c r="AN203" i="6"/>
  <c r="AN204" i="6"/>
  <c r="AN205" i="6"/>
  <c r="AN206" i="6"/>
  <c r="AN207" i="6"/>
  <c r="AN208" i="6"/>
  <c r="AN209" i="6"/>
  <c r="AN210" i="6"/>
  <c r="AN211" i="6"/>
  <c r="AN212" i="6"/>
  <c r="AN213" i="6"/>
  <c r="AN214" i="6"/>
  <c r="AN215" i="6"/>
  <c r="AN216" i="6"/>
  <c r="AN217" i="6"/>
  <c r="AN218" i="6"/>
  <c r="AN219" i="6"/>
  <c r="AN220" i="6"/>
  <c r="AN221" i="6"/>
  <c r="AN222" i="6"/>
  <c r="AN223" i="6"/>
  <c r="AN224" i="6"/>
  <c r="AN225" i="6"/>
  <c r="AN226" i="6"/>
  <c r="AN227" i="6"/>
  <c r="AN228" i="6"/>
  <c r="AN229" i="6"/>
  <c r="AN230" i="6"/>
  <c r="AN231" i="6"/>
  <c r="AN232" i="6"/>
  <c r="AN233" i="6"/>
  <c r="AN234" i="6"/>
  <c r="AN235" i="6"/>
  <c r="AN236" i="6"/>
  <c r="AN237" i="6"/>
  <c r="AN238" i="6"/>
  <c r="AN239" i="6"/>
  <c r="AN240" i="6"/>
  <c r="AN241" i="6"/>
  <c r="AN242" i="6"/>
  <c r="AN243" i="6"/>
  <c r="AN244" i="6"/>
  <c r="AN245" i="6"/>
  <c r="AN246" i="6"/>
  <c r="AN247" i="6"/>
  <c r="AN248" i="6"/>
  <c r="AN249" i="6"/>
  <c r="AN250" i="6"/>
  <c r="AN251" i="6"/>
  <c r="AN252" i="6"/>
  <c r="AN253" i="6"/>
  <c r="AN254" i="6"/>
  <c r="AN255" i="6"/>
  <c r="AN256" i="6"/>
  <c r="AN257" i="6"/>
  <c r="AN258" i="6"/>
  <c r="AN259" i="6"/>
  <c r="AN260" i="6"/>
  <c r="AN261" i="6"/>
  <c r="AN262" i="6"/>
  <c r="AN263" i="6"/>
  <c r="AN264" i="6"/>
  <c r="AN265" i="6"/>
  <c r="AN266" i="6"/>
  <c r="AN267" i="6"/>
  <c r="AN268" i="6"/>
  <c r="AN269" i="6"/>
  <c r="AN270" i="6"/>
  <c r="AN271" i="6"/>
  <c r="AN272" i="6"/>
  <c r="AN273" i="6"/>
  <c r="AN274" i="6"/>
  <c r="AN275" i="6"/>
  <c r="AN276" i="6"/>
  <c r="AN277" i="6"/>
  <c r="AN278" i="6"/>
  <c r="AN279" i="6"/>
  <c r="AN280" i="6"/>
  <c r="AN281" i="6"/>
  <c r="AN282" i="6"/>
  <c r="AN283" i="6"/>
  <c r="AN284" i="6"/>
  <c r="AN285" i="6"/>
  <c r="AN286" i="6"/>
  <c r="AN287" i="6"/>
  <c r="AN288" i="6"/>
  <c r="AN289" i="6"/>
  <c r="AN290" i="6"/>
  <c r="AN291" i="6"/>
  <c r="AN292" i="6"/>
  <c r="AN293" i="6"/>
  <c r="AN294" i="6"/>
  <c r="AN295" i="6"/>
  <c r="AN296" i="6"/>
  <c r="AN297" i="6"/>
  <c r="AN298" i="6"/>
  <c r="AN299" i="6"/>
  <c r="AN300" i="6"/>
  <c r="AN301" i="6"/>
  <c r="AN302" i="6"/>
  <c r="AN303" i="6"/>
  <c r="AN304" i="6"/>
  <c r="AN305" i="6"/>
  <c r="AN306" i="6"/>
  <c r="AN307" i="6"/>
  <c r="AN308" i="6"/>
  <c r="AN309" i="6"/>
  <c r="AN310" i="6"/>
  <c r="AN311" i="6"/>
  <c r="AN312" i="6"/>
  <c r="AN313" i="6"/>
  <c r="AN314" i="6"/>
  <c r="AN315" i="6"/>
  <c r="AN316" i="6"/>
  <c r="AN317" i="6"/>
  <c r="AN318" i="6"/>
  <c r="AN319" i="6"/>
  <c r="AN320" i="6"/>
  <c r="AN321" i="6"/>
  <c r="AN322" i="6"/>
  <c r="AN323" i="6"/>
  <c r="AN324" i="6"/>
  <c r="AN325" i="6"/>
  <c r="AN326" i="6"/>
  <c r="AN327" i="6"/>
  <c r="AN328" i="6"/>
  <c r="AN329" i="6"/>
  <c r="AN330" i="6"/>
  <c r="AN331" i="6"/>
  <c r="AN332" i="6"/>
  <c r="AN333" i="6"/>
  <c r="AN334" i="6"/>
  <c r="AN335" i="6"/>
  <c r="AN336" i="6"/>
  <c r="AN337" i="6"/>
  <c r="AN338" i="6"/>
  <c r="AN339" i="6"/>
  <c r="AN340" i="6"/>
  <c r="AN341" i="6"/>
  <c r="AN342" i="6"/>
  <c r="AN343" i="6"/>
  <c r="AN344" i="6"/>
  <c r="AN345" i="6"/>
  <c r="AN346" i="6"/>
  <c r="AN347" i="6"/>
  <c r="AN348" i="6"/>
  <c r="AN349" i="6"/>
  <c r="AN350" i="6"/>
  <c r="AN351" i="6"/>
  <c r="AN352" i="6"/>
  <c r="AN353" i="6"/>
  <c r="AN354" i="6"/>
  <c r="AN355" i="6"/>
  <c r="AN356" i="6"/>
  <c r="AN357" i="6"/>
  <c r="AN358" i="6"/>
  <c r="AN359" i="6"/>
  <c r="AN360" i="6"/>
  <c r="AN361" i="6"/>
  <c r="AN362" i="6"/>
  <c r="AN363" i="6"/>
  <c r="AN364" i="6"/>
  <c r="AN365" i="6"/>
  <c r="AN366" i="6"/>
  <c r="AN367" i="6"/>
  <c r="AN368" i="6"/>
  <c r="AN369" i="6"/>
  <c r="AN370" i="6"/>
  <c r="AN371" i="6"/>
  <c r="AN372" i="6"/>
  <c r="AN373" i="6"/>
  <c r="AN374" i="6"/>
  <c r="AN375" i="6"/>
  <c r="AN376" i="6"/>
  <c r="AN377" i="6"/>
  <c r="AN378" i="6"/>
  <c r="AN379" i="6"/>
  <c r="AN380" i="6"/>
  <c r="AN381" i="6"/>
  <c r="AN382" i="6"/>
  <c r="AN383" i="6"/>
  <c r="AN384" i="6"/>
  <c r="AN385" i="6"/>
  <c r="AN386" i="6"/>
  <c r="AN387" i="6"/>
  <c r="AN388" i="6"/>
  <c r="AN389" i="6"/>
  <c r="AN390" i="6"/>
  <c r="AN391" i="6"/>
  <c r="AN392" i="6"/>
  <c r="AN393" i="6"/>
  <c r="AN394" i="6"/>
  <c r="AN395" i="6"/>
  <c r="AN396" i="6"/>
  <c r="AN397" i="6"/>
  <c r="AN398" i="6"/>
  <c r="AN399" i="6"/>
  <c r="AN400" i="6"/>
  <c r="AN401" i="6"/>
  <c r="AN402" i="6"/>
  <c r="AN403" i="6"/>
  <c r="AN404" i="6"/>
  <c r="AN405" i="6"/>
  <c r="AN406" i="6"/>
  <c r="AN407" i="6"/>
  <c r="AN408" i="6"/>
  <c r="AN409" i="6"/>
  <c r="AN410" i="6"/>
  <c r="AN411" i="6"/>
  <c r="AN412" i="6"/>
  <c r="AN413" i="6"/>
  <c r="AN414" i="6"/>
  <c r="AN415" i="6"/>
  <c r="AN416" i="6"/>
  <c r="AN417" i="6"/>
  <c r="AN418" i="6"/>
  <c r="AN419" i="6"/>
  <c r="AN420" i="6"/>
  <c r="AN421" i="6"/>
  <c r="AN422" i="6"/>
  <c r="AN423" i="6"/>
  <c r="AN424" i="6"/>
  <c r="AN425" i="6"/>
  <c r="AN426" i="6"/>
  <c r="AN427" i="6"/>
  <c r="AN428" i="6"/>
  <c r="AN429" i="6"/>
  <c r="AN430" i="6"/>
  <c r="AN431" i="6"/>
  <c r="AN432" i="6"/>
  <c r="AN433" i="6"/>
  <c r="AN434" i="6"/>
  <c r="AN435" i="6"/>
  <c r="AN436" i="6"/>
  <c r="AN437" i="6"/>
  <c r="AN438" i="6"/>
  <c r="AN439" i="6"/>
  <c r="AN440" i="6"/>
  <c r="AN441" i="6"/>
  <c r="AN442" i="6"/>
  <c r="AN443" i="6"/>
  <c r="AN444" i="6"/>
  <c r="AN445" i="6"/>
  <c r="AN446" i="6"/>
  <c r="AN447" i="6"/>
  <c r="AN448" i="6"/>
  <c r="AN449" i="6"/>
  <c r="AN450" i="6"/>
  <c r="AN451" i="6"/>
  <c r="AN452" i="6"/>
  <c r="AN453" i="6"/>
  <c r="AN454" i="6"/>
  <c r="AN455" i="6"/>
  <c r="AN456" i="6"/>
  <c r="AN457" i="6"/>
  <c r="AN458" i="6"/>
  <c r="AN459" i="6"/>
  <c r="AN460" i="6"/>
  <c r="AN461" i="6"/>
  <c r="AN462" i="6"/>
  <c r="AN463" i="6"/>
  <c r="AN464" i="6"/>
  <c r="AN465" i="6"/>
  <c r="AN466" i="6"/>
  <c r="AN467" i="6"/>
  <c r="AN468" i="6"/>
  <c r="AN469" i="6"/>
  <c r="AN470" i="6"/>
  <c r="AN471" i="6"/>
  <c r="AN472" i="6"/>
  <c r="AN473" i="6"/>
  <c r="AN474" i="6"/>
  <c r="AN475" i="6"/>
  <c r="AN476" i="6"/>
  <c r="AN477" i="6"/>
  <c r="AN478" i="6"/>
  <c r="AN479" i="6"/>
  <c r="AN480" i="6"/>
  <c r="AN481" i="6"/>
  <c r="AN482" i="6"/>
  <c r="AN483" i="6"/>
  <c r="AN484" i="6"/>
  <c r="AN485" i="6"/>
  <c r="AN486" i="6"/>
  <c r="AN487" i="6"/>
  <c r="AN488" i="6"/>
  <c r="AN489" i="6"/>
  <c r="AN490" i="6"/>
  <c r="AN491" i="6"/>
  <c r="AN492" i="6"/>
  <c r="AN493" i="6"/>
  <c r="AN494" i="6"/>
  <c r="AN495" i="6"/>
  <c r="AN496" i="6"/>
  <c r="AN497" i="6"/>
  <c r="AN498" i="6"/>
  <c r="AN499" i="6"/>
  <c r="AN500" i="6"/>
  <c r="AN501" i="6"/>
  <c r="AN502" i="6"/>
  <c r="AN503" i="6"/>
  <c r="AN504" i="6"/>
  <c r="AN505" i="6"/>
  <c r="AN506" i="6"/>
  <c r="AN507" i="6"/>
  <c r="AN508" i="6"/>
  <c r="AN509" i="6"/>
  <c r="AN510" i="6"/>
  <c r="AN511" i="6"/>
  <c r="AN512" i="6"/>
  <c r="AN513" i="6"/>
  <c r="AN514" i="6"/>
  <c r="AN515" i="6"/>
  <c r="AN516" i="6"/>
  <c r="AN517" i="6"/>
  <c r="AN518" i="6"/>
  <c r="AN519" i="6"/>
  <c r="AN520" i="6"/>
  <c r="AN521" i="6"/>
  <c r="AN522" i="6"/>
  <c r="AN523" i="6"/>
  <c r="AN524" i="6"/>
  <c r="AN525" i="6"/>
  <c r="AN526" i="6"/>
  <c r="AN527" i="6"/>
  <c r="AN528" i="6"/>
  <c r="AN529" i="6"/>
  <c r="AN530" i="6"/>
  <c r="AN531" i="6"/>
  <c r="AN532" i="6"/>
  <c r="AN533" i="6"/>
  <c r="AN534" i="6"/>
  <c r="AN535" i="6"/>
  <c r="AN536" i="6"/>
  <c r="AN537" i="6"/>
  <c r="AN538" i="6"/>
  <c r="AN539" i="6"/>
  <c r="AN540" i="6"/>
  <c r="AN541" i="6"/>
  <c r="AN542" i="6"/>
  <c r="AN543" i="6"/>
  <c r="AN544" i="6"/>
  <c r="AN545" i="6"/>
  <c r="AN546" i="6"/>
  <c r="AN4" i="6"/>
  <c r="AN547" i="6" s="1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M33" i="6"/>
  <c r="AM34" i="6"/>
  <c r="AM35" i="6"/>
  <c r="AM36" i="6"/>
  <c r="AM37" i="6"/>
  <c r="AM38" i="6"/>
  <c r="AM39" i="6"/>
  <c r="AM40" i="6"/>
  <c r="AM41" i="6"/>
  <c r="AM42" i="6"/>
  <c r="AM43" i="6"/>
  <c r="AM44" i="6"/>
  <c r="AM45" i="6"/>
  <c r="AM46" i="6"/>
  <c r="AM47" i="6"/>
  <c r="AM48" i="6"/>
  <c r="AM49" i="6"/>
  <c r="AM50" i="6"/>
  <c r="AM51" i="6"/>
  <c r="AM52" i="6"/>
  <c r="AM53" i="6"/>
  <c r="AM54" i="6"/>
  <c r="AM55" i="6"/>
  <c r="AM56" i="6"/>
  <c r="AM57" i="6"/>
  <c r="AM58" i="6"/>
  <c r="AM59" i="6"/>
  <c r="AM60" i="6"/>
  <c r="AM61" i="6"/>
  <c r="AM62" i="6"/>
  <c r="AM63" i="6"/>
  <c r="AM64" i="6"/>
  <c r="AM65" i="6"/>
  <c r="AM66" i="6"/>
  <c r="AM67" i="6"/>
  <c r="AM68" i="6"/>
  <c r="AM69" i="6"/>
  <c r="AM70" i="6"/>
  <c r="AM71" i="6"/>
  <c r="AM72" i="6"/>
  <c r="AM73" i="6"/>
  <c r="AM74" i="6"/>
  <c r="AM75" i="6"/>
  <c r="AM76" i="6"/>
  <c r="AM77" i="6"/>
  <c r="AM78" i="6"/>
  <c r="AM79" i="6"/>
  <c r="AM80" i="6"/>
  <c r="AM81" i="6"/>
  <c r="AM82" i="6"/>
  <c r="AM83" i="6"/>
  <c r="AM84" i="6"/>
  <c r="AM85" i="6"/>
  <c r="AM86" i="6"/>
  <c r="AM87" i="6"/>
  <c r="AM88" i="6"/>
  <c r="AM89" i="6"/>
  <c r="AM90" i="6"/>
  <c r="AM91" i="6"/>
  <c r="AM92" i="6"/>
  <c r="AM93" i="6"/>
  <c r="AM94" i="6"/>
  <c r="AM95" i="6"/>
  <c r="AM96" i="6"/>
  <c r="AM97" i="6"/>
  <c r="AM98" i="6"/>
  <c r="AM99" i="6"/>
  <c r="AM100" i="6"/>
  <c r="AM101" i="6"/>
  <c r="AM102" i="6"/>
  <c r="AM103" i="6"/>
  <c r="AM104" i="6"/>
  <c r="AM105" i="6"/>
  <c r="AM106" i="6"/>
  <c r="AM107" i="6"/>
  <c r="AM108" i="6"/>
  <c r="AM109" i="6"/>
  <c r="AM110" i="6"/>
  <c r="AM111" i="6"/>
  <c r="AM112" i="6"/>
  <c r="AM113" i="6"/>
  <c r="AM114" i="6"/>
  <c r="AM115" i="6"/>
  <c r="AM116" i="6"/>
  <c r="AM117" i="6"/>
  <c r="AM118" i="6"/>
  <c r="AM119" i="6"/>
  <c r="AM120" i="6"/>
  <c r="AM121" i="6"/>
  <c r="AM122" i="6"/>
  <c r="AM123" i="6"/>
  <c r="AM124" i="6"/>
  <c r="AM125" i="6"/>
  <c r="AM126" i="6"/>
  <c r="AM127" i="6"/>
  <c r="AM128" i="6"/>
  <c r="AM129" i="6"/>
  <c r="AM130" i="6"/>
  <c r="AM131" i="6"/>
  <c r="AM132" i="6"/>
  <c r="AM133" i="6"/>
  <c r="AM134" i="6"/>
  <c r="AM135" i="6"/>
  <c r="AM136" i="6"/>
  <c r="AM137" i="6"/>
  <c r="AM138" i="6"/>
  <c r="AM139" i="6"/>
  <c r="AM140" i="6"/>
  <c r="AM141" i="6"/>
  <c r="AM142" i="6"/>
  <c r="AM143" i="6"/>
  <c r="AM144" i="6"/>
  <c r="AM145" i="6"/>
  <c r="AM146" i="6"/>
  <c r="AM147" i="6"/>
  <c r="AM148" i="6"/>
  <c r="AM149" i="6"/>
  <c r="AM150" i="6"/>
  <c r="AM151" i="6"/>
  <c r="AM152" i="6"/>
  <c r="AM153" i="6"/>
  <c r="AM154" i="6"/>
  <c r="AM155" i="6"/>
  <c r="AM156" i="6"/>
  <c r="AM157" i="6"/>
  <c r="AM158" i="6"/>
  <c r="AM159" i="6"/>
  <c r="AM160" i="6"/>
  <c r="AM161" i="6"/>
  <c r="AM162" i="6"/>
  <c r="AM163" i="6"/>
  <c r="AM164" i="6"/>
  <c r="AM165" i="6"/>
  <c r="AM166" i="6"/>
  <c r="AM167" i="6"/>
  <c r="AM168" i="6"/>
  <c r="AM169" i="6"/>
  <c r="AM170" i="6"/>
  <c r="AM171" i="6"/>
  <c r="AM172" i="6"/>
  <c r="AM173" i="6"/>
  <c r="AM174" i="6"/>
  <c r="AM175" i="6"/>
  <c r="AM176" i="6"/>
  <c r="AM177" i="6"/>
  <c r="AM178" i="6"/>
  <c r="AM179" i="6"/>
  <c r="AM180" i="6"/>
  <c r="AM181" i="6"/>
  <c r="AM182" i="6"/>
  <c r="AM183" i="6"/>
  <c r="AM184" i="6"/>
  <c r="AM185" i="6"/>
  <c r="AM186" i="6"/>
  <c r="AM187" i="6"/>
  <c r="AM188" i="6"/>
  <c r="AM189" i="6"/>
  <c r="AM190" i="6"/>
  <c r="AM191" i="6"/>
  <c r="AM192" i="6"/>
  <c r="AM193" i="6"/>
  <c r="AM194" i="6"/>
  <c r="AM195" i="6"/>
  <c r="AM196" i="6"/>
  <c r="AM197" i="6"/>
  <c r="AM198" i="6"/>
  <c r="AM199" i="6"/>
  <c r="AM200" i="6"/>
  <c r="AM201" i="6"/>
  <c r="AM202" i="6"/>
  <c r="AM203" i="6"/>
  <c r="AM204" i="6"/>
  <c r="AM205" i="6"/>
  <c r="AM206" i="6"/>
  <c r="AM207" i="6"/>
  <c r="AM208" i="6"/>
  <c r="AM209" i="6"/>
  <c r="AM210" i="6"/>
  <c r="AM211" i="6"/>
  <c r="AM212" i="6"/>
  <c r="AM213" i="6"/>
  <c r="AM214" i="6"/>
  <c r="AM215" i="6"/>
  <c r="AM216" i="6"/>
  <c r="AM217" i="6"/>
  <c r="AM218" i="6"/>
  <c r="AM219" i="6"/>
  <c r="AM220" i="6"/>
  <c r="AM221" i="6"/>
  <c r="AM222" i="6"/>
  <c r="AM223" i="6"/>
  <c r="AM224" i="6"/>
  <c r="AM225" i="6"/>
  <c r="AM226" i="6"/>
  <c r="AM227" i="6"/>
  <c r="AM228" i="6"/>
  <c r="AM229" i="6"/>
  <c r="AM230" i="6"/>
  <c r="AM231" i="6"/>
  <c r="AM232" i="6"/>
  <c r="AM233" i="6"/>
  <c r="AM234" i="6"/>
  <c r="AM235" i="6"/>
  <c r="AM236" i="6"/>
  <c r="AM237" i="6"/>
  <c r="AM238" i="6"/>
  <c r="AM239" i="6"/>
  <c r="AM240" i="6"/>
  <c r="AM241" i="6"/>
  <c r="AM242" i="6"/>
  <c r="AM243" i="6"/>
  <c r="AM244" i="6"/>
  <c r="AM245" i="6"/>
  <c r="AM246" i="6"/>
  <c r="AM247" i="6"/>
  <c r="AM248" i="6"/>
  <c r="AM249" i="6"/>
  <c r="AM250" i="6"/>
  <c r="AM251" i="6"/>
  <c r="AM252" i="6"/>
  <c r="AM253" i="6"/>
  <c r="AM254" i="6"/>
  <c r="AM255" i="6"/>
  <c r="AM256" i="6"/>
  <c r="AM257" i="6"/>
  <c r="AM258" i="6"/>
  <c r="AM259" i="6"/>
  <c r="AM260" i="6"/>
  <c r="AM261" i="6"/>
  <c r="AM262" i="6"/>
  <c r="AM263" i="6"/>
  <c r="AM264" i="6"/>
  <c r="AM265" i="6"/>
  <c r="AM266" i="6"/>
  <c r="AM267" i="6"/>
  <c r="AM268" i="6"/>
  <c r="AM269" i="6"/>
  <c r="AM270" i="6"/>
  <c r="AM271" i="6"/>
  <c r="AM272" i="6"/>
  <c r="AM273" i="6"/>
  <c r="AM274" i="6"/>
  <c r="AM275" i="6"/>
  <c r="AM276" i="6"/>
  <c r="AM277" i="6"/>
  <c r="AM278" i="6"/>
  <c r="AM279" i="6"/>
  <c r="AM280" i="6"/>
  <c r="AM281" i="6"/>
  <c r="AM282" i="6"/>
  <c r="AM283" i="6"/>
  <c r="AM284" i="6"/>
  <c r="AM285" i="6"/>
  <c r="AM286" i="6"/>
  <c r="AM287" i="6"/>
  <c r="AM288" i="6"/>
  <c r="AM289" i="6"/>
  <c r="AM290" i="6"/>
  <c r="AM291" i="6"/>
  <c r="AM292" i="6"/>
  <c r="AM293" i="6"/>
  <c r="AM294" i="6"/>
  <c r="AM295" i="6"/>
  <c r="AM296" i="6"/>
  <c r="AM297" i="6"/>
  <c r="AM298" i="6"/>
  <c r="AM299" i="6"/>
  <c r="AM300" i="6"/>
  <c r="AM301" i="6"/>
  <c r="AM302" i="6"/>
  <c r="AM303" i="6"/>
  <c r="AM304" i="6"/>
  <c r="AM305" i="6"/>
  <c r="AM306" i="6"/>
  <c r="AM307" i="6"/>
  <c r="AM308" i="6"/>
  <c r="AM309" i="6"/>
  <c r="AM310" i="6"/>
  <c r="AM311" i="6"/>
  <c r="AM312" i="6"/>
  <c r="AM313" i="6"/>
  <c r="AM314" i="6"/>
  <c r="AM315" i="6"/>
  <c r="AM316" i="6"/>
  <c r="AM317" i="6"/>
  <c r="AM318" i="6"/>
  <c r="AM319" i="6"/>
  <c r="AM320" i="6"/>
  <c r="AM321" i="6"/>
  <c r="AM322" i="6"/>
  <c r="AM323" i="6"/>
  <c r="AM324" i="6"/>
  <c r="AM325" i="6"/>
  <c r="AM326" i="6"/>
  <c r="AM327" i="6"/>
  <c r="AM328" i="6"/>
  <c r="AM329" i="6"/>
  <c r="AM330" i="6"/>
  <c r="AM331" i="6"/>
  <c r="AM332" i="6"/>
  <c r="AM333" i="6"/>
  <c r="AM334" i="6"/>
  <c r="AM335" i="6"/>
  <c r="AM336" i="6"/>
  <c r="AM337" i="6"/>
  <c r="AM338" i="6"/>
  <c r="AM339" i="6"/>
  <c r="AM340" i="6"/>
  <c r="AM341" i="6"/>
  <c r="AM342" i="6"/>
  <c r="AM343" i="6"/>
  <c r="AM344" i="6"/>
  <c r="AM345" i="6"/>
  <c r="AM346" i="6"/>
  <c r="AM347" i="6"/>
  <c r="AM348" i="6"/>
  <c r="AM349" i="6"/>
  <c r="AM350" i="6"/>
  <c r="AM351" i="6"/>
  <c r="AM352" i="6"/>
  <c r="AM353" i="6"/>
  <c r="AM354" i="6"/>
  <c r="AM355" i="6"/>
  <c r="AM356" i="6"/>
  <c r="AM357" i="6"/>
  <c r="AM358" i="6"/>
  <c r="AM359" i="6"/>
  <c r="AM360" i="6"/>
  <c r="AM361" i="6"/>
  <c r="AM362" i="6"/>
  <c r="AM363" i="6"/>
  <c r="AM364" i="6"/>
  <c r="AM365" i="6"/>
  <c r="AM366" i="6"/>
  <c r="AM367" i="6"/>
  <c r="AM368" i="6"/>
  <c r="AM369" i="6"/>
  <c r="AM370" i="6"/>
  <c r="AM371" i="6"/>
  <c r="AM372" i="6"/>
  <c r="AM373" i="6"/>
  <c r="AM374" i="6"/>
  <c r="AM375" i="6"/>
  <c r="AM376" i="6"/>
  <c r="AM377" i="6"/>
  <c r="AM378" i="6"/>
  <c r="AM379" i="6"/>
  <c r="AM380" i="6"/>
  <c r="AM381" i="6"/>
  <c r="AM382" i="6"/>
  <c r="AM383" i="6"/>
  <c r="AM384" i="6"/>
  <c r="AM385" i="6"/>
  <c r="AM386" i="6"/>
  <c r="AM387" i="6"/>
  <c r="AM388" i="6"/>
  <c r="AM389" i="6"/>
  <c r="AM390" i="6"/>
  <c r="AM391" i="6"/>
  <c r="AM392" i="6"/>
  <c r="AM393" i="6"/>
  <c r="AM394" i="6"/>
  <c r="AM395" i="6"/>
  <c r="AM396" i="6"/>
  <c r="AM397" i="6"/>
  <c r="AM398" i="6"/>
  <c r="AM399" i="6"/>
  <c r="AM400" i="6"/>
  <c r="AM401" i="6"/>
  <c r="AM402" i="6"/>
  <c r="AM403" i="6"/>
  <c r="AM404" i="6"/>
  <c r="AM405" i="6"/>
  <c r="AM406" i="6"/>
  <c r="AM407" i="6"/>
  <c r="AM408" i="6"/>
  <c r="AM409" i="6"/>
  <c r="AM410" i="6"/>
  <c r="AM411" i="6"/>
  <c r="AM412" i="6"/>
  <c r="AM413" i="6"/>
  <c r="AM414" i="6"/>
  <c r="AM415" i="6"/>
  <c r="AM416" i="6"/>
  <c r="AM417" i="6"/>
  <c r="AM418" i="6"/>
  <c r="AM419" i="6"/>
  <c r="AM420" i="6"/>
  <c r="AM421" i="6"/>
  <c r="AM422" i="6"/>
  <c r="AM423" i="6"/>
  <c r="AM424" i="6"/>
  <c r="AM425" i="6"/>
  <c r="AM426" i="6"/>
  <c r="AM427" i="6"/>
  <c r="AM428" i="6"/>
  <c r="AM429" i="6"/>
  <c r="AM430" i="6"/>
  <c r="AM431" i="6"/>
  <c r="AM432" i="6"/>
  <c r="AM433" i="6"/>
  <c r="AM434" i="6"/>
  <c r="AM435" i="6"/>
  <c r="AM436" i="6"/>
  <c r="AM437" i="6"/>
  <c r="AM438" i="6"/>
  <c r="AM439" i="6"/>
  <c r="AM440" i="6"/>
  <c r="AM441" i="6"/>
  <c r="AM442" i="6"/>
  <c r="AM443" i="6"/>
  <c r="AM444" i="6"/>
  <c r="AM445" i="6"/>
  <c r="AM446" i="6"/>
  <c r="AM447" i="6"/>
  <c r="AM448" i="6"/>
  <c r="AM449" i="6"/>
  <c r="AM450" i="6"/>
  <c r="AM451" i="6"/>
  <c r="AM452" i="6"/>
  <c r="AM453" i="6"/>
  <c r="AM454" i="6"/>
  <c r="AM455" i="6"/>
  <c r="AM456" i="6"/>
  <c r="AM457" i="6"/>
  <c r="AM458" i="6"/>
  <c r="AM459" i="6"/>
  <c r="AM460" i="6"/>
  <c r="AM461" i="6"/>
  <c r="AM462" i="6"/>
  <c r="AM463" i="6"/>
  <c r="AM464" i="6"/>
  <c r="AM465" i="6"/>
  <c r="AM466" i="6"/>
  <c r="AM467" i="6"/>
  <c r="AM468" i="6"/>
  <c r="AM469" i="6"/>
  <c r="AM470" i="6"/>
  <c r="AM471" i="6"/>
  <c r="AM472" i="6"/>
  <c r="AM473" i="6"/>
  <c r="AM474" i="6"/>
  <c r="AM475" i="6"/>
  <c r="AM476" i="6"/>
  <c r="AM477" i="6"/>
  <c r="AM478" i="6"/>
  <c r="AM479" i="6"/>
  <c r="AM480" i="6"/>
  <c r="AM481" i="6"/>
  <c r="AM482" i="6"/>
  <c r="AM483" i="6"/>
  <c r="AM484" i="6"/>
  <c r="AM485" i="6"/>
  <c r="AM486" i="6"/>
  <c r="AM487" i="6"/>
  <c r="AM488" i="6"/>
  <c r="AM489" i="6"/>
  <c r="AM490" i="6"/>
  <c r="AM491" i="6"/>
  <c r="AM492" i="6"/>
  <c r="AM493" i="6"/>
  <c r="AM494" i="6"/>
  <c r="AM495" i="6"/>
  <c r="AM496" i="6"/>
  <c r="AM497" i="6"/>
  <c r="AM498" i="6"/>
  <c r="AM499" i="6"/>
  <c r="AM500" i="6"/>
  <c r="AM501" i="6"/>
  <c r="AM502" i="6"/>
  <c r="AM503" i="6"/>
  <c r="AM504" i="6"/>
  <c r="AM505" i="6"/>
  <c r="AM506" i="6"/>
  <c r="AM507" i="6"/>
  <c r="AM508" i="6"/>
  <c r="AM509" i="6"/>
  <c r="AM510" i="6"/>
  <c r="AM511" i="6"/>
  <c r="AM512" i="6"/>
  <c r="AM513" i="6"/>
  <c r="AM514" i="6"/>
  <c r="AM515" i="6"/>
  <c r="AM516" i="6"/>
  <c r="AM517" i="6"/>
  <c r="AM518" i="6"/>
  <c r="AM519" i="6"/>
  <c r="AM520" i="6"/>
  <c r="AM521" i="6"/>
  <c r="AM522" i="6"/>
  <c r="AM523" i="6"/>
  <c r="AM524" i="6"/>
  <c r="AM525" i="6"/>
  <c r="AM526" i="6"/>
  <c r="AM527" i="6"/>
  <c r="AM528" i="6"/>
  <c r="AM529" i="6"/>
  <c r="AM530" i="6"/>
  <c r="AM531" i="6"/>
  <c r="AM532" i="6"/>
  <c r="AM533" i="6"/>
  <c r="AM534" i="6"/>
  <c r="AM535" i="6"/>
  <c r="AM536" i="6"/>
  <c r="AM537" i="6"/>
  <c r="AM538" i="6"/>
  <c r="AM539" i="6"/>
  <c r="AM540" i="6"/>
  <c r="AM541" i="6"/>
  <c r="AM542" i="6"/>
  <c r="AM543" i="6"/>
  <c r="AM544" i="6"/>
  <c r="AM545" i="6"/>
  <c r="AM546" i="6"/>
  <c r="AM4" i="6"/>
  <c r="AM547" i="6" s="1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L136" i="6"/>
  <c r="AL137" i="6"/>
  <c r="AL138" i="6"/>
  <c r="AL139" i="6"/>
  <c r="AL140" i="6"/>
  <c r="AL141" i="6"/>
  <c r="AL142" i="6"/>
  <c r="AL143" i="6"/>
  <c r="AL144" i="6"/>
  <c r="AL145" i="6"/>
  <c r="AL146" i="6"/>
  <c r="AL147" i="6"/>
  <c r="AL148" i="6"/>
  <c r="AL149" i="6"/>
  <c r="AL150" i="6"/>
  <c r="AL151" i="6"/>
  <c r="AL152" i="6"/>
  <c r="AL153" i="6"/>
  <c r="AL154" i="6"/>
  <c r="AL155" i="6"/>
  <c r="AL156" i="6"/>
  <c r="AL157" i="6"/>
  <c r="AL158" i="6"/>
  <c r="AL159" i="6"/>
  <c r="AL160" i="6"/>
  <c r="AL161" i="6"/>
  <c r="AL162" i="6"/>
  <c r="AL163" i="6"/>
  <c r="AL164" i="6"/>
  <c r="AL165" i="6"/>
  <c r="AL166" i="6"/>
  <c r="AL167" i="6"/>
  <c r="AL168" i="6"/>
  <c r="AL169" i="6"/>
  <c r="AL170" i="6"/>
  <c r="AL171" i="6"/>
  <c r="AL172" i="6"/>
  <c r="AL173" i="6"/>
  <c r="AL174" i="6"/>
  <c r="AL175" i="6"/>
  <c r="AL176" i="6"/>
  <c r="AL177" i="6"/>
  <c r="AL178" i="6"/>
  <c r="AL179" i="6"/>
  <c r="AL180" i="6"/>
  <c r="AL181" i="6"/>
  <c r="AL182" i="6"/>
  <c r="AL183" i="6"/>
  <c r="AL184" i="6"/>
  <c r="AL185" i="6"/>
  <c r="AL186" i="6"/>
  <c r="AL187" i="6"/>
  <c r="AL188" i="6"/>
  <c r="AL189" i="6"/>
  <c r="AL190" i="6"/>
  <c r="AL191" i="6"/>
  <c r="AL192" i="6"/>
  <c r="AL193" i="6"/>
  <c r="AL194" i="6"/>
  <c r="AL195" i="6"/>
  <c r="AL196" i="6"/>
  <c r="AL197" i="6"/>
  <c r="AL198" i="6"/>
  <c r="AL199" i="6"/>
  <c r="AL200" i="6"/>
  <c r="AL201" i="6"/>
  <c r="AL202" i="6"/>
  <c r="AL203" i="6"/>
  <c r="AL204" i="6"/>
  <c r="AL205" i="6"/>
  <c r="AL206" i="6"/>
  <c r="AL207" i="6"/>
  <c r="AL208" i="6"/>
  <c r="AL209" i="6"/>
  <c r="AL210" i="6"/>
  <c r="AL211" i="6"/>
  <c r="AL212" i="6"/>
  <c r="AL213" i="6"/>
  <c r="AL214" i="6"/>
  <c r="AL215" i="6"/>
  <c r="AL216" i="6"/>
  <c r="AL217" i="6"/>
  <c r="AL218" i="6"/>
  <c r="AL219" i="6"/>
  <c r="AL220" i="6"/>
  <c r="AL221" i="6"/>
  <c r="AL222" i="6"/>
  <c r="AL223" i="6"/>
  <c r="AL224" i="6"/>
  <c r="AL225" i="6"/>
  <c r="AL226" i="6"/>
  <c r="AL227" i="6"/>
  <c r="AL228" i="6"/>
  <c r="AL229" i="6"/>
  <c r="AL230" i="6"/>
  <c r="AL231" i="6"/>
  <c r="AL232" i="6"/>
  <c r="AL233" i="6"/>
  <c r="AL234" i="6"/>
  <c r="AL235" i="6"/>
  <c r="AL236" i="6"/>
  <c r="AL237" i="6"/>
  <c r="AL238" i="6"/>
  <c r="AL239" i="6"/>
  <c r="AL240" i="6"/>
  <c r="AL241" i="6"/>
  <c r="AL242" i="6"/>
  <c r="AL243" i="6"/>
  <c r="AL244" i="6"/>
  <c r="AL245" i="6"/>
  <c r="AL246" i="6"/>
  <c r="AL247" i="6"/>
  <c r="AL248" i="6"/>
  <c r="AL249" i="6"/>
  <c r="AL250" i="6"/>
  <c r="AL251" i="6"/>
  <c r="AL252" i="6"/>
  <c r="AL253" i="6"/>
  <c r="AL254" i="6"/>
  <c r="AL255" i="6"/>
  <c r="AL256" i="6"/>
  <c r="AL257" i="6"/>
  <c r="AL258" i="6"/>
  <c r="AL259" i="6"/>
  <c r="AL260" i="6"/>
  <c r="AL261" i="6"/>
  <c r="AL262" i="6"/>
  <c r="AL263" i="6"/>
  <c r="AL264" i="6"/>
  <c r="AL265" i="6"/>
  <c r="AL266" i="6"/>
  <c r="AL267" i="6"/>
  <c r="AL268" i="6"/>
  <c r="AL269" i="6"/>
  <c r="AL270" i="6"/>
  <c r="AL271" i="6"/>
  <c r="AL272" i="6"/>
  <c r="AL273" i="6"/>
  <c r="AL274" i="6"/>
  <c r="AL275" i="6"/>
  <c r="AL276" i="6"/>
  <c r="AL277" i="6"/>
  <c r="AL278" i="6"/>
  <c r="AL279" i="6"/>
  <c r="AL280" i="6"/>
  <c r="AL281" i="6"/>
  <c r="AL282" i="6"/>
  <c r="AL283" i="6"/>
  <c r="AL284" i="6"/>
  <c r="AL285" i="6"/>
  <c r="AL286" i="6"/>
  <c r="AL287" i="6"/>
  <c r="AL288" i="6"/>
  <c r="AL289" i="6"/>
  <c r="AL290" i="6"/>
  <c r="AL291" i="6"/>
  <c r="AL292" i="6"/>
  <c r="AL293" i="6"/>
  <c r="AL294" i="6"/>
  <c r="AL295" i="6"/>
  <c r="AL296" i="6"/>
  <c r="AL297" i="6"/>
  <c r="AL298" i="6"/>
  <c r="AL299" i="6"/>
  <c r="AL300" i="6"/>
  <c r="AL301" i="6"/>
  <c r="AL302" i="6"/>
  <c r="AL303" i="6"/>
  <c r="AL304" i="6"/>
  <c r="AL305" i="6"/>
  <c r="AL306" i="6"/>
  <c r="AL307" i="6"/>
  <c r="AL308" i="6"/>
  <c r="AL309" i="6"/>
  <c r="AL310" i="6"/>
  <c r="AL311" i="6"/>
  <c r="AL312" i="6"/>
  <c r="AL313" i="6"/>
  <c r="AL314" i="6"/>
  <c r="AL315" i="6"/>
  <c r="AL316" i="6"/>
  <c r="AL317" i="6"/>
  <c r="AL318" i="6"/>
  <c r="AL319" i="6"/>
  <c r="AL320" i="6"/>
  <c r="AL321" i="6"/>
  <c r="AL322" i="6"/>
  <c r="AL323" i="6"/>
  <c r="AL324" i="6"/>
  <c r="AL325" i="6"/>
  <c r="AL326" i="6"/>
  <c r="AL327" i="6"/>
  <c r="AL328" i="6"/>
  <c r="AL329" i="6"/>
  <c r="AL330" i="6"/>
  <c r="AL331" i="6"/>
  <c r="AL332" i="6"/>
  <c r="AL333" i="6"/>
  <c r="AL334" i="6"/>
  <c r="AL335" i="6"/>
  <c r="AL336" i="6"/>
  <c r="AL337" i="6"/>
  <c r="AL338" i="6"/>
  <c r="AL339" i="6"/>
  <c r="AL340" i="6"/>
  <c r="AL341" i="6"/>
  <c r="AL342" i="6"/>
  <c r="AL343" i="6"/>
  <c r="AL344" i="6"/>
  <c r="AL345" i="6"/>
  <c r="AL346" i="6"/>
  <c r="AL347" i="6"/>
  <c r="AL348" i="6"/>
  <c r="AL349" i="6"/>
  <c r="AL350" i="6"/>
  <c r="AL351" i="6"/>
  <c r="AL352" i="6"/>
  <c r="AL353" i="6"/>
  <c r="AL354" i="6"/>
  <c r="AL355" i="6"/>
  <c r="AL356" i="6"/>
  <c r="AL357" i="6"/>
  <c r="AL358" i="6"/>
  <c r="AL359" i="6"/>
  <c r="AL360" i="6"/>
  <c r="AL361" i="6"/>
  <c r="AL362" i="6"/>
  <c r="AL363" i="6"/>
  <c r="AL364" i="6"/>
  <c r="AL365" i="6"/>
  <c r="AL366" i="6"/>
  <c r="AL367" i="6"/>
  <c r="AL368" i="6"/>
  <c r="AL369" i="6"/>
  <c r="AL370" i="6"/>
  <c r="AL371" i="6"/>
  <c r="AL372" i="6"/>
  <c r="AL373" i="6"/>
  <c r="AL374" i="6"/>
  <c r="AL375" i="6"/>
  <c r="AL376" i="6"/>
  <c r="AL377" i="6"/>
  <c r="AL378" i="6"/>
  <c r="AL379" i="6"/>
  <c r="AL380" i="6"/>
  <c r="AL381" i="6"/>
  <c r="AL382" i="6"/>
  <c r="AL383" i="6"/>
  <c r="AL384" i="6"/>
  <c r="AL385" i="6"/>
  <c r="AL386" i="6"/>
  <c r="AL387" i="6"/>
  <c r="AL388" i="6"/>
  <c r="AL389" i="6"/>
  <c r="AL390" i="6"/>
  <c r="AL391" i="6"/>
  <c r="AL392" i="6"/>
  <c r="AL393" i="6"/>
  <c r="AL394" i="6"/>
  <c r="AL395" i="6"/>
  <c r="AL396" i="6"/>
  <c r="AL397" i="6"/>
  <c r="AL398" i="6"/>
  <c r="AL399" i="6"/>
  <c r="AL400" i="6"/>
  <c r="AL401" i="6"/>
  <c r="AL402" i="6"/>
  <c r="AL403" i="6"/>
  <c r="AL404" i="6"/>
  <c r="AL405" i="6"/>
  <c r="AL406" i="6"/>
  <c r="AL407" i="6"/>
  <c r="AL408" i="6"/>
  <c r="AL409" i="6"/>
  <c r="AL410" i="6"/>
  <c r="AL411" i="6"/>
  <c r="AL412" i="6"/>
  <c r="AL413" i="6"/>
  <c r="AL414" i="6"/>
  <c r="AL415" i="6"/>
  <c r="AL416" i="6"/>
  <c r="AL417" i="6"/>
  <c r="AL418" i="6"/>
  <c r="AL419" i="6"/>
  <c r="AL420" i="6"/>
  <c r="AL421" i="6"/>
  <c r="AL422" i="6"/>
  <c r="AL423" i="6"/>
  <c r="AL424" i="6"/>
  <c r="AL425" i="6"/>
  <c r="AL426" i="6"/>
  <c r="AL427" i="6"/>
  <c r="AL428" i="6"/>
  <c r="AL429" i="6"/>
  <c r="AL430" i="6"/>
  <c r="AL431" i="6"/>
  <c r="AL432" i="6"/>
  <c r="AL433" i="6"/>
  <c r="AL434" i="6"/>
  <c r="AL435" i="6"/>
  <c r="AL436" i="6"/>
  <c r="AL437" i="6"/>
  <c r="AL438" i="6"/>
  <c r="AL439" i="6"/>
  <c r="AL440" i="6"/>
  <c r="AL441" i="6"/>
  <c r="AL442" i="6"/>
  <c r="AL443" i="6"/>
  <c r="AL444" i="6"/>
  <c r="AL445" i="6"/>
  <c r="AL446" i="6"/>
  <c r="AL447" i="6"/>
  <c r="AL448" i="6"/>
  <c r="AL449" i="6"/>
  <c r="AL450" i="6"/>
  <c r="AL451" i="6"/>
  <c r="AL452" i="6"/>
  <c r="AL453" i="6"/>
  <c r="AL454" i="6"/>
  <c r="AL455" i="6"/>
  <c r="AL456" i="6"/>
  <c r="AL457" i="6"/>
  <c r="AL458" i="6"/>
  <c r="AL459" i="6"/>
  <c r="AL460" i="6"/>
  <c r="AL461" i="6"/>
  <c r="AL462" i="6"/>
  <c r="AL463" i="6"/>
  <c r="AL464" i="6"/>
  <c r="AL465" i="6"/>
  <c r="AL466" i="6"/>
  <c r="AL467" i="6"/>
  <c r="AL468" i="6"/>
  <c r="AL469" i="6"/>
  <c r="AL470" i="6"/>
  <c r="AL471" i="6"/>
  <c r="AL472" i="6"/>
  <c r="AL473" i="6"/>
  <c r="AL474" i="6"/>
  <c r="AL475" i="6"/>
  <c r="AL476" i="6"/>
  <c r="AL477" i="6"/>
  <c r="AL478" i="6"/>
  <c r="AL479" i="6"/>
  <c r="AL480" i="6"/>
  <c r="AL481" i="6"/>
  <c r="AL482" i="6"/>
  <c r="AL483" i="6"/>
  <c r="AL484" i="6"/>
  <c r="AL485" i="6"/>
  <c r="AL486" i="6"/>
  <c r="AL487" i="6"/>
  <c r="AL488" i="6"/>
  <c r="AL489" i="6"/>
  <c r="AL490" i="6"/>
  <c r="AL491" i="6"/>
  <c r="AL492" i="6"/>
  <c r="AL493" i="6"/>
  <c r="AL494" i="6"/>
  <c r="AL495" i="6"/>
  <c r="AL496" i="6"/>
  <c r="AL497" i="6"/>
  <c r="AL498" i="6"/>
  <c r="AL499" i="6"/>
  <c r="AL500" i="6"/>
  <c r="AL501" i="6"/>
  <c r="AL502" i="6"/>
  <c r="AL503" i="6"/>
  <c r="AL504" i="6"/>
  <c r="AL505" i="6"/>
  <c r="AL506" i="6"/>
  <c r="AL507" i="6"/>
  <c r="AL508" i="6"/>
  <c r="AL509" i="6"/>
  <c r="AL510" i="6"/>
  <c r="AL511" i="6"/>
  <c r="AL512" i="6"/>
  <c r="AL513" i="6"/>
  <c r="AL514" i="6"/>
  <c r="AL515" i="6"/>
  <c r="AL516" i="6"/>
  <c r="AL517" i="6"/>
  <c r="AL518" i="6"/>
  <c r="AL519" i="6"/>
  <c r="AL520" i="6"/>
  <c r="AL521" i="6"/>
  <c r="AL522" i="6"/>
  <c r="AL523" i="6"/>
  <c r="AL524" i="6"/>
  <c r="AL525" i="6"/>
  <c r="AL526" i="6"/>
  <c r="AL527" i="6"/>
  <c r="AL528" i="6"/>
  <c r="AL529" i="6"/>
  <c r="AL530" i="6"/>
  <c r="AL531" i="6"/>
  <c r="AL532" i="6"/>
  <c r="AL533" i="6"/>
  <c r="AL534" i="6"/>
  <c r="AL535" i="6"/>
  <c r="AL536" i="6"/>
  <c r="AL537" i="6"/>
  <c r="AL538" i="6"/>
  <c r="AL539" i="6"/>
  <c r="AL540" i="6"/>
  <c r="AL541" i="6"/>
  <c r="AL542" i="6"/>
  <c r="AL543" i="6"/>
  <c r="AL544" i="6"/>
  <c r="AL545" i="6"/>
  <c r="AL546" i="6"/>
  <c r="AL4" i="6"/>
  <c r="AL547" i="6" s="1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K33" i="6"/>
  <c r="AK34" i="6"/>
  <c r="AK35" i="6"/>
  <c r="AK36" i="6"/>
  <c r="AK37" i="6"/>
  <c r="AK38" i="6"/>
  <c r="AK39" i="6"/>
  <c r="AK40" i="6"/>
  <c r="AK41" i="6"/>
  <c r="AK42" i="6"/>
  <c r="AK43" i="6"/>
  <c r="AK44" i="6"/>
  <c r="AK45" i="6"/>
  <c r="AK46" i="6"/>
  <c r="AK47" i="6"/>
  <c r="AK48" i="6"/>
  <c r="AK49" i="6"/>
  <c r="AK50" i="6"/>
  <c r="AK51" i="6"/>
  <c r="AK52" i="6"/>
  <c r="AK53" i="6"/>
  <c r="AK54" i="6"/>
  <c r="AK55" i="6"/>
  <c r="AK56" i="6"/>
  <c r="AK57" i="6"/>
  <c r="AK58" i="6"/>
  <c r="AK59" i="6"/>
  <c r="AK60" i="6"/>
  <c r="AK61" i="6"/>
  <c r="AK62" i="6"/>
  <c r="AK63" i="6"/>
  <c r="AK64" i="6"/>
  <c r="AK65" i="6"/>
  <c r="AK66" i="6"/>
  <c r="AK67" i="6"/>
  <c r="AK68" i="6"/>
  <c r="AK69" i="6"/>
  <c r="AK70" i="6"/>
  <c r="AK71" i="6"/>
  <c r="AK72" i="6"/>
  <c r="AK73" i="6"/>
  <c r="AK74" i="6"/>
  <c r="AK75" i="6"/>
  <c r="AK76" i="6"/>
  <c r="AK77" i="6"/>
  <c r="AK78" i="6"/>
  <c r="AK79" i="6"/>
  <c r="AK80" i="6"/>
  <c r="AK81" i="6"/>
  <c r="AK82" i="6"/>
  <c r="AK83" i="6"/>
  <c r="AK84" i="6"/>
  <c r="AK85" i="6"/>
  <c r="AK86" i="6"/>
  <c r="AK87" i="6"/>
  <c r="AK88" i="6"/>
  <c r="AK89" i="6"/>
  <c r="AK90" i="6"/>
  <c r="AK91" i="6"/>
  <c r="AK92" i="6"/>
  <c r="AK93" i="6"/>
  <c r="AK94" i="6"/>
  <c r="AK95" i="6"/>
  <c r="AK96" i="6"/>
  <c r="AK97" i="6"/>
  <c r="AK98" i="6"/>
  <c r="AK99" i="6"/>
  <c r="AK100" i="6"/>
  <c r="AK101" i="6"/>
  <c r="AK102" i="6"/>
  <c r="AK103" i="6"/>
  <c r="AK104" i="6"/>
  <c r="AK105" i="6"/>
  <c r="AK106" i="6"/>
  <c r="AK107" i="6"/>
  <c r="AK108" i="6"/>
  <c r="AK109" i="6"/>
  <c r="AK110" i="6"/>
  <c r="AK111" i="6"/>
  <c r="AK112" i="6"/>
  <c r="AK113" i="6"/>
  <c r="AK114" i="6"/>
  <c r="AK115" i="6"/>
  <c r="AK116" i="6"/>
  <c r="AK117" i="6"/>
  <c r="AK118" i="6"/>
  <c r="AK119" i="6"/>
  <c r="AK120" i="6"/>
  <c r="AK121" i="6"/>
  <c r="AK122" i="6"/>
  <c r="AK123" i="6"/>
  <c r="AK124" i="6"/>
  <c r="AK125" i="6"/>
  <c r="AK126" i="6"/>
  <c r="AK127" i="6"/>
  <c r="AK128" i="6"/>
  <c r="AK129" i="6"/>
  <c r="AK130" i="6"/>
  <c r="AK131" i="6"/>
  <c r="AK132" i="6"/>
  <c r="AK133" i="6"/>
  <c r="AK134" i="6"/>
  <c r="AK135" i="6"/>
  <c r="AK136" i="6"/>
  <c r="AK137" i="6"/>
  <c r="AK138" i="6"/>
  <c r="AK139" i="6"/>
  <c r="AK140" i="6"/>
  <c r="AK141" i="6"/>
  <c r="AK142" i="6"/>
  <c r="AK143" i="6"/>
  <c r="AK144" i="6"/>
  <c r="AK145" i="6"/>
  <c r="AK146" i="6"/>
  <c r="AK147" i="6"/>
  <c r="AK148" i="6"/>
  <c r="AK149" i="6"/>
  <c r="AK150" i="6"/>
  <c r="AK151" i="6"/>
  <c r="AK152" i="6"/>
  <c r="AK153" i="6"/>
  <c r="AK154" i="6"/>
  <c r="AK155" i="6"/>
  <c r="AK156" i="6"/>
  <c r="AK157" i="6"/>
  <c r="AK158" i="6"/>
  <c r="AK159" i="6"/>
  <c r="AK160" i="6"/>
  <c r="AK161" i="6"/>
  <c r="AK162" i="6"/>
  <c r="AK163" i="6"/>
  <c r="AK164" i="6"/>
  <c r="AK165" i="6"/>
  <c r="AK166" i="6"/>
  <c r="AK167" i="6"/>
  <c r="AK168" i="6"/>
  <c r="AK169" i="6"/>
  <c r="AK170" i="6"/>
  <c r="AK171" i="6"/>
  <c r="AK172" i="6"/>
  <c r="AK173" i="6"/>
  <c r="AK174" i="6"/>
  <c r="AK175" i="6"/>
  <c r="AK176" i="6"/>
  <c r="AK177" i="6"/>
  <c r="AK178" i="6"/>
  <c r="AK179" i="6"/>
  <c r="AK180" i="6"/>
  <c r="AK181" i="6"/>
  <c r="AK182" i="6"/>
  <c r="AK183" i="6"/>
  <c r="AK184" i="6"/>
  <c r="AK185" i="6"/>
  <c r="AK186" i="6"/>
  <c r="AK187" i="6"/>
  <c r="AK188" i="6"/>
  <c r="AK189" i="6"/>
  <c r="AK190" i="6"/>
  <c r="AK191" i="6"/>
  <c r="AK192" i="6"/>
  <c r="AK193" i="6"/>
  <c r="AK194" i="6"/>
  <c r="AK195" i="6"/>
  <c r="AK196" i="6"/>
  <c r="AK197" i="6"/>
  <c r="AK198" i="6"/>
  <c r="AK199" i="6"/>
  <c r="AK200" i="6"/>
  <c r="AK201" i="6"/>
  <c r="AK202" i="6"/>
  <c r="AK203" i="6"/>
  <c r="AK204" i="6"/>
  <c r="AK205" i="6"/>
  <c r="AK206" i="6"/>
  <c r="AK207" i="6"/>
  <c r="AK208" i="6"/>
  <c r="AK209" i="6"/>
  <c r="AK210" i="6"/>
  <c r="AK211" i="6"/>
  <c r="AK212" i="6"/>
  <c r="AK213" i="6"/>
  <c r="AK214" i="6"/>
  <c r="AK215" i="6"/>
  <c r="AK216" i="6"/>
  <c r="AK217" i="6"/>
  <c r="AK218" i="6"/>
  <c r="AK219" i="6"/>
  <c r="AK220" i="6"/>
  <c r="AK221" i="6"/>
  <c r="AK222" i="6"/>
  <c r="AK223" i="6"/>
  <c r="AK224" i="6"/>
  <c r="AK225" i="6"/>
  <c r="AK226" i="6"/>
  <c r="AK227" i="6"/>
  <c r="AK228" i="6"/>
  <c r="AK229" i="6"/>
  <c r="AK230" i="6"/>
  <c r="AK231" i="6"/>
  <c r="AK232" i="6"/>
  <c r="AK233" i="6"/>
  <c r="AK234" i="6"/>
  <c r="AK235" i="6"/>
  <c r="AK236" i="6"/>
  <c r="AK237" i="6"/>
  <c r="AK238" i="6"/>
  <c r="AK239" i="6"/>
  <c r="AK240" i="6"/>
  <c r="AK241" i="6"/>
  <c r="AK242" i="6"/>
  <c r="AK243" i="6"/>
  <c r="AK244" i="6"/>
  <c r="AK245" i="6"/>
  <c r="AK246" i="6"/>
  <c r="AK247" i="6"/>
  <c r="AK248" i="6"/>
  <c r="AK249" i="6"/>
  <c r="AK250" i="6"/>
  <c r="AK251" i="6"/>
  <c r="AK252" i="6"/>
  <c r="AK253" i="6"/>
  <c r="AK254" i="6"/>
  <c r="AK255" i="6"/>
  <c r="AK256" i="6"/>
  <c r="AK257" i="6"/>
  <c r="AK258" i="6"/>
  <c r="AK259" i="6"/>
  <c r="AK260" i="6"/>
  <c r="AK261" i="6"/>
  <c r="AK262" i="6"/>
  <c r="AK263" i="6"/>
  <c r="AK264" i="6"/>
  <c r="AK265" i="6"/>
  <c r="AK266" i="6"/>
  <c r="AK267" i="6"/>
  <c r="AK268" i="6"/>
  <c r="AK269" i="6"/>
  <c r="AK270" i="6"/>
  <c r="AK271" i="6"/>
  <c r="AK272" i="6"/>
  <c r="AK273" i="6"/>
  <c r="AK274" i="6"/>
  <c r="AK275" i="6"/>
  <c r="AK276" i="6"/>
  <c r="AK277" i="6"/>
  <c r="AK278" i="6"/>
  <c r="AK279" i="6"/>
  <c r="AK280" i="6"/>
  <c r="AK281" i="6"/>
  <c r="AK282" i="6"/>
  <c r="AK283" i="6"/>
  <c r="AK284" i="6"/>
  <c r="AK285" i="6"/>
  <c r="AK286" i="6"/>
  <c r="AK287" i="6"/>
  <c r="AK288" i="6"/>
  <c r="AK289" i="6"/>
  <c r="AK290" i="6"/>
  <c r="AK291" i="6"/>
  <c r="AK292" i="6"/>
  <c r="AK293" i="6"/>
  <c r="AK294" i="6"/>
  <c r="AK295" i="6"/>
  <c r="AK296" i="6"/>
  <c r="AK297" i="6"/>
  <c r="AK298" i="6"/>
  <c r="AK299" i="6"/>
  <c r="AK300" i="6"/>
  <c r="AK301" i="6"/>
  <c r="AK302" i="6"/>
  <c r="AK303" i="6"/>
  <c r="AK304" i="6"/>
  <c r="AK305" i="6"/>
  <c r="AK306" i="6"/>
  <c r="AK307" i="6"/>
  <c r="AK308" i="6"/>
  <c r="AK309" i="6"/>
  <c r="AK310" i="6"/>
  <c r="AK311" i="6"/>
  <c r="AK312" i="6"/>
  <c r="AK313" i="6"/>
  <c r="AK314" i="6"/>
  <c r="AK315" i="6"/>
  <c r="AK316" i="6"/>
  <c r="AK317" i="6"/>
  <c r="AK318" i="6"/>
  <c r="AK319" i="6"/>
  <c r="AK320" i="6"/>
  <c r="AK321" i="6"/>
  <c r="AK322" i="6"/>
  <c r="AK323" i="6"/>
  <c r="AK324" i="6"/>
  <c r="AK325" i="6"/>
  <c r="AK326" i="6"/>
  <c r="AK327" i="6"/>
  <c r="AK328" i="6"/>
  <c r="AK329" i="6"/>
  <c r="AK330" i="6"/>
  <c r="AK331" i="6"/>
  <c r="AK332" i="6"/>
  <c r="AK333" i="6"/>
  <c r="AK334" i="6"/>
  <c r="AK335" i="6"/>
  <c r="AK336" i="6"/>
  <c r="AK337" i="6"/>
  <c r="AK338" i="6"/>
  <c r="AK339" i="6"/>
  <c r="AK340" i="6"/>
  <c r="AK341" i="6"/>
  <c r="AK342" i="6"/>
  <c r="AK343" i="6"/>
  <c r="AK344" i="6"/>
  <c r="AK345" i="6"/>
  <c r="AK346" i="6"/>
  <c r="AK347" i="6"/>
  <c r="AK348" i="6"/>
  <c r="AK349" i="6"/>
  <c r="AK350" i="6"/>
  <c r="AK351" i="6"/>
  <c r="AK352" i="6"/>
  <c r="AK353" i="6"/>
  <c r="AK354" i="6"/>
  <c r="AK355" i="6"/>
  <c r="AK356" i="6"/>
  <c r="AK357" i="6"/>
  <c r="AK358" i="6"/>
  <c r="AK359" i="6"/>
  <c r="AK360" i="6"/>
  <c r="AK361" i="6"/>
  <c r="AK362" i="6"/>
  <c r="AK363" i="6"/>
  <c r="AK364" i="6"/>
  <c r="AK365" i="6"/>
  <c r="AK366" i="6"/>
  <c r="AK367" i="6"/>
  <c r="AK368" i="6"/>
  <c r="AK369" i="6"/>
  <c r="AK370" i="6"/>
  <c r="AK371" i="6"/>
  <c r="AK372" i="6"/>
  <c r="AK373" i="6"/>
  <c r="AK374" i="6"/>
  <c r="AK375" i="6"/>
  <c r="AK376" i="6"/>
  <c r="AK377" i="6"/>
  <c r="AK378" i="6"/>
  <c r="AK379" i="6"/>
  <c r="AK380" i="6"/>
  <c r="AK381" i="6"/>
  <c r="AK382" i="6"/>
  <c r="AK383" i="6"/>
  <c r="AK384" i="6"/>
  <c r="AK385" i="6"/>
  <c r="AK386" i="6"/>
  <c r="AK387" i="6"/>
  <c r="AK388" i="6"/>
  <c r="AK389" i="6"/>
  <c r="AK390" i="6"/>
  <c r="AK391" i="6"/>
  <c r="AK392" i="6"/>
  <c r="AK393" i="6"/>
  <c r="AK394" i="6"/>
  <c r="AK395" i="6"/>
  <c r="AK396" i="6"/>
  <c r="AK397" i="6"/>
  <c r="AK398" i="6"/>
  <c r="AK399" i="6"/>
  <c r="AK400" i="6"/>
  <c r="AK401" i="6"/>
  <c r="AK402" i="6"/>
  <c r="AK403" i="6"/>
  <c r="AK404" i="6"/>
  <c r="AK405" i="6"/>
  <c r="AK406" i="6"/>
  <c r="AK407" i="6"/>
  <c r="AK408" i="6"/>
  <c r="AK409" i="6"/>
  <c r="AK410" i="6"/>
  <c r="AK411" i="6"/>
  <c r="AK412" i="6"/>
  <c r="AK413" i="6"/>
  <c r="AK414" i="6"/>
  <c r="AK415" i="6"/>
  <c r="AK416" i="6"/>
  <c r="AK417" i="6"/>
  <c r="AK418" i="6"/>
  <c r="AK419" i="6"/>
  <c r="AK420" i="6"/>
  <c r="AK421" i="6"/>
  <c r="AK422" i="6"/>
  <c r="AK423" i="6"/>
  <c r="AK424" i="6"/>
  <c r="AK425" i="6"/>
  <c r="AK426" i="6"/>
  <c r="AK427" i="6"/>
  <c r="AK428" i="6"/>
  <c r="AK429" i="6"/>
  <c r="AK430" i="6"/>
  <c r="AK431" i="6"/>
  <c r="AK432" i="6"/>
  <c r="AK433" i="6"/>
  <c r="AK434" i="6"/>
  <c r="AK435" i="6"/>
  <c r="AK436" i="6"/>
  <c r="AK437" i="6"/>
  <c r="AK438" i="6"/>
  <c r="AK439" i="6"/>
  <c r="AK440" i="6"/>
  <c r="AK441" i="6"/>
  <c r="AK442" i="6"/>
  <c r="AK443" i="6"/>
  <c r="AK444" i="6"/>
  <c r="AK445" i="6"/>
  <c r="AK446" i="6"/>
  <c r="AK447" i="6"/>
  <c r="AK448" i="6"/>
  <c r="AK449" i="6"/>
  <c r="AK450" i="6"/>
  <c r="AK451" i="6"/>
  <c r="AK452" i="6"/>
  <c r="AK453" i="6"/>
  <c r="AK454" i="6"/>
  <c r="AK455" i="6"/>
  <c r="AK456" i="6"/>
  <c r="AK457" i="6"/>
  <c r="AK458" i="6"/>
  <c r="AK459" i="6"/>
  <c r="AK460" i="6"/>
  <c r="AK461" i="6"/>
  <c r="AK462" i="6"/>
  <c r="AK463" i="6"/>
  <c r="AK464" i="6"/>
  <c r="AK465" i="6"/>
  <c r="AK466" i="6"/>
  <c r="AK467" i="6"/>
  <c r="AK468" i="6"/>
  <c r="AK469" i="6"/>
  <c r="AK470" i="6"/>
  <c r="AK471" i="6"/>
  <c r="AK472" i="6"/>
  <c r="AK473" i="6"/>
  <c r="AK474" i="6"/>
  <c r="AK475" i="6"/>
  <c r="AK476" i="6"/>
  <c r="AK477" i="6"/>
  <c r="AK478" i="6"/>
  <c r="AK479" i="6"/>
  <c r="AK480" i="6"/>
  <c r="AK481" i="6"/>
  <c r="AK482" i="6"/>
  <c r="AK483" i="6"/>
  <c r="AK484" i="6"/>
  <c r="AK485" i="6"/>
  <c r="AK486" i="6"/>
  <c r="AK487" i="6"/>
  <c r="AK488" i="6"/>
  <c r="AK489" i="6"/>
  <c r="AK490" i="6"/>
  <c r="AK491" i="6"/>
  <c r="AK492" i="6"/>
  <c r="AK493" i="6"/>
  <c r="AK494" i="6"/>
  <c r="AK495" i="6"/>
  <c r="AK496" i="6"/>
  <c r="AK497" i="6"/>
  <c r="AK498" i="6"/>
  <c r="AK499" i="6"/>
  <c r="AK500" i="6"/>
  <c r="AK501" i="6"/>
  <c r="AK502" i="6"/>
  <c r="AK503" i="6"/>
  <c r="AK504" i="6"/>
  <c r="AK505" i="6"/>
  <c r="AK506" i="6"/>
  <c r="AK507" i="6"/>
  <c r="AK508" i="6"/>
  <c r="AK509" i="6"/>
  <c r="AK510" i="6"/>
  <c r="AK511" i="6"/>
  <c r="AK512" i="6"/>
  <c r="AK513" i="6"/>
  <c r="AK514" i="6"/>
  <c r="AK515" i="6"/>
  <c r="AK516" i="6"/>
  <c r="AK517" i="6"/>
  <c r="AK518" i="6"/>
  <c r="AK519" i="6"/>
  <c r="AK520" i="6"/>
  <c r="AK521" i="6"/>
  <c r="AK522" i="6"/>
  <c r="AK523" i="6"/>
  <c r="AK524" i="6"/>
  <c r="AK525" i="6"/>
  <c r="AK526" i="6"/>
  <c r="AK527" i="6"/>
  <c r="AK528" i="6"/>
  <c r="AK529" i="6"/>
  <c r="AK530" i="6"/>
  <c r="AK531" i="6"/>
  <c r="AK532" i="6"/>
  <c r="AK533" i="6"/>
  <c r="AK534" i="6"/>
  <c r="AK535" i="6"/>
  <c r="AK536" i="6"/>
  <c r="AK537" i="6"/>
  <c r="AK538" i="6"/>
  <c r="AK539" i="6"/>
  <c r="AK540" i="6"/>
  <c r="AK541" i="6"/>
  <c r="AK542" i="6"/>
  <c r="AK543" i="6"/>
  <c r="AK544" i="6"/>
  <c r="AK545" i="6"/>
  <c r="AK546" i="6"/>
  <c r="AK4" i="6"/>
  <c r="AK547" i="6" s="1"/>
  <c r="G117" i="3"/>
  <c r="F117" i="3"/>
  <c r="E117" i="3"/>
  <c r="H116" i="3"/>
  <c r="I116" i="3" s="1"/>
  <c r="H115" i="3"/>
  <c r="I115" i="3" s="1"/>
  <c r="H114" i="3"/>
  <c r="I114" i="3" s="1"/>
  <c r="H113" i="3"/>
  <c r="I113" i="3" s="1"/>
  <c r="H112" i="3"/>
  <c r="I112" i="3" s="1"/>
  <c r="H111" i="3"/>
  <c r="I111" i="3" s="1"/>
  <c r="H110" i="3"/>
  <c r="I110" i="3" s="1"/>
  <c r="H109" i="3"/>
  <c r="I109" i="3" s="1"/>
  <c r="H108" i="3"/>
  <c r="I108" i="3" s="1"/>
  <c r="H107" i="3"/>
  <c r="I107" i="3" s="1"/>
  <c r="H106" i="3"/>
  <c r="I106" i="3" s="1"/>
  <c r="H105" i="3"/>
  <c r="I105" i="3" s="1"/>
  <c r="H104" i="3"/>
  <c r="I104" i="3" s="1"/>
  <c r="H103" i="3"/>
  <c r="I103" i="3" s="1"/>
  <c r="H102" i="3"/>
  <c r="I102" i="3" s="1"/>
  <c r="H101" i="3"/>
  <c r="I101" i="3" s="1"/>
  <c r="H100" i="3"/>
  <c r="I100" i="3" s="1"/>
  <c r="H99" i="3"/>
  <c r="I99" i="3" s="1"/>
  <c r="H98" i="3"/>
  <c r="I98" i="3" s="1"/>
  <c r="H97" i="3"/>
  <c r="I97" i="3" s="1"/>
  <c r="H96" i="3"/>
  <c r="I96" i="3" s="1"/>
  <c r="H95" i="3"/>
  <c r="I95" i="3" s="1"/>
  <c r="H94" i="3"/>
  <c r="I94" i="3" s="1"/>
  <c r="H93" i="3"/>
  <c r="I93" i="3" s="1"/>
  <c r="H92" i="3"/>
  <c r="I92" i="3" s="1"/>
  <c r="H91" i="3"/>
  <c r="I91" i="3" s="1"/>
  <c r="H90" i="3"/>
  <c r="I90" i="3" s="1"/>
  <c r="H89" i="3"/>
  <c r="I89" i="3" s="1"/>
  <c r="H88" i="3"/>
  <c r="I88" i="3" s="1"/>
  <c r="H87" i="3"/>
  <c r="I87" i="3" s="1"/>
  <c r="H86" i="3"/>
  <c r="I86" i="3" s="1"/>
  <c r="H85" i="3"/>
  <c r="I85" i="3" s="1"/>
  <c r="H84" i="3"/>
  <c r="I84" i="3" s="1"/>
  <c r="H83" i="3"/>
  <c r="I83" i="3" s="1"/>
  <c r="H82" i="3"/>
  <c r="I82" i="3" s="1"/>
  <c r="H81" i="3"/>
  <c r="I81" i="3" s="1"/>
  <c r="H80" i="3"/>
  <c r="I80" i="3" s="1"/>
  <c r="H79" i="3"/>
  <c r="I79" i="3" s="1"/>
  <c r="H78" i="3"/>
  <c r="I78" i="3" s="1"/>
  <c r="H77" i="3"/>
  <c r="I77" i="3" s="1"/>
  <c r="H76" i="3"/>
  <c r="I76" i="3" s="1"/>
  <c r="H75" i="3"/>
  <c r="I75" i="3" s="1"/>
  <c r="H74" i="3"/>
  <c r="I74" i="3" s="1"/>
  <c r="H73" i="3"/>
  <c r="I73" i="3" s="1"/>
  <c r="H72" i="3"/>
  <c r="I72" i="3" s="1"/>
  <c r="H71" i="3"/>
  <c r="I71" i="3" s="1"/>
  <c r="H70" i="3"/>
  <c r="I70" i="3" s="1"/>
  <c r="H69" i="3"/>
  <c r="I69" i="3" s="1"/>
  <c r="H68" i="3"/>
  <c r="I68" i="3" s="1"/>
  <c r="H67" i="3"/>
  <c r="I67" i="3" s="1"/>
  <c r="H66" i="3"/>
  <c r="I66" i="3" s="1"/>
  <c r="H65" i="3"/>
  <c r="I65" i="3" s="1"/>
  <c r="H64" i="3"/>
  <c r="I64" i="3" s="1"/>
  <c r="H63" i="3"/>
  <c r="I63" i="3" s="1"/>
  <c r="H62" i="3"/>
  <c r="I62" i="3" s="1"/>
  <c r="H61" i="3"/>
  <c r="I61" i="3" s="1"/>
  <c r="H60" i="3"/>
  <c r="I60" i="3" s="1"/>
  <c r="H59" i="3"/>
  <c r="I59" i="3" s="1"/>
  <c r="H58" i="3"/>
  <c r="I58" i="3" s="1"/>
  <c r="H57" i="3"/>
  <c r="I57" i="3" s="1"/>
  <c r="H56" i="3"/>
  <c r="I56" i="3" s="1"/>
  <c r="H55" i="3"/>
  <c r="I55" i="3" s="1"/>
  <c r="H54" i="3"/>
  <c r="I54" i="3" s="1"/>
  <c r="H53" i="3"/>
  <c r="I53" i="3" s="1"/>
  <c r="H52" i="3"/>
  <c r="I52" i="3" s="1"/>
  <c r="H51" i="3"/>
  <c r="I51" i="3" s="1"/>
  <c r="H50" i="3"/>
  <c r="I50" i="3" s="1"/>
  <c r="H49" i="3"/>
  <c r="I49" i="3" s="1"/>
  <c r="H48" i="3"/>
  <c r="I48" i="3" s="1"/>
  <c r="H47" i="3"/>
  <c r="I47" i="3" s="1"/>
  <c r="H46" i="3"/>
  <c r="I46" i="3" s="1"/>
  <c r="H45" i="3"/>
  <c r="I45" i="3" s="1"/>
  <c r="H44" i="3"/>
  <c r="I44" i="3" s="1"/>
  <c r="H43" i="3"/>
  <c r="I43" i="3" s="1"/>
  <c r="H42" i="3"/>
  <c r="I42" i="3" s="1"/>
  <c r="H41" i="3"/>
  <c r="I41" i="3" s="1"/>
  <c r="H40" i="3"/>
  <c r="I40" i="3" s="1"/>
  <c r="H39" i="3"/>
  <c r="I39" i="3" s="1"/>
  <c r="H38" i="3"/>
  <c r="I38" i="3" s="1"/>
  <c r="H37" i="3"/>
  <c r="I37" i="3" s="1"/>
  <c r="H36" i="3"/>
  <c r="I36" i="3" s="1"/>
  <c r="H35" i="3"/>
  <c r="I35" i="3" s="1"/>
  <c r="H34" i="3"/>
  <c r="I34" i="3" s="1"/>
  <c r="H33" i="3"/>
  <c r="I33" i="3" s="1"/>
  <c r="H32" i="3"/>
  <c r="I32" i="3" s="1"/>
  <c r="H31" i="3"/>
  <c r="I31" i="3" s="1"/>
  <c r="H30" i="3"/>
  <c r="I30" i="3" s="1"/>
  <c r="H29" i="3"/>
  <c r="I29" i="3" s="1"/>
  <c r="H28" i="3"/>
  <c r="I28" i="3" s="1"/>
  <c r="H27" i="3"/>
  <c r="I27" i="3" s="1"/>
  <c r="H26" i="3"/>
  <c r="I26" i="3" s="1"/>
  <c r="H25" i="3"/>
  <c r="I25" i="3" s="1"/>
  <c r="H24" i="3"/>
  <c r="I24" i="3" s="1"/>
  <c r="H23" i="3"/>
  <c r="I23" i="3" s="1"/>
  <c r="H22" i="3"/>
  <c r="I22" i="3" s="1"/>
  <c r="H21" i="3"/>
  <c r="I21" i="3" s="1"/>
  <c r="H20" i="3"/>
  <c r="I20" i="3" s="1"/>
  <c r="H19" i="3"/>
  <c r="I19" i="3" s="1"/>
  <c r="H18" i="3"/>
  <c r="I18" i="3" s="1"/>
  <c r="H17" i="3"/>
  <c r="I17" i="3" s="1"/>
  <c r="H16" i="3"/>
  <c r="I16" i="3" s="1"/>
  <c r="H15" i="3"/>
  <c r="I15" i="3" s="1"/>
  <c r="H14" i="3"/>
  <c r="I14" i="3" s="1"/>
  <c r="H13" i="3"/>
  <c r="I13" i="3" s="1"/>
  <c r="H12" i="3"/>
  <c r="I12" i="3" s="1"/>
  <c r="H11" i="3"/>
  <c r="I11" i="3" s="1"/>
  <c r="H10" i="3"/>
  <c r="I10" i="3" s="1"/>
  <c r="H9" i="3"/>
  <c r="I9" i="3" s="1"/>
  <c r="H8" i="3"/>
  <c r="I8" i="3" s="1"/>
  <c r="H7" i="3"/>
  <c r="I7" i="3" s="1"/>
  <c r="H6" i="3"/>
  <c r="I6" i="3" s="1"/>
  <c r="H5" i="3"/>
  <c r="I5" i="3" s="1"/>
  <c r="H4" i="3"/>
  <c r="I4" i="3" s="1"/>
  <c r="H3" i="3"/>
  <c r="I3" i="3" s="1"/>
  <c r="H2" i="3"/>
  <c r="I2" i="3" s="1"/>
  <c r="I117" i="3" l="1"/>
  <c r="H117" i="3"/>
</calcChain>
</file>

<file path=xl/sharedStrings.xml><?xml version="1.0" encoding="utf-8"?>
<sst xmlns="http://schemas.openxmlformats.org/spreadsheetml/2006/main" count="6864" uniqueCount="1727">
  <si>
    <t>Ubicacion</t>
  </si>
  <si>
    <t>Codigo Articulo</t>
  </si>
  <si>
    <t>Nombre Articulo</t>
  </si>
  <si>
    <t>Categoria</t>
  </si>
  <si>
    <t>Nombre Categoria</t>
  </si>
  <si>
    <t>Marca</t>
  </si>
  <si>
    <t>Clase</t>
  </si>
  <si>
    <t>Existencia</t>
  </si>
  <si>
    <t>TIENDA1</t>
  </si>
  <si>
    <t>19-00127</t>
  </si>
  <si>
    <t>FLYING</t>
  </si>
  <si>
    <t>NEWS AND GIFTS</t>
  </si>
  <si>
    <t>MAGAZINE</t>
  </si>
  <si>
    <t>TIENDA2</t>
  </si>
  <si>
    <t>19-00157</t>
  </si>
  <si>
    <t>POPULAR SCIENCE</t>
  </si>
  <si>
    <t>19-00183</t>
  </si>
  <si>
    <t>VOGUE</t>
  </si>
  <si>
    <t>DIST. LEWIS</t>
  </si>
  <si>
    <t>19-00190</t>
  </si>
  <si>
    <t>VOGUE EN ESPANOL</t>
  </si>
  <si>
    <t>19-00321</t>
  </si>
  <si>
    <t>314 GO TRAVEL WALLET</t>
  </si>
  <si>
    <t>GO TRAVEL</t>
  </si>
  <si>
    <t>CARTERA</t>
  </si>
  <si>
    <t>19-00763</t>
  </si>
  <si>
    <t>PEOPLE EN ESPANOL</t>
  </si>
  <si>
    <t>19-00767</t>
  </si>
  <si>
    <t>SPORT FISHING</t>
  </si>
  <si>
    <t>19-00777</t>
  </si>
  <si>
    <t>THE ARTIST&amp;#39;S MAGAZINE</t>
  </si>
  <si>
    <t>19-00779</t>
  </si>
  <si>
    <t>YOGA JOURNAL</t>
  </si>
  <si>
    <t>19-00995</t>
  </si>
  <si>
    <t>766 GO TRAVEL DRY IPAD</t>
  </si>
  <si>
    <t>ESTUCHE</t>
  </si>
  <si>
    <t>19-01218</t>
  </si>
  <si>
    <t>04-5350 CRAYOLA ART BUDDY BACKPACK</t>
  </si>
  <si>
    <t>CRAYOLA</t>
  </si>
  <si>
    <t>CRAYONES</t>
  </si>
  <si>
    <t>19-01394</t>
  </si>
  <si>
    <t>PLAYTEX TAMPONES REGULAR SIN DESODORANTE 8CT</t>
  </si>
  <si>
    <t>PLAYTEX</t>
  </si>
  <si>
    <t>TAMPONS</t>
  </si>
  <si>
    <t>19-01395</t>
  </si>
  <si>
    <t>PLAYTEX TAMPONES SUPER SIN DESODORANTE  8CT</t>
  </si>
  <si>
    <t>19-01396</t>
  </si>
  <si>
    <t>PLAYTEX TAMPONES REGULAR CON DESODORANTE 8CT</t>
  </si>
  <si>
    <t>19-01397</t>
  </si>
  <si>
    <t>PLAYTEX TAMPONES SUPER CON DESODORANTE 8CT</t>
  </si>
  <si>
    <t>19-01409</t>
  </si>
  <si>
    <t>WET ONES WIPES CITRUS SCENT TRAVEL 15CT</t>
  </si>
  <si>
    <t>WET ONES</t>
  </si>
  <si>
    <t>WIPES</t>
  </si>
  <si>
    <t>19-01410</t>
  </si>
  <si>
    <t>WET ONES WIPES ANTIBACTERIAL TRAVEL 15CT</t>
  </si>
  <si>
    <t>19-01411</t>
  </si>
  <si>
    <t>TROJAN PRESERVATIVO CLASICO-ENZ 3CT</t>
  </si>
  <si>
    <t>TROJAN</t>
  </si>
  <si>
    <t>CONDOMS</t>
  </si>
  <si>
    <t>19-01412</t>
  </si>
  <si>
    <t>TROJAN PRESERVATIVO TEXTURIZADO ANILLADO 3CT</t>
  </si>
  <si>
    <t>19-01419</t>
  </si>
  <si>
    <t>03356 DUREX MAXIMO PLACER 144X1</t>
  </si>
  <si>
    <t>DUREX</t>
  </si>
  <si>
    <t>19-01424</t>
  </si>
  <si>
    <t>DUREX SENSITIVO ULTRA DELGADO 3CT</t>
  </si>
  <si>
    <t>19-01429</t>
  </si>
  <si>
    <t>DUREX LUBRICANTE COSQUILLAS Y PLACER</t>
  </si>
  <si>
    <t>19-01432</t>
  </si>
  <si>
    <t>DUREX PLAY VIBRATION</t>
  </si>
  <si>
    <t>19-01572</t>
  </si>
  <si>
    <t>19-01572 SOFT COMFORT NECK PILLOW ASSORTED COLORS</t>
  </si>
  <si>
    <t>SOFT COMFORT</t>
  </si>
  <si>
    <t>ALMOHADA</t>
  </si>
  <si>
    <t>19-01593</t>
  </si>
  <si>
    <t>04-5225 CRAYOLA TWISTABLES COLORED PENCILS KIT</t>
  </si>
  <si>
    <t>SCHOOL SUPPLIES</t>
  </si>
  <si>
    <t>19-01705</t>
  </si>
  <si>
    <t>19-01705 SOFT COMFORT TIMELESS FLEECE BLANKET</t>
  </si>
  <si>
    <t>FRAZADA</t>
  </si>
  <si>
    <t>19-01710</t>
  </si>
  <si>
    <t>19-01710 SOFT COMFORT INFLATABLE NECK PILLOW</t>
  </si>
  <si>
    <t>19-01716</t>
  </si>
  <si>
    <t>19-01716 SOFT COMFORT MEMORY FOAM NECK PILLOW</t>
  </si>
  <si>
    <t>19-01806</t>
  </si>
  <si>
    <t>52-0096 CRAYOLA 96 CANTON CRAYONS</t>
  </si>
  <si>
    <t>19-02051</t>
  </si>
  <si>
    <t>19-02051 SOFT COMFORT KIDS NECK PILLOW ASSORTED COLORS</t>
  </si>
  <si>
    <t>ALTAMAR</t>
  </si>
  <si>
    <t>19-02054</t>
  </si>
  <si>
    <t>19-02054 SOFT COMFORT KIDS BACK PACK WITH NECK PILLOW</t>
  </si>
  <si>
    <t>19-02057</t>
  </si>
  <si>
    <t>19-02057 SOFT COMFORT BACK PACK</t>
  </si>
  <si>
    <t>BAG</t>
  </si>
  <si>
    <t>19-02228</t>
  </si>
  <si>
    <t>04-5227 CRAYOLA 25 CT. WASHABLE PIP-SQUEAKS&amp;#174; KIT</t>
  </si>
  <si>
    <t>19-02234</t>
  </si>
  <si>
    <t>04-5229 CRAYOLA WINDOW MARKER &amp;amp; STENCIL SET</t>
  </si>
  <si>
    <t>19-02252</t>
  </si>
  <si>
    <t>DISPLAY SOFT COMFORT</t>
  </si>
  <si>
    <t>DISPLAY</t>
  </si>
  <si>
    <t>19-02254</t>
  </si>
  <si>
    <t>153 GO TRAVEL TAG ME (TWIN PACK)</t>
  </si>
  <si>
    <t>TRAVEL ACCESSORIES</t>
  </si>
  <si>
    <t>19-02255</t>
  </si>
  <si>
    <t>159 GO TRAVEL LABELS FOR LUGGAGE  (TWIN PACK)</t>
  </si>
  <si>
    <t>19-02258</t>
  </si>
  <si>
    <t>224 GO TRAVEL KEY STRAP</t>
  </si>
  <si>
    <t>19-02261</t>
  </si>
  <si>
    <t>342 GO TRAVEL SENTRY&amp;#174; STRAP</t>
  </si>
  <si>
    <t>19-02262</t>
  </si>
  <si>
    <t>343 GO TRAVEL LOCK STRAP</t>
  </si>
  <si>
    <t>19-02271</t>
  </si>
  <si>
    <t>566 GO TRAVEL FAB TAG   (TWIN PACK)</t>
  </si>
  <si>
    <t>19-02290</t>
  </si>
  <si>
    <t>2605 GO TRAVEL DOOR STOPPER</t>
  </si>
  <si>
    <t>19-02292</t>
  </si>
  <si>
    <t>2615 GO TRAVEL WALKING HARNESS AND REINS</t>
  </si>
  <si>
    <t>19-02294</t>
  </si>
  <si>
    <t>2640 GO TRAVEL NEOPRENE BIBS</t>
  </si>
  <si>
    <t>19-02296</t>
  </si>
  <si>
    <t>2651 GO TRAVEL NAPPY/DIAPER BAG REFILL</t>
  </si>
  <si>
    <t>19-02297</t>
  </si>
  <si>
    <t>2660 GO TRAVEL CHANGING MATS</t>
  </si>
  <si>
    <t>19-02298</t>
  </si>
  <si>
    <t>2665 GO TRAVEL HOODED BABY TOWEL</t>
  </si>
  <si>
    <t>19-02412</t>
  </si>
  <si>
    <t>OLIVER TWIST DICKENS CHARLES</t>
  </si>
  <si>
    <t>LIBRO</t>
  </si>
  <si>
    <t>19-02433</t>
  </si>
  <si>
    <t>BIBLIA DE LOS CRISTALES  HALL JUDY</t>
  </si>
  <si>
    <t>19-02442</t>
  </si>
  <si>
    <t>CINCUENTA SOMBRAS DE GREY JAMES, E. L.</t>
  </si>
  <si>
    <t>19-02473</t>
  </si>
  <si>
    <t>UN CAMINO ENTRE DOS MARES MCCULLOUGH, DAVID</t>
  </si>
  <si>
    <t>19-02481</t>
  </si>
  <si>
    <t>MUJERES QUE AMAN DEMASIADO NORWOOD ROBIN</t>
  </si>
  <si>
    <t>19-02488</t>
  </si>
  <si>
    <t>PUERTAS Y REJAS PLUTON EDICIONES</t>
  </si>
  <si>
    <t>19-02516</t>
  </si>
  <si>
    <t>ONE DIRECTION V. V. A. A.</t>
  </si>
  <si>
    <t>19-02531</t>
  </si>
  <si>
    <t>AVIATION HISTORY</t>
  </si>
  <si>
    <t>19-02536</t>
  </si>
  <si>
    <t>BRIDAL GUIDE</t>
  </si>
  <si>
    <t>19-02589</t>
  </si>
  <si>
    <t>4 WHEEL &amp;amp; OFF-ROAD BY PETERSEN</t>
  </si>
  <si>
    <t>19-02597</t>
  </si>
  <si>
    <t>ENTREPRENEURS STAR UP - ANNUAL</t>
  </si>
  <si>
    <t>19-02603</t>
  </si>
  <si>
    <t>MOTOR TREND</t>
  </si>
  <si>
    <t>19-02606</t>
  </si>
  <si>
    <t>56545 LISTERINE COOLMINT 95 ML</t>
  </si>
  <si>
    <t>LISTERINE</t>
  </si>
  <si>
    <t>ENJUAGUE BUCAL</t>
  </si>
  <si>
    <t>19-02615</t>
  </si>
  <si>
    <t>PLAYTEX PERSONAL CLEAN CLOTHS REFILL 48 CT</t>
  </si>
  <si>
    <t>19-02617</t>
  </si>
  <si>
    <t>WET ONES ANTIBACTERIAL SINGLE 24</t>
  </si>
  <si>
    <t>19-02646</t>
  </si>
  <si>
    <t>TROJAN PRESERVATIVO EXTASIS TEXTURIZADO 2CT</t>
  </si>
  <si>
    <t>19-02649</t>
  </si>
  <si>
    <t>ARM AND HAMMER ADVANCE WHITE B.SODA + PEROXIDE PASTA DENTAL 121G</t>
  </si>
  <si>
    <t>ARM AND HAMMER</t>
  </si>
  <si>
    <t>PASTA DENTAL</t>
  </si>
  <si>
    <t>19-02650</t>
  </si>
  <si>
    <t>ARM AND HAMMER ADVANCE WHITE TARTAR CONTROL PASTA DENTAL 121G</t>
  </si>
  <si>
    <t>19-02651</t>
  </si>
  <si>
    <t>ARM AND HAMMER ADVANCE WHITE SENSITIVE PASTA DENTAL 121G</t>
  </si>
  <si>
    <t>19-02652</t>
  </si>
  <si>
    <t>ARRID XX DEODORANT GEL MORNING CLEAN 79G</t>
  </si>
  <si>
    <t>ARRID XX</t>
  </si>
  <si>
    <t>DESODORANTE</t>
  </si>
  <si>
    <t>19-02653</t>
  </si>
  <si>
    <t>ARRID XX DEODORANT GEL COOL SHOWER 79G</t>
  </si>
  <si>
    <t>19-02654</t>
  </si>
  <si>
    <t>ARRID DEODORANT ROLL-ON REGULAR SCENT 74G</t>
  </si>
  <si>
    <t>19-02655</t>
  </si>
  <si>
    <t>ARRID XX DEODORANT ANTI-PERSPIRANT SOLID UNSCENTED 76G</t>
  </si>
  <si>
    <t>19-02656</t>
  </si>
  <si>
    <t>ARRID XX DEODORANT ANTI-PERSPIRANT SOLID ULTRA FRESH 76G</t>
  </si>
  <si>
    <t>19-02658</t>
  </si>
  <si>
    <t>DUREX XL 3CT</t>
  </si>
  <si>
    <t>19-02659</t>
  </si>
  <si>
    <t>DUREX SENSITIVO</t>
  </si>
  <si>
    <t xml:space="preserve"> DELGADO 3CT</t>
  </si>
  <si>
    <t>19-02663</t>
  </si>
  <si>
    <t>KY GEL LUBRICANTE 100G</t>
  </si>
  <si>
    <t>KY</t>
  </si>
  <si>
    <t>LUBRICANTE</t>
  </si>
  <si>
    <t>19-02683</t>
  </si>
  <si>
    <t>OSTEO BI-FLEX TRIPLE STRENGTH  CON VITAMINA D. (80 CAPSULAS)</t>
  </si>
  <si>
    <t>OSTEO BI FLEX</t>
  </si>
  <si>
    <t>VITAMINAS</t>
  </si>
  <si>
    <t>19-02742</t>
  </si>
  <si>
    <t>SUNDOWN NATURALS L- CARNITINE 500MG</t>
  </si>
  <si>
    <t>SUNDOWN NATURALS</t>
  </si>
  <si>
    <t>19-03144</t>
  </si>
  <si>
    <t>B3914AS00 HASBRO STAR WARS E7 HERO SERIES FIGURAS DELUXE</t>
  </si>
  <si>
    <t>HASBRO</t>
  </si>
  <si>
    <t>JUGUETES</t>
  </si>
  <si>
    <t>19-03159</t>
  </si>
  <si>
    <t>125 GUM CEPILLO DE ORTODONCIA PARA VIAJE</t>
  </si>
  <si>
    <t>GUM</t>
  </si>
  <si>
    <t>CEPILLO DENTAL</t>
  </si>
  <si>
    <t>19-03160</t>
  </si>
  <si>
    <t>125LK GUM KIT DE HIGIENE VIAJERO  PARA ORTODONCIA (PASTA.CEPILLO + SOFT PICKS)</t>
  </si>
  <si>
    <t>19-03162</t>
  </si>
  <si>
    <t>153 GUM CEPILLO VIAJERO ESCOLAR Y DE OFICINA</t>
  </si>
  <si>
    <t>19-03163</t>
  </si>
  <si>
    <t>202 GUM CRAYOLA FLASH TOOTHBRUSH 42MM</t>
  </si>
  <si>
    <t>19-03170</t>
  </si>
  <si>
    <t>1916S GUM MINT FLOSS 140YD</t>
  </si>
  <si>
    <t>HILO DENTAL</t>
  </si>
  <si>
    <t>19-03171</t>
  </si>
  <si>
    <t>SAL ANDREWS CLASICA POLV EFERVESCENTE CAJA DE 12</t>
  </si>
  <si>
    <t>SAL ANDREWS</t>
  </si>
  <si>
    <t>MEDICINA</t>
  </si>
  <si>
    <t>19-03180</t>
  </si>
  <si>
    <t>TYLENOL EXT.FORTE CAPLETS DISPENSADOR DE 50 SOBRES</t>
  </si>
  <si>
    <t>TYLENOL</t>
  </si>
  <si>
    <t>19-03181</t>
  </si>
  <si>
    <t>TYLENOL EXTRA FUERTE 24 CAPSULES BIL</t>
  </si>
  <si>
    <t>19-03182</t>
  </si>
  <si>
    <t>TYLENOL EXTRA FUERTE 50 CAPSULES BIL</t>
  </si>
  <si>
    <t>19-03183</t>
  </si>
  <si>
    <t>TYLENOL EXTRA FUERTE 100 CAPSULES BIL</t>
  </si>
  <si>
    <t>19-03186</t>
  </si>
  <si>
    <t>TYLENOL SUSPENSION GOTAS DE 15 ML SABOR CEREZA</t>
  </si>
  <si>
    <t>19-03187</t>
  </si>
  <si>
    <t>TYLENOL EXTRA FUERTE DE 10 SOBRES</t>
  </si>
  <si>
    <t>VISINA</t>
  </si>
  <si>
    <t>19-03188</t>
  </si>
  <si>
    <t>VISINA ORIGINAL SOLUCION OFTALMICA GOTAS DE 15 ML</t>
  </si>
  <si>
    <t>BENADRIL</t>
  </si>
  <si>
    <t>19-03195</t>
  </si>
  <si>
    <t>LOMOTIL 2 MG/855 DE 40 TABLETAS</t>
  </si>
  <si>
    <t>LOMOTIL</t>
  </si>
  <si>
    <t>19-03363</t>
  </si>
  <si>
    <t>WDKX94 MATTEL MONSTER HIGH VACACIONES MONSTRUOSAS</t>
  </si>
  <si>
    <t>MATTEL</t>
  </si>
  <si>
    <t>19-03390</t>
  </si>
  <si>
    <t>CHICA DEL TREN,LA - HAWKINS,PAULA</t>
  </si>
  <si>
    <t>19-03460</t>
  </si>
  <si>
    <t>ESPACIOS</t>
  </si>
  <si>
    <t>19-03461</t>
  </si>
  <si>
    <t>HOUSE BEAUTIFUL</t>
  </si>
  <si>
    <t>19-03474</t>
  </si>
  <si>
    <t>MOTORCYCLIST</t>
  </si>
  <si>
    <t>19-03482</t>
  </si>
  <si>
    <t>MAD MAGAZINE</t>
  </si>
  <si>
    <t>19-03546</t>
  </si>
  <si>
    <t>UN ZOO DE GANCHILLO - KREINER,MEGAN</t>
  </si>
  <si>
    <t>19-03582</t>
  </si>
  <si>
    <t>ASSASSINS CREED - FORSAKEN - BOWDEN,OLIVER</t>
  </si>
  <si>
    <t>19-03586</t>
  </si>
  <si>
    <t>ECLIPSE - MEYER,STEPHENIE</t>
  </si>
  <si>
    <t>19-03587</t>
  </si>
  <si>
    <t>IKER CASILLAS, LA HUMILDAD DEL CAMP - ORTEGO, ENRIQUE</t>
  </si>
  <si>
    <t>19-03596</t>
  </si>
  <si>
    <t>LUNA NUEVA - MEYER,STEPHENIE</t>
  </si>
  <si>
    <t>19-03610</t>
  </si>
  <si>
    <t>MAZE RUNNER 3 - LA CURA MORTAL - DASHNER JAMES</t>
  </si>
  <si>
    <t>19-03624</t>
  </si>
  <si>
    <t>AMANECER - MEYER,STEPHENIE</t>
  </si>
  <si>
    <t>19-03631</t>
  </si>
  <si>
    <t>CINCUENTA SOMBRAS LIBERADAS - JAMES,E.L.</t>
  </si>
  <si>
    <t>19-03673</t>
  </si>
  <si>
    <t>CINCUENTA SOMBRAS MAS OSCURAS - JAMES,E.L.</t>
  </si>
  <si>
    <t>19-03674</t>
  </si>
  <si>
    <t>GABO SIEMPRE - GAMBOA,SANTIAGO</t>
  </si>
  <si>
    <t>19-03707</t>
  </si>
  <si>
    <t>AIR CLASSICS</t>
  </si>
  <si>
    <t>19-03713</t>
  </si>
  <si>
    <t>SALTWATER SPORTSMAN</t>
  </si>
  <si>
    <t>19-03724</t>
  </si>
  <si>
    <t>B6661 HASBRO AVENGERS TITAN HERO 12&amp;quot; FIGURE-SURTIDO</t>
  </si>
  <si>
    <t>19-03725</t>
  </si>
  <si>
    <t>B5278 HASBRO DISNEY PRINCESS BASIC FASHION DOLL - SURTIDO</t>
  </si>
  <si>
    <t>19-03735</t>
  </si>
  <si>
    <t>B3223 HASBRO STAR WARS E7 MASKS - SURTIDOS</t>
  </si>
  <si>
    <t>19-03758</t>
  </si>
  <si>
    <t>MUSCULAR DEVELOPMENT LATINO MAGAZINE</t>
  </si>
  <si>
    <t>19-03761</t>
  </si>
  <si>
    <t>52-0031 CRAYOLA 72 CRAYON CASE</t>
  </si>
  <si>
    <t>19-03880</t>
  </si>
  <si>
    <t>LUXE</t>
  </si>
  <si>
    <t>19-03890</t>
  </si>
  <si>
    <t>39800-01400 ENERGIZER MAX AAA-2 PACK 48X1</t>
  </si>
  <si>
    <t>ENERGIZER</t>
  </si>
  <si>
    <t>BATTERY</t>
  </si>
  <si>
    <t>19-03891</t>
  </si>
  <si>
    <t>39800-09909 ENERGIZER MAX AAA-4 PACK 48X1</t>
  </si>
  <si>
    <t>19-03929</t>
  </si>
  <si>
    <t>PDP1400462 FOSTER PELUCHE 10&amp;#39;&amp;#39; C/ CAJA IZZY</t>
  </si>
  <si>
    <t>FOSTER</t>
  </si>
  <si>
    <t>PLUSH</t>
  </si>
  <si>
    <t>19-03931</t>
  </si>
  <si>
    <t>TW01-A WELL PLUS NATURAL MOSQUITO REPELLENT WRISTBAND</t>
  </si>
  <si>
    <t>WELL PLUS</t>
  </si>
  <si>
    <t>BRAZALETE</t>
  </si>
  <si>
    <t>19-03932</t>
  </si>
  <si>
    <t>TW06-A WELL PLUS SILICONE CARTOON FACE MOSQUITO REPELLENT BRACELET</t>
  </si>
  <si>
    <t>19-03933</t>
  </si>
  <si>
    <t>AMB105 WELL PLUS GLOWING SILICONE MOSQUITO REPELLENT BRACELET</t>
  </si>
  <si>
    <t>19-03934</t>
  </si>
  <si>
    <t>AMB-104 WELL PLUS LEATHER MOSQUITO REPELLENT BRACELET 2PC/PK</t>
  </si>
  <si>
    <t>19-03938</t>
  </si>
  <si>
    <t>MRP005 WELL PLUS MOSQUITO REPELLENT SMILY PATCH COLORS</t>
  </si>
  <si>
    <t>LOCION</t>
  </si>
  <si>
    <t>19-03941</t>
  </si>
  <si>
    <t>AMB-115 WELL PLUS EVA MOSQUITO REPELLENT BRACELET</t>
  </si>
  <si>
    <t>19-04035</t>
  </si>
  <si>
    <t>SENOR DE LOS ANILLOS I - JRR TOLKIEN</t>
  </si>
  <si>
    <t>H. MANCHA</t>
  </si>
  <si>
    <t>19-04037</t>
  </si>
  <si>
    <t>SENOR DE LOS ANILLOS III - JRR TOLKIEN</t>
  </si>
  <si>
    <t>19-04093</t>
  </si>
  <si>
    <t>YO ANTES DE TI</t>
  </si>
  <si>
    <t>19-04108</t>
  </si>
  <si>
    <t>PRIMER BLOG PULSERAS Y C</t>
  </si>
  <si>
    <t>19-04120</t>
  </si>
  <si>
    <t>STAR WARS REBELS LA BATA</t>
  </si>
  <si>
    <t>19-04126</t>
  </si>
  <si>
    <t>APRENDE Y JUEGA ACT DIDA</t>
  </si>
  <si>
    <t>19-04134</t>
  </si>
  <si>
    <t>LEARN &amp;amp; PLAY ALPHABET SOND</t>
  </si>
  <si>
    <t>19-04135</t>
  </si>
  <si>
    <t>LEARN &amp;amp; PLAY COLOURS SERIE</t>
  </si>
  <si>
    <t>19-04143</t>
  </si>
  <si>
    <t>BAG TAG AIRPLANE</t>
  </si>
  <si>
    <t>19-04145</t>
  </si>
  <si>
    <t>STROLLER CARDS SUSHI</t>
  </si>
  <si>
    <t>19-04169</t>
  </si>
  <si>
    <t>SALSEO GAMER</t>
  </si>
  <si>
    <t>19-04170</t>
  </si>
  <si>
    <t>SECRETOS DE YUYA</t>
  </si>
  <si>
    <t>19-04176</t>
  </si>
  <si>
    <t>DIARIO GREG 10 VIEJA ESC</t>
  </si>
  <si>
    <t>19-04178</t>
  </si>
  <si>
    <t>DIVERGENTE 1</t>
  </si>
  <si>
    <t>19-04179</t>
  </si>
  <si>
    <t>DIVERGENTE 2 INSURGENTE</t>
  </si>
  <si>
    <t>19-04180</t>
  </si>
  <si>
    <t>DIVERGENTE 3 LEAL</t>
  </si>
  <si>
    <t>19-04182</t>
  </si>
  <si>
    <t>JUEGOS DEL HAMBRE 2 EN LLAMAS</t>
  </si>
  <si>
    <t>19-04183</t>
  </si>
  <si>
    <t>JUEGOS DEL HAMBRE 3 SINSAJO</t>
  </si>
  <si>
    <t>19-04265</t>
  </si>
  <si>
    <t>WHO WAS JRR TOLKIEN</t>
  </si>
  <si>
    <t>19-04420</t>
  </si>
  <si>
    <t>TY PEPPA PIG PELUCHE - CLIP</t>
  </si>
  <si>
    <t>TY</t>
  </si>
  <si>
    <t>PELUCHE</t>
  </si>
  <si>
    <t>19-04460</t>
  </si>
  <si>
    <t>BOING TOYS LION GUARD FIG 8&amp;quot; INCHES  ASSORTED</t>
  </si>
  <si>
    <t>BOING TOYS</t>
  </si>
  <si>
    <t>19-04473</t>
  </si>
  <si>
    <t>BOING TOYS BOING GAMES MAGIC JINN</t>
  </si>
  <si>
    <t>19-04476</t>
  </si>
  <si>
    <t>OCTANOS</t>
  </si>
  <si>
    <t>19-04477</t>
  </si>
  <si>
    <t>RUTA DE MANJARES</t>
  </si>
  <si>
    <t>ANDRO</t>
  </si>
  <si>
    <t>19-04634</t>
  </si>
  <si>
    <t>20-40070 SUN BUM SPF 70 SUNSCREEN LOTION 8OZ</t>
  </si>
  <si>
    <t>SUN BUM</t>
  </si>
  <si>
    <t>SUN BLOCK</t>
  </si>
  <si>
    <t>19-04635</t>
  </si>
  <si>
    <t>20-40315 SUN BUM SPF 15 SUNSCREEN LOTION 3OZ SHORTIE</t>
  </si>
  <si>
    <t>19-04639</t>
  </si>
  <si>
    <t>20-42015 SUN BUM SPF 15 SUNSCREEN SPRAY 6OZ</t>
  </si>
  <si>
    <t>19-04645</t>
  </si>
  <si>
    <t>20-45095 SUN BUM BANANA LIP BALM</t>
  </si>
  <si>
    <t>LIP BALM</t>
  </si>
  <si>
    <t>19-04647</t>
  </si>
  <si>
    <t>20-46025 SUN BUM KEY LIME LIP BALM</t>
  </si>
  <si>
    <t>19-04648</t>
  </si>
  <si>
    <t>20-46026 SUN BUM MANGO LIP BALM</t>
  </si>
  <si>
    <t>19-04649</t>
  </si>
  <si>
    <t>20-46028 SUN BUM POMEGRANATE LIP BALM</t>
  </si>
  <si>
    <t>19-04653</t>
  </si>
  <si>
    <t>20-45080 SUN BUM COOL DOWN ALOE GEL 8OZ</t>
  </si>
  <si>
    <t>19-04654</t>
  </si>
  <si>
    <t>20-45088 SUN BUM COOL DOWN SPRAY 6OZ</t>
  </si>
  <si>
    <t>19-04655</t>
  </si>
  <si>
    <t>30-50330 SUN BUM SPF 30 BABY BUM LOTION 3OZ</t>
  </si>
  <si>
    <t>19-04658</t>
  </si>
  <si>
    <t>20-50005 SUN BUM SUNLESS TANNING TOWELETTE 5-PACK</t>
  </si>
  <si>
    <t>19-04660</t>
  </si>
  <si>
    <t>20-60330 SUN BUM SPF 30 LOTION 3OZ</t>
  </si>
  <si>
    <t>19-04661</t>
  </si>
  <si>
    <t>20-60350 SUN BUM SPF 50 LOTION 3OZ</t>
  </si>
  <si>
    <t>19-04665</t>
  </si>
  <si>
    <t>80-41025 SUN BUM SEA SPRAY 6OZ</t>
  </si>
  <si>
    <t>19-04666</t>
  </si>
  <si>
    <t>80-41040 SUN BUM SHINE ON 3OZ</t>
  </si>
  <si>
    <t>19-04667</t>
  </si>
  <si>
    <t>20-75075 SUN BUM SUN BUM DAYTRIPPER KIT</t>
  </si>
  <si>
    <t>19-04669</t>
  </si>
  <si>
    <t>40-30015 SUN BUM 9&amp;quot; SONNY VINYL FIGURE</t>
  </si>
  <si>
    <t>JUGUETE</t>
  </si>
  <si>
    <t>19-04672</t>
  </si>
  <si>
    <t>40-30060 SUN BUM BEACH TOWEL - SONNY / YELLOW</t>
  </si>
  <si>
    <t>TOALLA</t>
  </si>
  <si>
    <t>19-04673</t>
  </si>
  <si>
    <t>40-30030 SUN BUM BEACH FLYER</t>
  </si>
  <si>
    <t>19-04794</t>
  </si>
  <si>
    <t>04-2532 CRAYOLA PREMIER ART SET</t>
  </si>
  <si>
    <t>LAPIZ DE COLOR</t>
  </si>
  <si>
    <t>19-04796</t>
  </si>
  <si>
    <t>PANADOL MULTISYMPTON 16X1</t>
  </si>
  <si>
    <t>PANADOL</t>
  </si>
  <si>
    <t>19-04797</t>
  </si>
  <si>
    <t>PANADOL NINOS 20X1</t>
  </si>
  <si>
    <t>19-04798</t>
  </si>
  <si>
    <t>PANADOL SINUS 16X1</t>
  </si>
  <si>
    <t>19-04801</t>
  </si>
  <si>
    <t>ALKA SELTZER  12X1</t>
  </si>
  <si>
    <t>ALKA SELTZER</t>
  </si>
  <si>
    <t>19-04809</t>
  </si>
  <si>
    <t>TYLENOL  12X1</t>
  </si>
  <si>
    <t>19-04810</t>
  </si>
  <si>
    <t>VICK VAPORUB 50 GR</t>
  </si>
  <si>
    <t>VICK</t>
  </si>
  <si>
    <t>19-04821</t>
  </si>
  <si>
    <t>EDAD DE LA VERDAD</t>
  </si>
  <si>
    <t>19-04824</t>
  </si>
  <si>
    <t>SELECCION 1</t>
  </si>
  <si>
    <t>19-04825</t>
  </si>
  <si>
    <t>SELECCION 5 CORONA</t>
  </si>
  <si>
    <t>19-04835</t>
  </si>
  <si>
    <t>WATERFIREN 1 AZUL PROFUNDO</t>
  </si>
  <si>
    <t>19-04848</t>
  </si>
  <si>
    <t>PERSONAS COMPRAN PERSONAS</t>
  </si>
  <si>
    <t>19-04853</t>
  </si>
  <si>
    <t>NINA QUE MIRABA LOS TREN</t>
  </si>
  <si>
    <t>19-04857</t>
  </si>
  <si>
    <t>CONSEJOS PARA EL HOGAR</t>
  </si>
  <si>
    <t>19-04858</t>
  </si>
  <si>
    <t>CAKEPOPS PASTELILLOS EN</t>
  </si>
  <si>
    <t>19-04859</t>
  </si>
  <si>
    <t>YOGUR HELADO Y MUCHO MAS</t>
  </si>
  <si>
    <t>19-04861</t>
  </si>
  <si>
    <t>REFRESCOS Y MUCHOS MAS</t>
  </si>
  <si>
    <t>19-04864</t>
  </si>
  <si>
    <t>FOODPOPS PISCOLABIS SALA</t>
  </si>
  <si>
    <t>19-04866</t>
  </si>
  <si>
    <t>CUPCAKES Y MUFFINS SALAD</t>
  </si>
  <si>
    <t>19-04868</t>
  </si>
  <si>
    <t>MUG CAKE</t>
  </si>
  <si>
    <t>19-04869</t>
  </si>
  <si>
    <t>CHIP SANOS Y SALSAS DEL</t>
  </si>
  <si>
    <t>19-04871</t>
  </si>
  <si>
    <t>AVENTURAS DE PENSAR</t>
  </si>
  <si>
    <t>19-04872</t>
  </si>
  <si>
    <t>GALLETAS Y PASTAS CASERAS</t>
  </si>
  <si>
    <t>19-04889</t>
  </si>
  <si>
    <t>IT ( ESO)</t>
  </si>
  <si>
    <t>19-04938</t>
  </si>
  <si>
    <t>DIARIO GREG 1 UN RENACUA</t>
  </si>
  <si>
    <t>19-04939</t>
  </si>
  <si>
    <t>DIARIO GREG 4 DIAS DE PE</t>
  </si>
  <si>
    <t>19-04940</t>
  </si>
  <si>
    <t>DIARIO GREG 5 LA HORRIBL</t>
  </si>
  <si>
    <t>19-04944</t>
  </si>
  <si>
    <t>ENLAZADOS</t>
  </si>
  <si>
    <t>19-05002</t>
  </si>
  <si>
    <t>QUIEN DOMINA EL MUNDO</t>
  </si>
  <si>
    <t>19-05226</t>
  </si>
  <si>
    <t>24291-29039 CLEAN &amp;amp; CLEAR CREAM CLEANSER 60X1OZ</t>
  </si>
  <si>
    <t>CLEAN AND CLEAR</t>
  </si>
  <si>
    <t>CREMAS</t>
  </si>
  <si>
    <t>19-05228</t>
  </si>
  <si>
    <t>83725-42110 COTTON BUDS SWABS PACK OF 24</t>
  </si>
  <si>
    <t>COTTON BUDS</t>
  </si>
  <si>
    <t>APLICADORES</t>
  </si>
  <si>
    <t>19-05229</t>
  </si>
  <si>
    <t>24291-29159 CREST REGULAR TOOTHPASTE &amp;amp; TRAVEL TOOTHBRUSH 48X0.85OZ</t>
  </si>
  <si>
    <t>CREST</t>
  </si>
  <si>
    <t>19-05232</t>
  </si>
  <si>
    <t>79400-38057 DOVE ADVANCED CARE DEODORANT 36X0.5OZ</t>
  </si>
  <si>
    <t>DOVE</t>
  </si>
  <si>
    <t>19-05234</t>
  </si>
  <si>
    <t>81519-01991 HERBAL ESSENCES HELLO HYDRATION CONDITIONER 36X1.7OZ</t>
  </si>
  <si>
    <t>HERBAL ESSENCES</t>
  </si>
  <si>
    <t>ACONDICIONADOR</t>
  </si>
  <si>
    <t>19-05235</t>
  </si>
  <si>
    <t>81519-01990 HERBAL ESSENCES HELLO HYDRATION SHAMPOO 36X1.7OZ</t>
  </si>
  <si>
    <t>SHAMPOO</t>
  </si>
  <si>
    <t>19-05236</t>
  </si>
  <si>
    <t>81371-03005 JOHNSON&amp;#39;S BABY LOTION 48X3OZ</t>
  </si>
  <si>
    <t>JOHNSON&amp;#39;S</t>
  </si>
  <si>
    <t>19-05237</t>
  </si>
  <si>
    <t>81370-04170 JOHNSON&amp;#39;S BABY OIL 48X3OZ</t>
  </si>
  <si>
    <t>OIL</t>
  </si>
  <si>
    <t>19-05238</t>
  </si>
  <si>
    <t>81370-03712 JOHNSON&amp;#39;S BABY SHAMPOO 144X1.5OZ</t>
  </si>
  <si>
    <t>19-05239</t>
  </si>
  <si>
    <t>81370-03001 JOHNSON&amp;#39;S PURE CORNSTARCH BABY POWDER 96X1.5OZ</t>
  </si>
  <si>
    <t>POLVO</t>
  </si>
  <si>
    <t>19-05240</t>
  </si>
  <si>
    <t>22200-96299 LADY SPEED STICK POWDER FRESH 12X1.4OZ</t>
  </si>
  <si>
    <t>LADY SPEED STICK</t>
  </si>
  <si>
    <t>19-05242</t>
  </si>
  <si>
    <t>24291-29063 LUBRIDERM DAILY MOISTURE LOTION TRAVEL SIZE 48X1OZ</t>
  </si>
  <si>
    <t>LUBRIDERM</t>
  </si>
  <si>
    <t>19-05244</t>
  </si>
  <si>
    <t>73852-02612 PURELL ADVANCED HAND SANITIZER 25X1OZ</t>
  </si>
  <si>
    <t>PURELL</t>
  </si>
  <si>
    <t>JABON</t>
  </si>
  <si>
    <t>19-05245</t>
  </si>
  <si>
    <t>73852-00938 PURELL ADVANCED HAND SANITIZER WITH ALOE 24X2OZ</t>
  </si>
  <si>
    <t>19-05246</t>
  </si>
  <si>
    <t>73852-05542 PURELL HAND SANITIZER WITH JELLY WRAP 72X1OZ</t>
  </si>
  <si>
    <t>19-05247</t>
  </si>
  <si>
    <t>24291-29067 REACH WAXED FLOSS 144X55YD</t>
  </si>
  <si>
    <t>REACH</t>
  </si>
  <si>
    <t>19-05248</t>
  </si>
  <si>
    <t>37000-00496 SECRET OUTLAST CLEAR GEL DEODORANT 24X0.5OZ</t>
  </si>
  <si>
    <t>SECRET</t>
  </si>
  <si>
    <t>19-05249</t>
  </si>
  <si>
    <t>24291-28048 TRAVEL KIT WOMEN&amp;#39;S 9 PIECE 12X1</t>
  </si>
  <si>
    <t>TRAVEL KIT</t>
  </si>
  <si>
    <t>SET DE BANO</t>
  </si>
  <si>
    <t>19-05271</t>
  </si>
  <si>
    <t>LIDER DE 360</t>
  </si>
  <si>
    <t>19-05278</t>
  </si>
  <si>
    <t>CHICA QUE DEJASTES ATRAS, LA</t>
  </si>
  <si>
    <t>19-05279</t>
  </si>
  <si>
    <t>DESTROZA ESTE DIARIO</t>
  </si>
  <si>
    <t>19-05280</t>
  </si>
  <si>
    <t>DESTROZA ESTE DIARO EN</t>
  </si>
  <si>
    <t>19-05281</t>
  </si>
  <si>
    <t>DIARIO DE GREG MONTA TU PROPIO</t>
  </si>
  <si>
    <t>19-05284</t>
  </si>
  <si>
    <t>RAZON  DE ESTAR CONTIGO , LA</t>
  </si>
  <si>
    <t>19-05285</t>
  </si>
  <si>
    <t>WIGETTA Y LOS GUSANOS GUASONES</t>
  </si>
  <si>
    <t>19-05286</t>
  </si>
  <si>
    <t>Y SI ESTO NO ES UN LIBRO</t>
  </si>
  <si>
    <t>19-05287</t>
  </si>
  <si>
    <t>FACTOR X</t>
  </si>
  <si>
    <t>19-05288</t>
  </si>
  <si>
    <t>SIETE PASOS PARA CONVERTIR TUS</t>
  </si>
  <si>
    <t>19-05289</t>
  </si>
  <si>
    <t>VIAJE EL</t>
  </si>
  <si>
    <t>19-05290</t>
  </si>
  <si>
    <t>GENIOS NO NACEN &amp;#161; SE HACEN</t>
  </si>
  <si>
    <t>19-05291</t>
  </si>
  <si>
    <t>PARABOLA DE TRIUNFADOR</t>
  </si>
  <si>
    <t>19-05292</t>
  </si>
  <si>
    <t>COMO COMUNICARNOS EN PUBLICO</t>
  </si>
  <si>
    <t>19-05293</t>
  </si>
  <si>
    <t>PODER DE LA PERSISTENCIA</t>
  </si>
  <si>
    <t>19-05294</t>
  </si>
  <si>
    <t>DE LA MOTIVACION A LA ACCION</t>
  </si>
  <si>
    <t>19-05295</t>
  </si>
  <si>
    <t>HABILIDADES PARA EL TRATO PERS</t>
  </si>
  <si>
    <t>19-05296</t>
  </si>
  <si>
    <t>PIENSE COMO UN MILLONARIO</t>
  </si>
  <si>
    <t>19-05297</t>
  </si>
  <si>
    <t>NUEVAS VENTAS SIMPLIF SC</t>
  </si>
  <si>
    <t>19-05298</t>
  </si>
  <si>
    <t>COMO SER UN LIDER</t>
  </si>
  <si>
    <t>19-05299</t>
  </si>
  <si>
    <t>5 CONSEJOS PARA POTENCIAR</t>
  </si>
  <si>
    <t>19-05300</t>
  </si>
  <si>
    <t>SE ACABO EL PROMEDIO</t>
  </si>
  <si>
    <t>19-05301</t>
  </si>
  <si>
    <t>FUTURO DE LA DIRECCION DE RECU</t>
  </si>
  <si>
    <t>19-05302</t>
  </si>
  <si>
    <t>EN EL CAMINO HACIA EL EXITO</t>
  </si>
  <si>
    <t>19-05303</t>
  </si>
  <si>
    <t>CAMBIA VIDA 90 DIAS TRADING</t>
  </si>
  <si>
    <t>19-05344</t>
  </si>
  <si>
    <t>B0068 HASBRO TRANSFORMERS RID ONE STEP CHANGERS SURTIDO</t>
  </si>
  <si>
    <t>19-05453</t>
  </si>
  <si>
    <t>SIN TACONES SIN RESERVA</t>
  </si>
  <si>
    <t>19-05457</t>
  </si>
  <si>
    <t>BIG BOOK ONE DIRECTION</t>
  </si>
  <si>
    <t>19-05504</t>
  </si>
  <si>
    <t>HEREDERA, LA</t>
  </si>
  <si>
    <t>19-05518</t>
  </si>
  <si>
    <t>SELECCIONES</t>
  </si>
  <si>
    <t>19-05564</t>
  </si>
  <si>
    <t>ALICIA EN EL PAIS...3D</t>
  </si>
  <si>
    <t>19-05581</t>
  </si>
  <si>
    <t>CORONA, LA</t>
  </si>
  <si>
    <t>19-05613</t>
  </si>
  <si>
    <t>INFILTRADA BODA</t>
  </si>
  <si>
    <t>19-05630</t>
  </si>
  <si>
    <t>MAZE RUNNER 4 VIRUS LETAL</t>
  </si>
  <si>
    <t>19-05657</t>
  </si>
  <si>
    <t>QUIEN HA PUESTO ESTE HUEVO?</t>
  </si>
  <si>
    <t>19-05882</t>
  </si>
  <si>
    <t>WBBT68 MATTEL FISHER PRICE LEON DE ACTIVIDADES</t>
  </si>
  <si>
    <t>19-05887</t>
  </si>
  <si>
    <t>WDHW14 MATTEL FISHER PRICE CATERPILLAR</t>
  </si>
  <si>
    <t>19-05906</t>
  </si>
  <si>
    <t>WFBD13 MATTEL CHAMELEON</t>
  </si>
  <si>
    <t>19-06083</t>
  </si>
  <si>
    <t>PANINI ALBUM WC RUSIA 2018</t>
  </si>
  <si>
    <t>PANINI</t>
  </si>
  <si>
    <t>19-06084</t>
  </si>
  <si>
    <t>PANINI WC RUSIA STICKERS PACKET</t>
  </si>
  <si>
    <t>STICKERS</t>
  </si>
  <si>
    <t>19-06085</t>
  </si>
  <si>
    <t>20-46023 SUN BUM WATERMELON LIP BALM</t>
  </si>
  <si>
    <t>19-06168</t>
  </si>
  <si>
    <t>COCINA LECTURAS</t>
  </si>
  <si>
    <t>REVISTA</t>
  </si>
  <si>
    <t>19-06169</t>
  </si>
  <si>
    <t>AXXIS</t>
  </si>
  <si>
    <t>19-06172</t>
  </si>
  <si>
    <t>SABER VIVIR</t>
  </si>
  <si>
    <t>19-06179</t>
  </si>
  <si>
    <t>GQ EN ESPANOL</t>
  </si>
  <si>
    <t>19-06182</t>
  </si>
  <si>
    <t>58-6511 CRAYOLA SIGNATURE SKETCH AND DETAIL DUAL ENDED MARKERS</t>
  </si>
  <si>
    <t>19-06184</t>
  </si>
  <si>
    <t>75-2452 CRAYOLA COLOR WONDER SCENTED STAMPERS</t>
  </si>
  <si>
    <t>19-06188</t>
  </si>
  <si>
    <t>04-0124 CRAYOLA ADULT COLORING ELABORATE ESCAPES</t>
  </si>
  <si>
    <t>19-06200</t>
  </si>
  <si>
    <t>BP-2427 BIC BOLIGRAFO CRISTAL NEEDLE AZUL 3-PACK</t>
  </si>
  <si>
    <t>BIC</t>
  </si>
  <si>
    <t>BOLIGRAFO</t>
  </si>
  <si>
    <t>19-06201</t>
  </si>
  <si>
    <t>WA9312 HASBRO RUBIKS CUBE</t>
  </si>
  <si>
    <t>19-06267</t>
  </si>
  <si>
    <t>SUPER SOPA DE LETRAS</t>
  </si>
  <si>
    <t>19-06268</t>
  </si>
  <si>
    <t>SELECCI&amp;#211;N CRUZADAS</t>
  </si>
  <si>
    <t>19-06271</t>
  </si>
  <si>
    <t>W10859 LEGO DUPLO MY FIRST LADYBUG</t>
  </si>
  <si>
    <t>LEGO</t>
  </si>
  <si>
    <t>19-06285</t>
  </si>
  <si>
    <t>W10709 LEGO CLASSIC ORANGE CREATIVITY BOX</t>
  </si>
  <si>
    <t>19-06301</t>
  </si>
  <si>
    <t>W71020 LEGO CONFIDENTIAL MINIFIGURES 2018</t>
  </si>
  <si>
    <t>19-06318</t>
  </si>
  <si>
    <t>80290007 OLD SPICE PURE SPORT PLUS EXTRA-STRONG DEODORANT 24X0.5OZ</t>
  </si>
  <si>
    <t>OLD SPICE</t>
  </si>
  <si>
    <t>19-06319</t>
  </si>
  <si>
    <t>80291522 CREST MULTIPROTECTION CLEAN MINT MOUTH WASH 48X36ML</t>
  </si>
  <si>
    <t>19-06320</t>
  </si>
  <si>
    <t>80287594 ORAL B PRO HEALTH TOOTHBRUSH 1X72CT</t>
  </si>
  <si>
    <t>ORAL B</t>
  </si>
  <si>
    <t>19-06323</t>
  </si>
  <si>
    <t>80285228 GILLETTE FOAMY REGULAR SHAVING FOAM 48X2OZ</t>
  </si>
  <si>
    <t>GILLETTE</t>
  </si>
  <si>
    <t>ESPUMA DE AFEITAR</t>
  </si>
  <si>
    <t>19-06324</t>
  </si>
  <si>
    <t>80248247 GILLETTE VENUS RAZOR 1X36CT</t>
  </si>
  <si>
    <t>RASURADORA</t>
  </si>
  <si>
    <t>19-06325</t>
  </si>
  <si>
    <t>80307840 GILLETTE MACH3 RAZOR 1X36CT</t>
  </si>
  <si>
    <t>19-06326</t>
  </si>
  <si>
    <t>80299706 GILLETTE VENUS SHAVE GEL VANILLA CASHMERE 24X2.5OZ</t>
  </si>
  <si>
    <t>19-06327</t>
  </si>
  <si>
    <t>80301779 PANTENE CONDITIONER SMOOTH &amp;amp; SLEEK 24X3.38OZ</t>
  </si>
  <si>
    <t>PANTENE</t>
  </si>
  <si>
    <t>19-06328</t>
  </si>
  <si>
    <t>80301778 PANTENE SHAMPOO SMOOTH &amp;amp; SLEEK 24X3.38OZ</t>
  </si>
  <si>
    <t>19-06329</t>
  </si>
  <si>
    <t>80301776 PANTENE CONDITIONER DAILY MOISTURE RENEWAL 24X3.38OZ</t>
  </si>
  <si>
    <t>19-06333</t>
  </si>
  <si>
    <t>80298308 OLAY ULTRA MOISTURE SHEA BUTTER BODY LOTION 36X1.7OZ</t>
  </si>
  <si>
    <t>OLAY</t>
  </si>
  <si>
    <t>CREMA CORPORAL</t>
  </si>
  <si>
    <t>19-06334</t>
  </si>
  <si>
    <t>80296451 ALWAYS WIPES TO-GO FRESH CLEAN 20WIPES 1X12CT</t>
  </si>
  <si>
    <t>ALWAYS</t>
  </si>
  <si>
    <t>19-06337</t>
  </si>
  <si>
    <t>80290697 OLAY BODY WASH 24X3OZ</t>
  </si>
  <si>
    <t>19-06339</t>
  </si>
  <si>
    <t>80291967 FEBREZE FABRIC REFRESHER TO-GO 36X2.8OZ</t>
  </si>
  <si>
    <t>FEBREZE</t>
  </si>
  <si>
    <t>19-06340</t>
  </si>
  <si>
    <t>80253379 TIDE TO-GO 1X6CT</t>
  </si>
  <si>
    <t>TIDE</t>
  </si>
  <si>
    <t>DESINFECTANTE</t>
  </si>
  <si>
    <t>19-06342</t>
  </si>
  <si>
    <t>80275750 SECRET OUTLAST COMPLETELY CLEAN DEODORANT 24X0.5OZ</t>
  </si>
  <si>
    <t>19-06344</t>
  </si>
  <si>
    <t>469336 HANSAPLAST 20 CURITAS IMPERMEABLES</t>
  </si>
  <si>
    <t>HANSAPLAST</t>
  </si>
  <si>
    <t>CURITA</t>
  </si>
  <si>
    <t>19-06345</t>
  </si>
  <si>
    <t>009389 HANSAPLAST 100 CURITAS STANDARD TRANSPARENTES</t>
  </si>
  <si>
    <t>VENDA ADHESIVA</t>
  </si>
  <si>
    <t>19-06346</t>
  </si>
  <si>
    <t>PEPTO BISMOL 4OZ</t>
  </si>
  <si>
    <t>PEPTO BISMOL</t>
  </si>
  <si>
    <t>19-06349</t>
  </si>
  <si>
    <t>DRAMAMINE NAUSEA  MAREO Y VOMITO  50MG</t>
  </si>
  <si>
    <t>DRAMAMINE</t>
  </si>
  <si>
    <t>19-06350</t>
  </si>
  <si>
    <t>KISS WIDE BOARD NAIL FILE</t>
  </si>
  <si>
    <t>KISS</t>
  </si>
  <si>
    <t>ACCESORIOS</t>
  </si>
  <si>
    <t>19-06351</t>
  </si>
  <si>
    <t>MAXI CRUZADAS</t>
  </si>
  <si>
    <t>DIST.LEWIS</t>
  </si>
  <si>
    <t>19-06375</t>
  </si>
  <si>
    <t>CATS ADULT COLORING BOOK</t>
  </si>
  <si>
    <t>HOMBRE MANCHA</t>
  </si>
  <si>
    <t>19-06392</t>
  </si>
  <si>
    <t>FANTASMA DE NORIEGA, EL</t>
  </si>
  <si>
    <t>19-06411</t>
  </si>
  <si>
    <t>LECCION DE AUGUST</t>
  </si>
  <si>
    <t>19-06414</t>
  </si>
  <si>
    <t>LONDRES DESPU&amp;#201;S DE TI</t>
  </si>
  <si>
    <t>19-06421</t>
  </si>
  <si>
    <t>MIL VECES HASTA SIEMPRE</t>
  </si>
  <si>
    <t>19-06426</t>
  </si>
  <si>
    <t>MUERTE EN LA VICARIA</t>
  </si>
  <si>
    <t>19-06428</t>
  </si>
  <si>
    <t>MUJERES QUE AMAN DEMASIADO</t>
  </si>
  <si>
    <t>19-06429</t>
  </si>
  <si>
    <t>NANCY DIARIES 1 CURSE ARTIC</t>
  </si>
  <si>
    <t>19-06431</t>
  </si>
  <si>
    <t>NO SONRIAS QUE ME ENAMORO</t>
  </si>
  <si>
    <t>19-06436</t>
  </si>
  <si>
    <t>PARAISO ES TU CASA, EL</t>
  </si>
  <si>
    <t>19-06441</t>
  </si>
  <si>
    <t>POIROT INFRINGE LA LEY</t>
  </si>
  <si>
    <t>19-06442</t>
  </si>
  <si>
    <t>POSH ADULT INSPIRATIONAL QUOTE</t>
  </si>
  <si>
    <t>19-06447</t>
  </si>
  <si>
    <t>QUINIENTAS VECES TU NOMBRE</t>
  </si>
  <si>
    <t>19-06449</t>
  </si>
  <si>
    <t>SABORES DE LA COCINA PANAMENA</t>
  </si>
  <si>
    <t>19-06451</t>
  </si>
  <si>
    <t>SILMARILLION EL</t>
  </si>
  <si>
    <t>19-06452</t>
  </si>
  <si>
    <t>SOY LUNA 0 PRINCIPIO DEL VERAN</t>
  </si>
  <si>
    <t>19-06453</t>
  </si>
  <si>
    <t>SOY LUNA 1 VIAJE COMIENZA</t>
  </si>
  <si>
    <t>19-06454</t>
  </si>
  <si>
    <t>SOY LUNA 2 COMPETENCIA SOBRE R</t>
  </si>
  <si>
    <t>19-06455</t>
  </si>
  <si>
    <t>SOY LUNA 3 VUELTAS EN LA PISTA</t>
  </si>
  <si>
    <t>19-06456</t>
  </si>
  <si>
    <t>SOY LUNA 4. EN BUSCA DE LOS SU</t>
  </si>
  <si>
    <t>19-06467</t>
  </si>
  <si>
    <t>VALLE DE LA CALMA</t>
  </si>
  <si>
    <t>19-06474</t>
  </si>
  <si>
    <t>AMOR A CUATRO ESTACIONES</t>
  </si>
  <si>
    <t>19-06477</t>
  </si>
  <si>
    <t>CHUPA EL PERRO</t>
  </si>
  <si>
    <t>19-06478</t>
  </si>
  <si>
    <t>SOLO NOSOTROS DOS</t>
  </si>
  <si>
    <t>19-06488</t>
  </si>
  <si>
    <t>VANIDADES</t>
  </si>
  <si>
    <t>19-06489</t>
  </si>
  <si>
    <t>COSMOPOLITAN EN ESPA&amp;#209;OL</t>
  </si>
  <si>
    <t>19-06490</t>
  </si>
  <si>
    <t>REVISTA TU</t>
  </si>
  <si>
    <t>19-06494</t>
  </si>
  <si>
    <t>HARPER BAZAAR EN ESPA&amp;#209;OL</t>
  </si>
  <si>
    <t>19-06519</t>
  </si>
  <si>
    <t>6039460  Hatchimals Surprise REFRESH Egg-2 Puzzles</t>
  </si>
  <si>
    <t>19-06521</t>
  </si>
  <si>
    <t>6041343 HATCHIMALS COLLEGGTIBLES 2PK EGG CARTON S2</t>
  </si>
  <si>
    <t>19-06543</t>
  </si>
  <si>
    <t>24845 PJ MASKS DIE CAST CARS</t>
  </si>
  <si>
    <t>19-06547</t>
  </si>
  <si>
    <t>96792 POKEMON 2&amp;quot;inches pack x 23&amp;quot; inches pack x 1 FIGURE PACK BLISTER</t>
  </si>
  <si>
    <t>19-06576</t>
  </si>
  <si>
    <t>TY BEANIE BOOS 35020 OWLETTE</t>
  </si>
  <si>
    <t>19-06579</t>
  </si>
  <si>
    <t>TY BEANIE BOOS 35032 SAMI PEZ NARANJA</t>
  </si>
  <si>
    <t>19-06583</t>
  </si>
  <si>
    <t>TY BEANIE BOOS 37199 SCOOTER CARACOL</t>
  </si>
  <si>
    <t>19-06585</t>
  </si>
  <si>
    <t>TY BEANIE BOOS 37189 DOTTY LEOPARD</t>
  </si>
  <si>
    <t>19-06586</t>
  </si>
  <si>
    <t>TY BEANIE BOOS 36253 ENCHANTED BUHO</t>
  </si>
  <si>
    <t>19-06587</t>
  </si>
  <si>
    <t>TY BEANIE BOOS 36216 NORI narwhal</t>
  </si>
  <si>
    <t>19-06588</t>
  </si>
  <si>
    <t>TY BEANIE BOOS 36252 RAMSEY LEON CAFE</t>
  </si>
  <si>
    <t>19-06596</t>
  </si>
  <si>
    <t>TY BEANIES 32128 LULLABY BLUE BEAR</t>
  </si>
  <si>
    <t>19-06600</t>
  </si>
  <si>
    <t>TY BABY TY 82008 TWINKLES PINGUINO AZUL</t>
  </si>
  <si>
    <t>19-06606</t>
  </si>
  <si>
    <t>TY GEAR 95211 GILBERT BOLSO</t>
  </si>
  <si>
    <t>19-06608</t>
  </si>
  <si>
    <t>TY GEAR 95204 COCONUT BOLSO</t>
  </si>
  <si>
    <t>19-06609</t>
  </si>
  <si>
    <t>TY GEAR 95201 OWEN BOLSO</t>
  </si>
  <si>
    <t>19-06614</t>
  </si>
  <si>
    <t>TY BEANIES PAW PATROL 41276 CHASE</t>
  </si>
  <si>
    <t>19-06615</t>
  </si>
  <si>
    <t>TY BEANIES PAW PATROL 41277 MARSHALL</t>
  </si>
  <si>
    <t>60-01-00332</t>
  </si>
  <si>
    <t>BOLSAS BIO  S  11.5&amp;quot;x15&amp;quot;</t>
  </si>
  <si>
    <t>DFA</t>
  </si>
  <si>
    <t>BOLSAS</t>
  </si>
  <si>
    <t>60-01-00462</t>
  </si>
  <si>
    <t>BOLSAS BIO  M  16&amp;quot;x18&amp;quot;</t>
  </si>
  <si>
    <t>60-03-24436</t>
  </si>
  <si>
    <t>BOLSAS BIO  XS  9&amp;quot;X12&amp;quot;</t>
  </si>
  <si>
    <t>60-19-50034</t>
  </si>
  <si>
    <t>50-10048 SUN BUM LIP BALM COUNTER DISPLAY</t>
  </si>
  <si>
    <t>POP</t>
  </si>
  <si>
    <t>60-19-50035</t>
  </si>
  <si>
    <t>40-30015 SUN BUM RETAIL-9&amp;quot; SONNY-VINYL FIGURE</t>
  </si>
  <si>
    <t>(en blanco)</t>
  </si>
  <si>
    <t>Total general</t>
  </si>
  <si>
    <t>Suma de Existencia</t>
  </si>
  <si>
    <t>Costo</t>
  </si>
  <si>
    <t>Valorizado a costo</t>
  </si>
  <si>
    <t>19-00796</t>
  </si>
  <si>
    <t>CABRONA Y MILLONARIA CHELMINSKY,ADINA</t>
  </si>
  <si>
    <t>19-02350</t>
  </si>
  <si>
    <t>AMANTE JAPONES ALLENDE ISABEL</t>
  </si>
  <si>
    <t>19-02411</t>
  </si>
  <si>
    <t>NOVEL JOURNAL GREAT EXPECTATIONS DICKENS CHARLES</t>
  </si>
  <si>
    <t>19-02424</t>
  </si>
  <si>
    <t>19-02428</t>
  </si>
  <si>
    <t>LUNA ROJA  GRAY MRONADO</t>
  </si>
  <si>
    <t>19-02435</t>
  </si>
  <si>
    <t>HBR GUIDE TO GETTING THE RIGHT WORK DONE HARVARD B</t>
  </si>
  <si>
    <t>19-02443</t>
  </si>
  <si>
    <t>CINCUENTA SOMBRAS DE GREY LIBERADAS JAMES, E. L.</t>
  </si>
  <si>
    <t>19-02449</t>
  </si>
  <si>
    <t>THE WALKING DEAD LA CAIDA DEL GOBERNADOR KIRKMAN R</t>
  </si>
  <si>
    <t>19-02511</t>
  </si>
  <si>
    <t>ULTIMO DIA DE ADOLF HITLER SOLAR DAVID</t>
  </si>
  <si>
    <t>19-03387</t>
  </si>
  <si>
    <t>CABANA,LA - YOUNG,PAUL WM.</t>
  </si>
  <si>
    <t>19-03427</t>
  </si>
  <si>
    <t>PILARES DE LA TIERRA - FOLLET, KEN</t>
  </si>
  <si>
    <t>19-03441</t>
  </si>
  <si>
    <t>SOBERBIA JUVENTUD,LA - SIMONETTI,PABLO</t>
  </si>
  <si>
    <t>19-03518</t>
  </si>
  <si>
    <t>19-03520</t>
  </si>
  <si>
    <t>CORAZONES BLANCOS - ORTEGO,REY ENRIQUE</t>
  </si>
  <si>
    <t>19-03524</t>
  </si>
  <si>
    <t>ESCAPE THE RAT RACE - KIYOSAKI,R.T.</t>
  </si>
  <si>
    <t>19-03530</t>
  </si>
  <si>
    <t>LOTHAIRE - COLE,KRESLEY</t>
  </si>
  <si>
    <t>19-03564</t>
  </si>
  <si>
    <t>NOVEL JOURNAL:THE WIZARD OF OZ - BAUM,L.FRANK</t>
  </si>
  <si>
    <t>19-03607</t>
  </si>
  <si>
    <t>CATCHING FIRE - COLLINS,SUZANE</t>
  </si>
  <si>
    <t>19-03609</t>
  </si>
  <si>
    <t>HABLADOR,EL - VARGAS LLOSA,MARIO</t>
  </si>
  <si>
    <t>19-03638</t>
  </si>
  <si>
    <t>VERANO EN QUE ME ENAMORE - HAN,JENNY</t>
  </si>
  <si>
    <t>19-03665</t>
  </si>
  <si>
    <t>LEY DE LA ATRACCION - WALKER ATKINSON,WILL</t>
  </si>
  <si>
    <t>19-03670</t>
  </si>
  <si>
    <t>ENDLESS KNIGHT-THE ARCANA CHRONICLE - COLE,KRESLEY</t>
  </si>
  <si>
    <t>19-03682</t>
  </si>
  <si>
    <t>PAQUETE PAULO COELHO 12 TITULOS - COELHO,PAULO</t>
  </si>
  <si>
    <t>19-03690</t>
  </si>
  <si>
    <t>SANTA BIBLIA #0247 BOLS.-ZIPPER-LUJ - STAMPLEY</t>
  </si>
  <si>
    <t>19-03701</t>
  </si>
  <si>
    <t>OTRA VIDA DE BELEN,LA - CURBELO,CECILIA</t>
  </si>
  <si>
    <t>19-03704</t>
  </si>
  <si>
    <t>TU QUINCEANERA - BRIDGER,ALEYSO</t>
  </si>
  <si>
    <t>19-00834</t>
  </si>
  <si>
    <t>7 HABITOS DE LOS ADOLESCENTES,LOS COVEY,SEAN</t>
  </si>
  <si>
    <t>19-06360</t>
  </si>
  <si>
    <t>HABITOS DE GENTE ALTAMENTE EFECTIVA</t>
  </si>
  <si>
    <t>19-06475</t>
  </si>
  <si>
    <t>BAJO LA MISMA ESTRELLA</t>
  </si>
  <si>
    <t>19-06476</t>
  </si>
  <si>
    <t>CABRONA Y MILLONARIA</t>
  </si>
  <si>
    <t>19-06479</t>
  </si>
  <si>
    <t>TUS ZONAS ERRONEAS</t>
  </si>
  <si>
    <t>19-06480</t>
  </si>
  <si>
    <t>VENTAJAS DE SER INVISIBLE</t>
  </si>
  <si>
    <t>ENERO</t>
  </si>
  <si>
    <t>FEBRERO</t>
  </si>
  <si>
    <t>MARZO</t>
  </si>
  <si>
    <t>ABRIL</t>
  </si>
  <si>
    <t>Item Code</t>
  </si>
  <si>
    <t>Description</t>
  </si>
  <si>
    <t>Brand</t>
  </si>
  <si>
    <t>Suma de Qty</t>
  </si>
  <si>
    <t>Suma de Net Sales</t>
  </si>
  <si>
    <t>LEY DE ATRACCION GARCIA NORBERTO</t>
  </si>
  <si>
    <t>19-03981</t>
  </si>
  <si>
    <t>QUERIDO JOHN</t>
  </si>
  <si>
    <t>19-03997</t>
  </si>
  <si>
    <t>7 HABITOS DE LA GENTE ALTAMENTE EFECTIVA - STEPHEN</t>
  </si>
  <si>
    <t>19-04004</t>
  </si>
  <si>
    <t>CONFESIONES DE YUYA</t>
  </si>
  <si>
    <t>19-04055</t>
  </si>
  <si>
    <t>LADRONA DE LIBROS, LA - MARKUS ZUSAK</t>
  </si>
  <si>
    <t>19-04083</t>
  </si>
  <si>
    <t>DRAGONES DEL MUNDO</t>
  </si>
  <si>
    <t>19-04103</t>
  </si>
  <si>
    <t>DULCES SUENOS</t>
  </si>
  <si>
    <t>19-04113</t>
  </si>
  <si>
    <t>VAMOS APRENDER PALABRITA</t>
  </si>
  <si>
    <t>19-04118</t>
  </si>
  <si>
    <t>STAR WARS REBELS DROIDES</t>
  </si>
  <si>
    <t>19-04132</t>
  </si>
  <si>
    <t>LEARN &amp; PLAY ADDITION&amp;SUBT</t>
  </si>
  <si>
    <t>LEARN &amp; PLAY COLOURS SERIE</t>
  </si>
  <si>
    <t>19-04161</t>
  </si>
  <si>
    <t>DESTROZA ESTE DIARIO GRI</t>
  </si>
  <si>
    <t>19-04203</t>
  </si>
  <si>
    <t>MANDALAS PARA LIBERTAD INTERIOR</t>
  </si>
  <si>
    <t>19-04248</t>
  </si>
  <si>
    <t>WHO IS ELTON JOHN</t>
  </si>
  <si>
    <t>19-04813</t>
  </si>
  <si>
    <t>YO SOY DURAN</t>
  </si>
  <si>
    <t>19-04815</t>
  </si>
  <si>
    <t>ASFIXIA</t>
  </si>
  <si>
    <t>19-04819</t>
  </si>
  <si>
    <t>NINA ALEMANA</t>
  </si>
  <si>
    <t>19-04856</t>
  </si>
  <si>
    <t>COCTELES Y COMBINADOS</t>
  </si>
  <si>
    <t>19-05202</t>
  </si>
  <si>
    <t>FOIL PLAY PACKS: SPONGEBOB</t>
  </si>
  <si>
    <t>SEVA</t>
  </si>
  <si>
    <t>19-05269</t>
  </si>
  <si>
    <t>21 CUALIDADES DE UN LIDER</t>
  </si>
  <si>
    <t>19-05272</t>
  </si>
  <si>
    <t>DESARROLE EL LIDER QUE ESTA E</t>
  </si>
  <si>
    <t>19-05274</t>
  </si>
  <si>
    <t>INTELIGENCIA EMOCIONAL EN LA EMPRESA</t>
  </si>
  <si>
    <t>19-05282</t>
  </si>
  <si>
    <t>ESCRITO EN EL AGUA</t>
  </si>
  <si>
    <t>19-05283</t>
  </si>
  <si>
    <t>MAS ALLA DEL INVIERNO</t>
  </si>
  <si>
    <t>GENIOS NO NACEN ¡ SE HACEN</t>
  </si>
  <si>
    <t>19-05455</t>
  </si>
  <si>
    <t>CIRCULO, EL</t>
  </si>
  <si>
    <t>19-05462</t>
  </si>
  <si>
    <t>NINA QUE MIRABA LOS TRENES PAR</t>
  </si>
  <si>
    <t>19-05569</t>
  </si>
  <si>
    <t>CABALLERO DE LA ARMADURA OXIDA</t>
  </si>
  <si>
    <t>19-05571</t>
  </si>
  <si>
    <t>CANCION HIELO 1 JUEGO DE TRONO</t>
  </si>
  <si>
    <t>19-05593</t>
  </si>
  <si>
    <t>DUERMETE, NINO (ED. AMPLIADA)</t>
  </si>
  <si>
    <t>19-05607</t>
  </si>
  <si>
    <t>GUERRERAS 3 SIEMPRE TE ENCONTR</t>
  </si>
  <si>
    <t>19-05629</t>
  </si>
  <si>
    <t>MAZE RUNNER CORRER O MORIR</t>
  </si>
  <si>
    <t>19-05655</t>
  </si>
  <si>
    <t>PRINCIPE Y EL GUARDIAN,EL</t>
  </si>
  <si>
    <t>19-05673</t>
  </si>
  <si>
    <t>YOUTUBER SCHOOL 16 LECCIONES</t>
  </si>
  <si>
    <t>19-06189</t>
  </si>
  <si>
    <t>04-0125 CRAYOLA ADULT COLORING NATURE ESCAPES</t>
  </si>
  <si>
    <t>19-06361</t>
  </si>
  <si>
    <t>HABITS OF HIGHLY EFFECTIVE</t>
  </si>
  <si>
    <t>19-06367</t>
  </si>
  <si>
    <t>AVENTURAS DE AMI,LAS</t>
  </si>
  <si>
    <t>19-06368</t>
  </si>
  <si>
    <t>BEAUTIFUL BOMBSHELL</t>
  </si>
  <si>
    <t>19-06370</t>
  </si>
  <si>
    <t>BELLA Y LA BESTIA . LA NOVELA</t>
  </si>
  <si>
    <t>19-06372</t>
  </si>
  <si>
    <t>BUENOS DIAS PRINCESA</t>
  </si>
  <si>
    <t>19-06373</t>
  </si>
  <si>
    <t>BUSCANDO A ALASKA</t>
  </si>
  <si>
    <t>19-06376</t>
  </si>
  <si>
    <t>CHICA DE ANTES, LA</t>
  </si>
  <si>
    <t>19-06377</t>
  </si>
  <si>
    <t>CIUDADES DE PAPEL</t>
  </si>
  <si>
    <t>19-06378</t>
  </si>
  <si>
    <t>CLUB DE LOS CORAZONES SOLITARI</t>
  </si>
  <si>
    <t>19-06379</t>
  </si>
  <si>
    <t>COCO EL COMIC</t>
  </si>
  <si>
    <t>19-06381</t>
  </si>
  <si>
    <t>CUADERNO DE NOAH</t>
  </si>
  <si>
    <t>19-06382</t>
  </si>
  <si>
    <t>CUANDO TE ENCUENTRE ( N. CUBIE)</t>
  </si>
  <si>
    <t>19-06383</t>
  </si>
  <si>
    <t>CUENTOS 1 BUENAS NOCHES PARA N</t>
  </si>
  <si>
    <t>19-06384</t>
  </si>
  <si>
    <t>CUENTOS 2 BUENAS NOCHES PARA N</t>
  </si>
  <si>
    <t>19-06385</t>
  </si>
  <si>
    <t>CUENTOS CHINOS</t>
  </si>
  <si>
    <t>19-06386</t>
  </si>
  <si>
    <t>DERECHO A DECIR NO, EL</t>
  </si>
  <si>
    <t>19-06387</t>
  </si>
  <si>
    <t>DESAPERGARSE SIN ANESTESIA</t>
  </si>
  <si>
    <t>19-06388</t>
  </si>
  <si>
    <t>DIEZ NEGRITOS</t>
  </si>
  <si>
    <t>19-06390</t>
  </si>
  <si>
    <t>ESPIA LA</t>
  </si>
  <si>
    <t>19-06393</t>
  </si>
  <si>
    <t>FILOSOFIA PARA LA VIDA COTIDIA</t>
  </si>
  <si>
    <t>19-06394</t>
  </si>
  <si>
    <t>FINAL PERFECTO EL</t>
  </si>
  <si>
    <t>19-06395</t>
  </si>
  <si>
    <t>FUEGO Y FURIA</t>
  </si>
  <si>
    <t>19-06396</t>
  </si>
  <si>
    <t>GEISHA A LIFE</t>
  </si>
  <si>
    <t>19-06397</t>
  </si>
  <si>
    <t>GENTE TOXICA</t>
  </si>
  <si>
    <t>19-06400</t>
  </si>
  <si>
    <t>GRAVITY FALLS. DIARIO 3</t>
  </si>
  <si>
    <t>19-06401</t>
  </si>
  <si>
    <t>GRAVITY FALLS. DIPPER Y MABEL.</t>
  </si>
  <si>
    <t>19-06402</t>
  </si>
  <si>
    <t>GUIA PARA HACERSE RICO SIN CAN</t>
  </si>
  <si>
    <t>19-06403</t>
  </si>
  <si>
    <t>HIPPIE</t>
  </si>
  <si>
    <t>19-06404</t>
  </si>
  <si>
    <t>HISTORIA DEL TIEMPO</t>
  </si>
  <si>
    <t>19-06405</t>
  </si>
  <si>
    <t>HOMBRE QUE PERSEGUIA SU SOMBRA</t>
  </si>
  <si>
    <t>19-06406</t>
  </si>
  <si>
    <t>HOMO DEUS</t>
  </si>
  <si>
    <t>19-06407</t>
  </si>
  <si>
    <t>HOPELESS</t>
  </si>
  <si>
    <t>19-06408</t>
  </si>
  <si>
    <t>INTELIGENCIA EMOCIONAL LA</t>
  </si>
  <si>
    <t>19-06409</t>
  </si>
  <si>
    <t>JUAN SALVADOR GAVIOTA</t>
  </si>
  <si>
    <t>19-06413</t>
  </si>
  <si>
    <t>LIMITES DEL AMOR, LOS</t>
  </si>
  <si>
    <t>LONDRES DESPUÉS DE TI</t>
  </si>
  <si>
    <t>19-06415</t>
  </si>
  <si>
    <t>LOSING HOPE</t>
  </si>
  <si>
    <t>19-06416</t>
  </si>
  <si>
    <t>MAGIC THE</t>
  </si>
  <si>
    <t>19-06418</t>
  </si>
  <si>
    <t>MARAVILLOSO DESASTRE</t>
  </si>
  <si>
    <t>19-06419</t>
  </si>
  <si>
    <t>MASONES LOS</t>
  </si>
  <si>
    <t>19-06420</t>
  </si>
  <si>
    <t>MIENTRAS TE OLVIDO</t>
  </si>
  <si>
    <t>19-06422</t>
  </si>
  <si>
    <t>MISS MARPLE Y TRECE PROBLEMAS</t>
  </si>
  <si>
    <t>19-06423</t>
  </si>
  <si>
    <t>COSAS QUE PIENSAS CUANDO TE MUERD</t>
  </si>
  <si>
    <t>19-06425</t>
  </si>
  <si>
    <t>MUCHAS VIDAS, MUCHOS SABIOS</t>
  </si>
  <si>
    <t>19-06427</t>
  </si>
  <si>
    <t>MUERTE VISITA AL DENTISTA</t>
  </si>
  <si>
    <t>19-06430</t>
  </si>
  <si>
    <t>NEVERMOOR INT</t>
  </si>
  <si>
    <t>19-06432</t>
  </si>
  <si>
    <t>ORGULLO Y PREJUICIO</t>
  </si>
  <si>
    <t>19-06433</t>
  </si>
  <si>
    <t>PABLO ESCOBAR IN FRAGANTI</t>
  </si>
  <si>
    <t>19-06434</t>
  </si>
  <si>
    <t>PADRE RICO PADRE POBRE</t>
  </si>
  <si>
    <t>19-06435</t>
  </si>
  <si>
    <t>PADRE RICO PADRE POBRE PARA JO</t>
  </si>
  <si>
    <t>19-06437</t>
  </si>
  <si>
    <t>PIENSE Y HAGASE RICO</t>
  </si>
  <si>
    <t>19-06438</t>
  </si>
  <si>
    <t>PILDORAS PARA EL ALMA</t>
  </si>
  <si>
    <t>19-06440</t>
  </si>
  <si>
    <t>PODER DEL PENSAMIENTO FLEXIBLE</t>
  </si>
  <si>
    <t>19-06443</t>
  </si>
  <si>
    <t>PRINCIPITO EL 3D</t>
  </si>
  <si>
    <t>19-06444</t>
  </si>
  <si>
    <t>PROFESOR EL</t>
  </si>
  <si>
    <t>19-06445</t>
  </si>
  <si>
    <t>PSICOANALISTA EL</t>
  </si>
  <si>
    <t>19-06446</t>
  </si>
  <si>
    <t>19-06448</t>
  </si>
  <si>
    <t>RED QUEEN THE</t>
  </si>
  <si>
    <t>19-06450</t>
  </si>
  <si>
    <t>SENOR DE LOS ANILLOS I LA COMU</t>
  </si>
  <si>
    <t>19-06457</t>
  </si>
  <si>
    <t>STEVE JOBS THINKING DIFFERENTL</t>
  </si>
  <si>
    <t>19-06458</t>
  </si>
  <si>
    <t>SUMMER I TURNED PRETTY</t>
  </si>
  <si>
    <t>19-06459</t>
  </si>
  <si>
    <t>THIRTEEN REASONS WHY TV TIE-IN</t>
  </si>
  <si>
    <t>19-06460</t>
  </si>
  <si>
    <t>TIEMPO ENTRE COSTURAS POCKET</t>
  </si>
  <si>
    <t>19-06461</t>
  </si>
  <si>
    <t>TIPLE</t>
  </si>
  <si>
    <t>19-06462</t>
  </si>
  <si>
    <t>TORRE OSCURA 1 PISTOLERO</t>
  </si>
  <si>
    <t>19-06463</t>
  </si>
  <si>
    <t>TREN DE LAS 4.50, EL</t>
  </si>
  <si>
    <t>19-06464</t>
  </si>
  <si>
    <t>TU PUEDES SANAR TU VIDA</t>
  </si>
  <si>
    <t>19-06465</t>
  </si>
  <si>
    <t>UGLY LOVE</t>
  </si>
  <si>
    <t>19-06466</t>
  </si>
  <si>
    <t>UN CADAVER EN LA BIBLIOTECA</t>
  </si>
  <si>
    <t>19-06468</t>
  </si>
  <si>
    <t>VANISHED BOOKS 1 &amp; 2</t>
  </si>
  <si>
    <t>19-06469</t>
  </si>
  <si>
    <t>VENDELE A LA MENTE, NO A LA GE</t>
  </si>
  <si>
    <t>19-06472</t>
  </si>
  <si>
    <t>WORLD WITHOUT END</t>
  </si>
  <si>
    <t>19-06473</t>
  </si>
  <si>
    <t>YOUNG ELITES THE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</si>
  <si>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</si>
  <si>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</si>
  <si>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</si>
  <si>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</si>
  <si>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</si>
  <si>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</si>
  <si>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</si>
  <si>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</si>
  <si>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19-00840</t>
  </si>
  <si>
    <t>EN BUSCA DEL EQUILIBRIO WAYNE W.,DYER</t>
  </si>
  <si>
    <t>CANCER FIGHT IT WHIT THE BLOOD TYPE - DADAMO,PETER</t>
  </si>
  <si>
    <t>19-03542</t>
  </si>
  <si>
    <t>PROOF OF HEAVEN - ALEXANDER,EBEN</t>
  </si>
  <si>
    <t>19-03635</t>
  </si>
  <si>
    <t>NO HAY VERANO SIN TI - HAN,JENNY</t>
  </si>
  <si>
    <t>19-03946</t>
  </si>
  <si>
    <t>ARTE ANTIESTRES LETRAS 1</t>
  </si>
  <si>
    <t>19-03951</t>
  </si>
  <si>
    <t>CAIDA DE LOS GIGANTES, LA</t>
  </si>
  <si>
    <t>19-03953</t>
  </si>
  <si>
    <t>CARTAS A UN JOVEN NOVELI</t>
  </si>
  <si>
    <t>19-03954</t>
  </si>
  <si>
    <t>CASA DE RIVERTON</t>
  </si>
  <si>
    <t>19-03958</t>
  </si>
  <si>
    <t>CHAMAN DBOLSILLO</t>
  </si>
  <si>
    <t>19-03960</t>
  </si>
  <si>
    <t>CLARABOYA</t>
  </si>
  <si>
    <t>19-03962</t>
  </si>
  <si>
    <t>CONFESIONES DE UN JOVEN</t>
  </si>
  <si>
    <t>19-03963</t>
  </si>
  <si>
    <t>CONVERSACIONES CON DIOS</t>
  </si>
  <si>
    <t>19-03968</t>
  </si>
  <si>
    <t>DIME QUIEN SOY</t>
  </si>
  <si>
    <t>19-03971</t>
  </si>
  <si>
    <t>ENSAYO SOBRE LA CEGUERA</t>
  </si>
  <si>
    <t>19-03972</t>
  </si>
  <si>
    <t>HERMANDAD DE LA SABANA S</t>
  </si>
  <si>
    <t>19-03973</t>
  </si>
  <si>
    <t>ISLA BAJO EL MAR, LA</t>
  </si>
  <si>
    <t>19-03974</t>
  </si>
  <si>
    <t>JARDIN OLVIDADO, EL</t>
  </si>
  <si>
    <t>19-03976</t>
  </si>
  <si>
    <t>MANO DE FATIMA, LA</t>
  </si>
  <si>
    <t>19-03984</t>
  </si>
  <si>
    <t>SOCIO, EL</t>
  </si>
  <si>
    <t>19-03985</t>
  </si>
  <si>
    <t>SOLO UNA NOCHE 1 DESCONOCIDO</t>
  </si>
  <si>
    <t>19-03987</t>
  </si>
  <si>
    <t>SOLO UNA NOCHE 3 CONTRATO BLINDADO</t>
  </si>
  <si>
    <t>19-03988</t>
  </si>
  <si>
    <t>TEMOR DE UN HOMBRE SABIO</t>
  </si>
  <si>
    <t>19-03989</t>
  </si>
  <si>
    <t>TRILOGIA DESATAME 1 DESATAME</t>
  </si>
  <si>
    <t>19-03991</t>
  </si>
  <si>
    <t>TRILOGIA DESATAME 3 AMAMAME</t>
  </si>
  <si>
    <t>19-03999</t>
  </si>
  <si>
    <t>AMATE Y SANA TU VIDA - LOUISE HAY</t>
  </si>
  <si>
    <t>19-04000</t>
  </si>
  <si>
    <t>ANGELES Y DEMONIOS - DAN BROWN</t>
  </si>
  <si>
    <t>19-04001</t>
  </si>
  <si>
    <t>BUEN LECTOR SE HACE NO NACE - FELIPE GARRIDO</t>
  </si>
  <si>
    <t>19-04003</t>
  </si>
  <si>
    <t>CODIGO DA VINCI - DAN BROWN</t>
  </si>
  <si>
    <t>19-04005</t>
  </si>
  <si>
    <t>CONFUCIO Y LA MAQUINA DE CAFE - JOSE HERMIDA</t>
  </si>
  <si>
    <t>19-04008</t>
  </si>
  <si>
    <t>DISNEY ALICIA EN EL PAIS</t>
  </si>
  <si>
    <t>19-04010</t>
  </si>
  <si>
    <t>EN BUSCA DE SPINOZA</t>
  </si>
  <si>
    <t>19-04012</t>
  </si>
  <si>
    <t>ETICA PARA AMADOR</t>
  </si>
  <si>
    <t>19-04014</t>
  </si>
  <si>
    <t>FAHRENHEIT 451</t>
  </si>
  <si>
    <t>19-04016</t>
  </si>
  <si>
    <t>HIJOS DE HURIN, LOS</t>
  </si>
  <si>
    <t>19-04019</t>
  </si>
  <si>
    <t>LO QUE FREUD LE DIRIA A SPIELBERG - SAMER SOUFI</t>
  </si>
  <si>
    <t>19-04021</t>
  </si>
  <si>
    <t>PASION INDIA</t>
  </si>
  <si>
    <t>19-04024</t>
  </si>
  <si>
    <t>PERFUME, EL</t>
  </si>
  <si>
    <t>19-04027</t>
  </si>
  <si>
    <t>POLITICA PARA AMADOR - FERNANDO SAVATER</t>
  </si>
  <si>
    <t>19-04029</t>
  </si>
  <si>
    <t>PRIMERA NOCHE</t>
  </si>
  <si>
    <t>19-04030</t>
  </si>
  <si>
    <t>PRINCIPITO, EL</t>
  </si>
  <si>
    <t>19-04031</t>
  </si>
  <si>
    <t>PRISIONERO DEL CIELO</t>
  </si>
  <si>
    <t>19-04033</t>
  </si>
  <si>
    <t>SANADOR DE CABALLOS</t>
  </si>
  <si>
    <t>19-04036</t>
  </si>
  <si>
    <t>SENOR DE LOS ANILLOS II - JRR TOLKIEN</t>
  </si>
  <si>
    <t>19-04039</t>
  </si>
  <si>
    <t>SOMBRA DEL VIENTO</t>
  </si>
  <si>
    <t>19-04041</t>
  </si>
  <si>
    <t>TIEMPO ENTRE COSTURAS PO</t>
  </si>
  <si>
    <t>19-04042</t>
  </si>
  <si>
    <t>UN BURKA POR AMOR</t>
  </si>
  <si>
    <t>19-04044</t>
  </si>
  <si>
    <t>BODA, LA</t>
  </si>
  <si>
    <t>19-04047</t>
  </si>
  <si>
    <t>DOCTORA COLE, LA</t>
  </si>
  <si>
    <t>19-04061</t>
  </si>
  <si>
    <t>NOCHE DE LA LUNA NEGRA, LA - SHERRILYN KENYON</t>
  </si>
  <si>
    <t>19-04064</t>
  </si>
  <si>
    <t>19-04077</t>
  </si>
  <si>
    <t>CEREBRO Y LA INTELIGENCIA</t>
  </si>
  <si>
    <t>19-04084</t>
  </si>
  <si>
    <t>ESPIRITU CREATIVO, EL</t>
  </si>
  <si>
    <t>19-04086</t>
  </si>
  <si>
    <t>INTELIGENCIA EMOCIONAL, LA</t>
  </si>
  <si>
    <t>19-04092</t>
  </si>
  <si>
    <t>PSICOANALISTA, EL</t>
  </si>
  <si>
    <t>19-04096</t>
  </si>
  <si>
    <t>GUIA DE CONV FRANCES</t>
  </si>
  <si>
    <t>19-04097</t>
  </si>
  <si>
    <t>1000 VENTANAS DESCUBR CA</t>
  </si>
  <si>
    <t>19-04110</t>
  </si>
  <si>
    <t>PRIMEROS AUXILIOS GUIA E</t>
  </si>
  <si>
    <t>19-04111</t>
  </si>
  <si>
    <t>TEST Y JUEGO DE ENTRENAM</t>
  </si>
  <si>
    <t>19-04115</t>
  </si>
  <si>
    <t>FROZEN AMORES BAJO CERO</t>
  </si>
  <si>
    <t>19-04119</t>
  </si>
  <si>
    <t>STAR WARS REBELS EL INIC</t>
  </si>
  <si>
    <t>19-04121</t>
  </si>
  <si>
    <t>STAR WARS REBELS LUCHAR</t>
  </si>
  <si>
    <t>19-04122</t>
  </si>
  <si>
    <t>STILTON 12 FANTASMA DEL</t>
  </si>
  <si>
    <t>19-04124</t>
  </si>
  <si>
    <t>STILTON 2 EN BUSCA DE LA</t>
  </si>
  <si>
    <t>19-04125</t>
  </si>
  <si>
    <t>STILTON 5 UN DISPARATADO</t>
  </si>
  <si>
    <t>19-04127</t>
  </si>
  <si>
    <t>APRENDE Y JUEGA ALFABETO</t>
  </si>
  <si>
    <t>19-04128</t>
  </si>
  <si>
    <t>APRENDE Y JUEGA COLORES</t>
  </si>
  <si>
    <t>19-04129</t>
  </si>
  <si>
    <t>APRENDE Y JUEGA CONTAR</t>
  </si>
  <si>
    <t>19-04130</t>
  </si>
  <si>
    <t>APRENDE Y JUEGA FORMAS S</t>
  </si>
  <si>
    <t>19-04131</t>
  </si>
  <si>
    <t>APRENDE Y JUEGA NUMEROS</t>
  </si>
  <si>
    <t>LEARN &amp; PLAY ALPHABET SOND</t>
  </si>
  <si>
    <t>19-04136</t>
  </si>
  <si>
    <t>LEARN &amp; PLAY COUNTING  SER</t>
  </si>
  <si>
    <t>19-04138</t>
  </si>
  <si>
    <t>ARTY MOUSE PLAY CLAY</t>
  </si>
  <si>
    <t>19-04142</t>
  </si>
  <si>
    <t>BLURT SPORTS</t>
  </si>
  <si>
    <t>19-04150</t>
  </si>
  <si>
    <t>GIRL IN THE SPIDER´S WEB</t>
  </si>
  <si>
    <t>19-04156</t>
  </si>
  <si>
    <t>PAPER TOWNS</t>
  </si>
  <si>
    <t>19-04159</t>
  </si>
  <si>
    <t>DESCENDIENTES LA NOVELA</t>
  </si>
  <si>
    <t>19-04160</t>
  </si>
  <si>
    <t>DESTROZA ESTE DIARIO CRA</t>
  </si>
  <si>
    <t>19-04162</t>
  </si>
  <si>
    <t>DESTROZA ESTE DIARIO ROJ</t>
  </si>
  <si>
    <t>19-04163</t>
  </si>
  <si>
    <t>INTENSAMENTE LA NOVELA</t>
  </si>
  <si>
    <t>19-04165</t>
  </si>
  <si>
    <t>MINECRAFT  LA INVASION D</t>
  </si>
  <si>
    <t>19-04168</t>
  </si>
  <si>
    <t>NARNIA #3 EL CABALLO Y E</t>
  </si>
  <si>
    <t>19-04175</t>
  </si>
  <si>
    <t>CUATRO HISTORIA DIVERGEN</t>
  </si>
  <si>
    <t>19-04184</t>
  </si>
  <si>
    <t>LO QUE NO MATA HACE MAS FUERTE</t>
  </si>
  <si>
    <t>19-04185</t>
  </si>
  <si>
    <t>GRAN APUESTA, LA</t>
  </si>
  <si>
    <t>19-04186</t>
  </si>
  <si>
    <t>HABITACION, LA</t>
  </si>
  <si>
    <t>19-04188</t>
  </si>
  <si>
    <t>ESTOY BIEN</t>
  </si>
  <si>
    <t>19-04199</t>
  </si>
  <si>
    <t>MANDALAS DIBUJO DEL ALMA</t>
  </si>
  <si>
    <t>19-04228</t>
  </si>
  <si>
    <t>PANAMA MOLA PUENTE MUNDO COR</t>
  </si>
  <si>
    <t>19-04229</t>
  </si>
  <si>
    <t>PANAMA PAISAJE PUENTE MUNDO</t>
  </si>
  <si>
    <t>19-04243</t>
  </si>
  <si>
    <t>QUIEN FUE PABLO PICASSO?</t>
  </si>
  <si>
    <t>19-04250</t>
  </si>
  <si>
    <t>WHO IS MUHAMMAD ALI</t>
  </si>
  <si>
    <t>19-04252</t>
  </si>
  <si>
    <t>WHO IS STEVEN SPIELBERG</t>
  </si>
  <si>
    <t>19-04253</t>
  </si>
  <si>
    <t>WHO WAS ABRAHAM LINCOLN?</t>
  </si>
  <si>
    <t>19-04254</t>
  </si>
  <si>
    <t>WHO WAS ALEXANDER GRAHAM</t>
  </si>
  <si>
    <t>19-04261</t>
  </si>
  <si>
    <t>WHO WAS HENRY FORD?</t>
  </si>
  <si>
    <t>19-04270</t>
  </si>
  <si>
    <t>WHO WAS ROBERT RIPLEY</t>
  </si>
  <si>
    <t>19-04278</t>
  </si>
  <si>
    <t>WHO WAS WINSTON CHURCHIL</t>
  </si>
  <si>
    <t>19-04284</t>
  </si>
  <si>
    <t>MAGNETIC SCENES: MINIONS</t>
  </si>
  <si>
    <t>19-04285</t>
  </si>
  <si>
    <t>MAGNETIC SCENES: STAR WARS</t>
  </si>
  <si>
    <t>19-04287</t>
  </si>
  <si>
    <t>CARRY ALONG: CARS</t>
  </si>
  <si>
    <t>19-04288</t>
  </si>
  <si>
    <t>CARRY ALONG: PRINCESS</t>
  </si>
  <si>
    <t>19-04296</t>
  </si>
  <si>
    <t>MAGIC INK COLOR CHANGE: PRINCESS</t>
  </si>
  <si>
    <t>19-04298</t>
  </si>
  <si>
    <t>MAGIC INK COLOR CHANGE: SOFIA THE FIRST</t>
  </si>
  <si>
    <t>19-04299</t>
  </si>
  <si>
    <t>MAGIC INK COLOR CHANGE: FROZEN</t>
  </si>
  <si>
    <t>19-04306</t>
  </si>
  <si>
    <t>IMAGINE INK MESS FREE BOOKS: MICKEY</t>
  </si>
  <si>
    <t>19-04308</t>
  </si>
  <si>
    <t>IMAGINE INK MESS FREE BOOKS: FROZEN</t>
  </si>
  <si>
    <t>19-04311</t>
  </si>
  <si>
    <t>IMAGINE INK MESS FREE BOOKS: HELLO KITTY</t>
  </si>
  <si>
    <t>19-04341</t>
  </si>
  <si>
    <t>MAGNETIC FUN TINS - SLEEPING BEAUTY</t>
  </si>
  <si>
    <t>19-04343</t>
  </si>
  <si>
    <t>MAGNETIC FUN TINS - TINKERBELL</t>
  </si>
  <si>
    <t>19-04345</t>
  </si>
  <si>
    <t>MAGNETIC FUN TINS - LITTLE MERMAID</t>
  </si>
  <si>
    <t>19-04383</t>
  </si>
  <si>
    <t>CARRY ALONG: PAW PATROL</t>
  </si>
  <si>
    <t>19-04385</t>
  </si>
  <si>
    <t>CARRY ALONG: DOC MCSTUFFINS</t>
  </si>
  <si>
    <t>19-04388</t>
  </si>
  <si>
    <t>MAGIC INK COLOR CHANGE: INSIDE OUT</t>
  </si>
  <si>
    <t>19-04391</t>
  </si>
  <si>
    <t>IMAGINE INK MESS FREE GAMES: DORA</t>
  </si>
  <si>
    <t>19-04393</t>
  </si>
  <si>
    <t>FUN ON THE GO: MINIONS</t>
  </si>
  <si>
    <t>19-04394</t>
  </si>
  <si>
    <t>FUN ON THE GO: STAR WARS - FORCE</t>
  </si>
  <si>
    <t>19-04402</t>
  </si>
  <si>
    <t>INVISIBLE INK LICENSED ACTIVITY BOOKS - FINDING DO</t>
  </si>
  <si>
    <t>19-04403</t>
  </si>
  <si>
    <t>MAGNETIC PAPERDOLL FUN TINS: LALA LOOPSY</t>
  </si>
  <si>
    <t>19-04812</t>
  </si>
  <si>
    <t>I AM DURAN</t>
  </si>
  <si>
    <t>19-04817</t>
  </si>
  <si>
    <t>CARVE THE MARK</t>
  </si>
  <si>
    <t>19-04820</t>
  </si>
  <si>
    <t>BELLA Y LA BESTIA LA</t>
  </si>
  <si>
    <t>19-04823</t>
  </si>
  <si>
    <t>MAGISTERIUM 1 PRUEBA DE</t>
  </si>
  <si>
    <t>19-04826</t>
  </si>
  <si>
    <t>TU. SIMPLEMENTE TU</t>
  </si>
  <si>
    <t>19-04829</t>
  </si>
  <si>
    <t>PERSONAS DESCONOCIDAS</t>
  </si>
  <si>
    <t>19-04831</t>
  </si>
  <si>
    <t>MARCAS DE LA MUERTE</t>
  </si>
  <si>
    <t>19-04838</t>
  </si>
  <si>
    <t>DR ENGEL</t>
  </si>
  <si>
    <t>19-04839</t>
  </si>
  <si>
    <t>FANTASTIC BEAST ORIGINAL</t>
  </si>
  <si>
    <t>19-04841</t>
  </si>
  <si>
    <t>MORTAL INST 2 CITY OF AS</t>
  </si>
  <si>
    <t>19-04842</t>
  </si>
  <si>
    <t>MORTAL INST 3 CITY OF GL</t>
  </si>
  <si>
    <t>19-04845</t>
  </si>
  <si>
    <t>MAMA QUIERO SER UN YOUTUBER</t>
  </si>
  <si>
    <t>19-04846</t>
  </si>
  <si>
    <t>LABERINTO DE LOS ESPIRITUS</t>
  </si>
  <si>
    <t>19-04847</t>
  </si>
  <si>
    <t>ALGO TAN SENCILLO 1 TUIT</t>
  </si>
  <si>
    <t>19-04849</t>
  </si>
  <si>
    <t>SELECCION 4 HEREDERA</t>
  </si>
  <si>
    <t>19-04850</t>
  </si>
  <si>
    <t>SENTIDO DE LA VIDA</t>
  </si>
  <si>
    <t>19-04851</t>
  </si>
  <si>
    <t>SIEMPRE NOS QUEDARA EL V</t>
  </si>
  <si>
    <t>19-04852</t>
  </si>
  <si>
    <t>Y SI QUEDAMOS AMIGOS ?</t>
  </si>
  <si>
    <t>19-04854</t>
  </si>
  <si>
    <t>DR. SEUSS QUE ANIMAL SERA</t>
  </si>
  <si>
    <t>19-04855</t>
  </si>
  <si>
    <t>DR. SEUSS. !QUE LEJOS LLE</t>
  </si>
  <si>
    <t>19-04860</t>
  </si>
  <si>
    <t>DELICIOSA REPOSTERIA</t>
  </si>
  <si>
    <t>19-04862</t>
  </si>
  <si>
    <t>PESTO &amp; CHUTNEY (LO MEJO</t>
  </si>
  <si>
    <t>19-04863</t>
  </si>
  <si>
    <t>NOCHE PERFECTA DE CHICAS</t>
  </si>
  <si>
    <t>19-04865</t>
  </si>
  <si>
    <t>CONSERVAS CASERAS</t>
  </si>
  <si>
    <t>19-04867</t>
  </si>
  <si>
    <t>PASTELES SORPRESA</t>
  </si>
  <si>
    <t>19-04870</t>
  </si>
  <si>
    <t>QUIEN SE HA LLEVADO MI Q</t>
  </si>
  <si>
    <t>19-04876</t>
  </si>
  <si>
    <t>101 CUENTOS DE LAS BUENAS</t>
  </si>
  <si>
    <t>19-04877</t>
  </si>
  <si>
    <t>YOU 2 NEED YOU</t>
  </si>
  <si>
    <t>19-04878</t>
  </si>
  <si>
    <t>YOU 3 MISS YOU</t>
  </si>
  <si>
    <t>19-04880</t>
  </si>
  <si>
    <t>COMPLICES</t>
  </si>
  <si>
    <t>19-04881</t>
  </si>
  <si>
    <t>PASTELITOS Y PASTAS MINI</t>
  </si>
  <si>
    <t>19-04884</t>
  </si>
  <si>
    <t>PASTELITOS Y MINITARTAS</t>
  </si>
  <si>
    <t>19-04885</t>
  </si>
  <si>
    <t>PASTELES RAPIDOS Y TARTAS</t>
  </si>
  <si>
    <t>19-04886</t>
  </si>
  <si>
    <t>COCINA ALEMANA MINILIBROS</t>
  </si>
  <si>
    <t>19-04888</t>
  </si>
  <si>
    <t>HADAS DE LAS NIEVES</t>
  </si>
  <si>
    <t>19-04891</t>
  </si>
  <si>
    <t>ANIMALES FANTASTICOS GUI</t>
  </si>
  <si>
    <t>19-04893</t>
  </si>
  <si>
    <t>CRIANZA RESPETUOSA</t>
  </si>
  <si>
    <t>19-04912</t>
  </si>
  <si>
    <t>BOSQUE. EL</t>
  </si>
  <si>
    <t>19-04947</t>
  </si>
  <si>
    <t>ESE INSTANTE DE FELICIDAD</t>
  </si>
  <si>
    <t>19-04967</t>
  </si>
  <si>
    <t>INQUEBRANTABLE: MI HISTO</t>
  </si>
  <si>
    <t>19-05010</t>
  </si>
  <si>
    <t>SEGUNDAS OPORTUNIDADES</t>
  </si>
  <si>
    <t>19-05196</t>
  </si>
  <si>
    <t>CARRY ALONG: TEENAGE MUTANT NINJA TURTLE</t>
  </si>
  <si>
    <t>19-05197</t>
  </si>
  <si>
    <t>FOIL PLAYPACK MINIONS</t>
  </si>
  <si>
    <t>19-05199</t>
  </si>
  <si>
    <t>FOIL PLAY PACK: DOC MCSTUFFINS</t>
  </si>
  <si>
    <t>19-05200</t>
  </si>
  <si>
    <t>DESTINATION FUN GRAB 'N GO ACTIVITY BOOK WITH MARK</t>
  </si>
  <si>
    <t>19-05201</t>
  </si>
  <si>
    <t>FOIL PLAY PACK: PRINCESS</t>
  </si>
  <si>
    <t>19-05454</t>
  </si>
  <si>
    <t>19-05456</t>
  </si>
  <si>
    <t>COMO GANAR AMIGOS E INFLUIR</t>
  </si>
  <si>
    <t>19-05459</t>
  </si>
  <si>
    <t>SECRETOS DE LA MENTE MILLONARI</t>
  </si>
  <si>
    <t>19-05460</t>
  </si>
  <si>
    <t>COMO SUPRIMIR LAS PREOCUPACIONES</t>
  </si>
  <si>
    <t>19-05461</t>
  </si>
  <si>
    <t>HARRY POTTER LEGADO MALDITO</t>
  </si>
  <si>
    <t>19-05463</t>
  </si>
  <si>
    <t>LOS COMPLICADOS AMORES</t>
  </si>
  <si>
    <t>19-05464</t>
  </si>
  <si>
    <t>MAS ALLA DE TU CEREBRO</t>
  </si>
  <si>
    <t>19-05469</t>
  </si>
  <si>
    <t>LA MOTIVACION EN LA EMPRESA</t>
  </si>
  <si>
    <t>19-05471</t>
  </si>
  <si>
    <t>COACHING CON PNL</t>
  </si>
  <si>
    <t>19-05472</t>
  </si>
  <si>
    <t>APRENDA A NEGOCIAR CON EXITO</t>
  </si>
  <si>
    <t>19-05473</t>
  </si>
  <si>
    <t>APRENDE A SELECCIONAR PERSONAL EFICAZ</t>
  </si>
  <si>
    <t>19-05474</t>
  </si>
  <si>
    <t>LAS 4 LEYES DE LAS OPORTUNIDADES</t>
  </si>
  <si>
    <t>19-05476</t>
  </si>
  <si>
    <t>INNOVACION DE LA IDEA AL EXITO</t>
  </si>
  <si>
    <t>19-05477</t>
  </si>
  <si>
    <t>COMO CONVERTIR TU EMPRESA EN MARCA LIDER</t>
  </si>
  <si>
    <t>19-05478</t>
  </si>
  <si>
    <t>EL HOMBRE MAS RICO QUE JAMAS EXITO</t>
  </si>
  <si>
    <t>19-05480</t>
  </si>
  <si>
    <t>PRINCIPALES ERRORES DE LOS EMPRENDEDORES</t>
  </si>
  <si>
    <t>19-05481</t>
  </si>
  <si>
    <t>LA OTRA MIRADA DE LOS NEGOCIOS</t>
  </si>
  <si>
    <t>19-05483</t>
  </si>
  <si>
    <t>MAGNETIC GAME TIN - FINDING DORY</t>
  </si>
  <si>
    <t>19-05484</t>
  </si>
  <si>
    <t>FOIL PLAY PACKS TITLE 1 - FINDING DORY</t>
  </si>
  <si>
    <t>19-05485</t>
  </si>
  <si>
    <t>FOIL PLAY PACKS - THE EMOJI MOVIE</t>
  </si>
  <si>
    <t>19-05492</t>
  </si>
  <si>
    <t>ACTITUD MENTAL POSITIVA, LA</t>
  </si>
  <si>
    <t>19-05496</t>
  </si>
  <si>
    <t>GREY</t>
  </si>
  <si>
    <t>19-05498</t>
  </si>
  <si>
    <t>OSHO CORAJE: LA ALEGRIA</t>
  </si>
  <si>
    <t>19-05499</t>
  </si>
  <si>
    <t>OSHO LIBERTAD</t>
  </si>
  <si>
    <t>19-05500</t>
  </si>
  <si>
    <t>OSHO LIBRO DEL EGO EL</t>
  </si>
  <si>
    <t>19-05501</t>
  </si>
  <si>
    <t>OSHO TONICO PARA EL ALMA</t>
  </si>
  <si>
    <t>19-05502</t>
  </si>
  <si>
    <t>ESTAFADOR, EL (RELANZAMIENTO)</t>
  </si>
  <si>
    <t>19-05505</t>
  </si>
  <si>
    <t>INSOMNIA</t>
  </si>
  <si>
    <t>19-05506</t>
  </si>
  <si>
    <t>LUZ QUE NO PUEDES VER, LA</t>
  </si>
  <si>
    <t>19-05507</t>
  </si>
  <si>
    <t>MUSICA DEL SILENCIO</t>
  </si>
  <si>
    <t>19-05509</t>
  </si>
  <si>
    <t>OSHO: PELIGRO DE LA VERDAD EL</t>
  </si>
  <si>
    <t>19-05510</t>
  </si>
  <si>
    <t>PISTOLERO, EL  (CARTEL DE PELICULA)</t>
  </si>
  <si>
    <t>19-05511</t>
  </si>
  <si>
    <t>REINA DESCALZA, LA</t>
  </si>
  <si>
    <t>19-05513</t>
  </si>
  <si>
    <t>SOLUCION DEL AZUCAR EN LA SANGRE, LA</t>
  </si>
  <si>
    <t>19-05515</t>
  </si>
  <si>
    <t>TEORIA DE TODO, LA</t>
  </si>
  <si>
    <t>19-05516</t>
  </si>
  <si>
    <t>TODO LO QUE PODRIAMOS HABER SIDO TU Y YO</t>
  </si>
  <si>
    <t>19-05561</t>
  </si>
  <si>
    <t>AFTER EVER HAPPY</t>
  </si>
  <si>
    <t>19-05562</t>
  </si>
  <si>
    <t>ALEX RIDER 2 POINT BLANC</t>
  </si>
  <si>
    <t>19-05563</t>
  </si>
  <si>
    <t>ALICE IN WONDERLAND</t>
  </si>
  <si>
    <t>19-05565</t>
  </si>
  <si>
    <t>19-05570</t>
  </si>
  <si>
    <t>CALAMITY</t>
  </si>
  <si>
    <t>19-05572</t>
  </si>
  <si>
    <t>CARTAS DE AMOR A LOS MUERTOS</t>
  </si>
  <si>
    <t>19-05573</t>
  </si>
  <si>
    <t>CASA NEGRA</t>
  </si>
  <si>
    <t>19-05574</t>
  </si>
  <si>
    <t>CATARISMO ERASMO GARZA</t>
  </si>
  <si>
    <t>19-05575</t>
  </si>
  <si>
    <t>CATEDRAL DEL MAR, LA</t>
  </si>
  <si>
    <t>19-05576</t>
  </si>
  <si>
    <t>CEREBRO DE PAN, LAS RECETAS</t>
  </si>
  <si>
    <t>19-05578</t>
  </si>
  <si>
    <t>CINCUENTA SOMBRAS 2 MAS</t>
  </si>
  <si>
    <t>19-05579</t>
  </si>
  <si>
    <t>CIUDAD DE LAS BESTIAS LA</t>
  </si>
  <si>
    <t>19-05580</t>
  </si>
  <si>
    <t>CLIENTE EL</t>
  </si>
  <si>
    <t>19-05582</t>
  </si>
  <si>
    <t>CUERPOS EXTRANO</t>
  </si>
  <si>
    <t>19-05583</t>
  </si>
  <si>
    <t>CUERPOS SECRETOS</t>
  </si>
  <si>
    <t>19-05584</t>
  </si>
  <si>
    <t>DARK TOWER 2 DRAWING OF THE TH</t>
  </si>
  <si>
    <t>19-05585</t>
  </si>
  <si>
    <t>DARK TOWER 3 THE WASTE LANDS</t>
  </si>
  <si>
    <t>19-05586</t>
  </si>
  <si>
    <t>DEAR JOHN</t>
  </si>
  <si>
    <t>19-05587</t>
  </si>
  <si>
    <t>DESEO CONCEDIDO</t>
  </si>
  <si>
    <t>19-05588</t>
  </si>
  <si>
    <t>DETECTIVES SALVAJES, LOS</t>
  </si>
  <si>
    <t>19-05589</t>
  </si>
  <si>
    <t>DETOX EMOCIONAL</t>
  </si>
  <si>
    <t>19-05590</t>
  </si>
  <si>
    <t>DISPARA YO YA ESTOY MUER</t>
  </si>
  <si>
    <t>19-05591</t>
  </si>
  <si>
    <t>DOBLE JUEGO</t>
  </si>
  <si>
    <t>19-05592</t>
  </si>
  <si>
    <t>DOCTOR SUENO</t>
  </si>
  <si>
    <t>19-05596</t>
  </si>
  <si>
    <t>EINSTEIN, SU VIDA Y UNIV</t>
  </si>
  <si>
    <t>19-05597</t>
  </si>
  <si>
    <t>EMOCION DE LAS COSAS</t>
  </si>
  <si>
    <t>19-05599</t>
  </si>
  <si>
    <t>ESCUCHA LA CANCION DEL VIENTO</t>
  </si>
  <si>
    <t>19-05600</t>
  </si>
  <si>
    <t>ESTAMBUL</t>
  </si>
  <si>
    <t>19-05601</t>
  </si>
  <si>
    <t>EXPEDICION, LA</t>
  </si>
  <si>
    <t>19-05602</t>
  </si>
  <si>
    <t>FLIRT PORTRAIT OF US</t>
  </si>
  <si>
    <t>19-05603</t>
  </si>
  <si>
    <t>FUENTE DE LA FORTUNA, LA</t>
  </si>
  <si>
    <t>19-05604</t>
  </si>
  <si>
    <t>GUARDIAN INVISIBLE</t>
  </si>
  <si>
    <t>19-05605</t>
  </si>
  <si>
    <t>GUARDIAN, EL</t>
  </si>
  <si>
    <t>19-05606</t>
  </si>
  <si>
    <t>GUERRA NO TIENE ROSTRO DE MUJER, LA</t>
  </si>
  <si>
    <t>19-05608</t>
  </si>
  <si>
    <t>HERO OF AGES THE</t>
  </si>
  <si>
    <t>19-05609</t>
  </si>
  <si>
    <t>HEROE DISCRETO, EL</t>
  </si>
  <si>
    <t>19-05610</t>
  </si>
  <si>
    <t>HISTORIA DE UN CANALLA</t>
  </si>
  <si>
    <t>19-05611</t>
  </si>
  <si>
    <t>HOMBRE DUPLICADO, EL</t>
  </si>
  <si>
    <t>19-05612</t>
  </si>
  <si>
    <t>HOMBRE MAS RICO DE BABILONIA</t>
  </si>
  <si>
    <t>19-05614</t>
  </si>
  <si>
    <t>INTERMEDIARIO, EL</t>
  </si>
  <si>
    <t>19-05615</t>
  </si>
  <si>
    <t>INTERMITENCIAS DE LA MUERTE, L</t>
  </si>
  <si>
    <t>19-05616</t>
  </si>
  <si>
    <t>INTOCABLES LOS</t>
  </si>
  <si>
    <t>19-05617</t>
  </si>
  <si>
    <t>JARDIN DE INVIERNO</t>
  </si>
  <si>
    <t>19-05618</t>
  </si>
  <si>
    <t>JEFES, LOS / LOS CACHORROS</t>
  </si>
  <si>
    <t>19-05619</t>
  </si>
  <si>
    <t>JUAN GABRIEL: UN AMOR ETERNO</t>
  </si>
  <si>
    <t>19-05620</t>
  </si>
  <si>
    <t>JUEGOS DE ARMAS</t>
  </si>
  <si>
    <t>19-05621</t>
  </si>
  <si>
    <t>JURADO, EL</t>
  </si>
  <si>
    <t>19-05622</t>
  </si>
  <si>
    <t>JUST LIKE FATE</t>
  </si>
  <si>
    <t>19-05623</t>
  </si>
  <si>
    <t>KEEPER</t>
  </si>
  <si>
    <t>19-05624</t>
  </si>
  <si>
    <t>LET IT SNOW</t>
  </si>
  <si>
    <t>19-05625</t>
  </si>
  <si>
    <t>LIBRO DE LAS ALMAS, EL</t>
  </si>
  <si>
    <t>19-05626</t>
  </si>
  <si>
    <t>LO MEJOR DE MI ( PELICULA )</t>
  </si>
  <si>
    <t>19-05627</t>
  </si>
  <si>
    <t>LO QUE SONE MIENTRAS DORMIA</t>
  </si>
  <si>
    <t>19-05628</t>
  </si>
  <si>
    <t>MAZE RUNNER 2 PRUEBA DE FUEGO</t>
  </si>
  <si>
    <t>19-05631</t>
  </si>
  <si>
    <t>ME LLAMO ROJO</t>
  </si>
  <si>
    <t>19-05632</t>
  </si>
  <si>
    <t>MECANICA DEL CORAZON LA</t>
  </si>
  <si>
    <t>19-05633</t>
  </si>
  <si>
    <t>MEDICO EL</t>
  </si>
  <si>
    <t>19-05634</t>
  </si>
  <si>
    <t>MEJORES TIPS DE FENG SHUI</t>
  </si>
  <si>
    <t>19-05635</t>
  </si>
  <si>
    <t>ML 1000 ADIVINANZAS</t>
  </si>
  <si>
    <t>19-05636</t>
  </si>
  <si>
    <t>ML 900 MANERAS DE DECIR TE AMO</t>
  </si>
  <si>
    <t>19-05637</t>
  </si>
  <si>
    <t>ML ARTE DE AMAR EL</t>
  </si>
  <si>
    <t>19-05638</t>
  </si>
  <si>
    <t>ML CABALLOS RAZAS</t>
  </si>
  <si>
    <t>19-05639</t>
  </si>
  <si>
    <t>ML CAMINOS DEL AMOR</t>
  </si>
  <si>
    <t>19-05640</t>
  </si>
  <si>
    <t>ML INTELIGENCIA EMOCIONAL</t>
  </si>
  <si>
    <t>19-05641</t>
  </si>
  <si>
    <t>ML SOLO PARA JOVENES</t>
  </si>
  <si>
    <t>19-05642</t>
  </si>
  <si>
    <t>MONKEY WARS</t>
  </si>
  <si>
    <t>19-05643</t>
  </si>
  <si>
    <t>MONSTER HUNTER</t>
  </si>
  <si>
    <t>19-05644</t>
  </si>
  <si>
    <t>MORIRE BESANDO A SIMON SNOW</t>
  </si>
  <si>
    <t>19-05645</t>
  </si>
  <si>
    <t>MR. HOLMES</t>
  </si>
  <si>
    <t>19-05646</t>
  </si>
  <si>
    <t>NERVE. UN JUEGO SIN REGLAS (ED.PELICULA)</t>
  </si>
  <si>
    <t>19-05648</t>
  </si>
  <si>
    <t>NOCHES BLANCAS</t>
  </si>
  <si>
    <t>19-05649</t>
  </si>
  <si>
    <t>NOVELAS DE LA HISTORIA</t>
  </si>
  <si>
    <t>19-05650</t>
  </si>
  <si>
    <t>OSHO LIBRO DE LA VIDA Y</t>
  </si>
  <si>
    <t>19-05651</t>
  </si>
  <si>
    <t>OSHO PASION POR LO IMPOS</t>
  </si>
  <si>
    <t>19-05652</t>
  </si>
  <si>
    <t>PARCEROS</t>
  </si>
  <si>
    <t>19-05653</t>
  </si>
  <si>
    <t>PENSAR RAPIDO, PENSAR DESPACIO</t>
  </si>
  <si>
    <t>19-05656</t>
  </si>
  <si>
    <t>19-05658</t>
  </si>
  <si>
    <t>REINO, EL</t>
  </si>
  <si>
    <t>19-05659</t>
  </si>
  <si>
    <t>RESCATE, EL</t>
  </si>
  <si>
    <t>19-05660</t>
  </si>
  <si>
    <t>RESTAURADORA, LA</t>
  </si>
  <si>
    <t>19-05661</t>
  </si>
  <si>
    <t>REYES DE LO COOL, LOS</t>
  </si>
  <si>
    <t>19-05664</t>
  </si>
  <si>
    <t>SIRENA , LA</t>
  </si>
  <si>
    <t>19-05665</t>
  </si>
  <si>
    <t>SOPLO DE AIRE FRESCO UN (MISTE</t>
  </si>
  <si>
    <t>19-05666</t>
  </si>
  <si>
    <t>SPEAKING IN BONES (EXP)</t>
  </si>
  <si>
    <t>19-05667</t>
  </si>
  <si>
    <t>SPUTNIK MI AMOR</t>
  </si>
  <si>
    <t>19-05669</t>
  </si>
  <si>
    <t>THE BONE QUEEN</t>
  </si>
  <si>
    <t>19-05670</t>
  </si>
  <si>
    <t>UNO SIEMPRE CAMBIA AL AM</t>
  </si>
  <si>
    <t>19-05671</t>
  </si>
  <si>
    <t>VIPER GAME</t>
  </si>
  <si>
    <t>19-05672</t>
  </si>
  <si>
    <t>VIVE LA SABIDURIA DEL TAO</t>
  </si>
  <si>
    <t>19-06362</t>
  </si>
  <si>
    <t>HABITS PERSONAL WKBK</t>
  </si>
  <si>
    <t>19-06363</t>
  </si>
  <si>
    <t>AMOR Y OTRAS EXTRANAS</t>
  </si>
  <si>
    <t>19-06364</t>
  </si>
  <si>
    <t>ANGELS &amp; DEMONS-EAN</t>
  </si>
  <si>
    <t>19-06365</t>
  </si>
  <si>
    <t>AQUI DENTRO SIEMPRE LLUEVE</t>
  </si>
  <si>
    <t>19-06366</t>
  </si>
  <si>
    <t>ASESINATO EN EL ORIENT EXPRESS</t>
  </si>
  <si>
    <t>19-06369</t>
  </si>
  <si>
    <t>BEAUTIFUL DISASTER</t>
  </si>
  <si>
    <t>19-06371</t>
  </si>
  <si>
    <t>BREVISIMA HISTORIA DEL TIEMPO</t>
  </si>
  <si>
    <t>19-06374</t>
  </si>
  <si>
    <t>CABANA LA</t>
  </si>
  <si>
    <t>19-06380</t>
  </si>
  <si>
    <t>CODE TO ZERO</t>
  </si>
  <si>
    <t>19-06389</t>
  </si>
  <si>
    <t>EDGE OF ETERNITY</t>
  </si>
  <si>
    <t>19-06391</t>
  </si>
  <si>
    <t>EYE OF THE NEEDLE</t>
  </si>
  <si>
    <t>19-06398</t>
  </si>
  <si>
    <t>GHOSTS OF WAR</t>
  </si>
  <si>
    <t>19-06399</t>
  </si>
  <si>
    <t>GIRL IN THE SPIDERS WEB THE</t>
  </si>
  <si>
    <t>19-06410</t>
  </si>
  <si>
    <t>KEY TO REBECCA, THE</t>
  </si>
  <si>
    <t>19-06412</t>
  </si>
  <si>
    <t>LIE DOWN WITH LIONS</t>
  </si>
  <si>
    <t>19-06417</t>
  </si>
  <si>
    <t>MAN FROM ST. PETERSBURG, THE</t>
  </si>
  <si>
    <t>19-06424</t>
  </si>
  <si>
    <t>MONJE QUE VENDIO SU FERRARI</t>
  </si>
  <si>
    <t>19-06439</t>
  </si>
  <si>
    <t>PILLARS OF THE EARTH, THE</t>
  </si>
  <si>
    <t>19-06470</t>
  </si>
  <si>
    <t>WE'LL ALWAYS HAVE SUMMER</t>
  </si>
  <si>
    <t>19-06471</t>
  </si>
  <si>
    <t>WINTER OF THE WORLD</t>
  </si>
  <si>
    <t>TOTAL 2018</t>
  </si>
  <si>
    <t>TOTAL 2019</t>
  </si>
  <si>
    <t>Venta Promedio</t>
  </si>
  <si>
    <t>ANDRO PROMOTIONS</t>
  </si>
  <si>
    <t>WORLD WISHES</t>
  </si>
  <si>
    <t>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</si>
</sst>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pivotButton="1"/>
    <xf numFmtId="0" fontId="0" fillId="0" borderId="0" xfId="0" applyNumberFormat="1"/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0" fillId="33" borderId="10" xfId="0" applyFont="1" applyFill="1" applyBorder="1" applyAlignment="1">
      <alignment horizontal="center" vertical="center" wrapText="1"/>
    </xf>
    <xf numFmtId="4" fontId="18" fillId="33" borderId="10" xfId="0" applyNumberFormat="1" applyFont="1" applyFill="1" applyBorder="1"/>
    <xf numFmtId="0" fontId="19" fillId="33" borderId="10" xfId="0" applyFont="1" applyFill="1" applyBorder="1"/>
    <xf numFmtId="0" fontId="20" fillId="33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istado%20de%20Precio%20por%20Categoria/Copia%20de%20List%20of%20NG%20Jul%202018%20meliss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Item No.</v>
          </cell>
          <cell r="B1" t="str">
            <v>Vendor</v>
          </cell>
          <cell r="C1" t="str">
            <v>Status</v>
          </cell>
          <cell r="D1" t="str">
            <v>Listar Tocumen</v>
          </cell>
          <cell r="E1" t="str">
            <v>Item Description</v>
          </cell>
          <cell r="F1" t="str">
            <v>Class</v>
          </cell>
          <cell r="G1" t="str">
            <v>Mfr Catalog No.</v>
          </cell>
          <cell r="H1" t="str">
            <v>Brand</v>
          </cell>
          <cell r="I1" t="str">
            <v>Last Purchase Price</v>
          </cell>
        </row>
        <row r="2">
          <cell r="A2" t="str">
            <v>19-00001</v>
          </cell>
          <cell r="B2" t="str">
            <v>N/A</v>
          </cell>
          <cell r="C2" t="str">
            <v>D</v>
          </cell>
          <cell r="D2" t="str">
            <v>N/A</v>
          </cell>
          <cell r="E2" t="str">
            <v>D89 009 341 SAMSONITE CANDADO LLAVE NEGRO DISCONTINUED</v>
          </cell>
          <cell r="F2" t="str">
            <v>TRAVEL ACCESSORIES</v>
          </cell>
          <cell r="G2" t="str">
            <v>D89 009 341</v>
          </cell>
          <cell r="H2" t="str">
            <v>SAMSONITE</v>
          </cell>
          <cell r="I2">
            <v>5</v>
          </cell>
        </row>
        <row r="3">
          <cell r="A3" t="str">
            <v>19-00002</v>
          </cell>
          <cell r="B3" t="str">
            <v>N/A</v>
          </cell>
          <cell r="C3" t="str">
            <v>D</v>
          </cell>
          <cell r="D3" t="str">
            <v>N/A</v>
          </cell>
          <cell r="E3" t="str">
            <v>D89 096 341 SAMSONITE CANDADO LLAVE NARANJA DISCONTINUED</v>
          </cell>
          <cell r="F3" t="str">
            <v>TRAVEL ACCESSORIES</v>
          </cell>
          <cell r="G3" t="str">
            <v>D89 096 341</v>
          </cell>
          <cell r="H3" t="str">
            <v>SAMSONITE</v>
          </cell>
          <cell r="I3">
            <v>5</v>
          </cell>
        </row>
        <row r="4">
          <cell r="A4" t="str">
            <v>19-00003</v>
          </cell>
          <cell r="B4" t="str">
            <v>N/A</v>
          </cell>
          <cell r="C4" t="str">
            <v>D</v>
          </cell>
          <cell r="D4" t="str">
            <v>N/A</v>
          </cell>
          <cell r="E4" t="str">
            <v>D89 009 342 SAMSONITE TRIPLE COMBO LOCK GREY DISCONTINUED</v>
          </cell>
          <cell r="F4" t="str">
            <v>TRAVEL ACCESSORIES</v>
          </cell>
          <cell r="G4" t="str">
            <v>D89 009 342</v>
          </cell>
          <cell r="H4" t="str">
            <v>SAMSONITE</v>
          </cell>
          <cell r="I4">
            <v>5.5</v>
          </cell>
        </row>
        <row r="5">
          <cell r="A5" t="str">
            <v>19-00004</v>
          </cell>
          <cell r="B5" t="str">
            <v>N/A</v>
          </cell>
          <cell r="C5" t="str">
            <v>D</v>
          </cell>
          <cell r="D5" t="str">
            <v>N/A</v>
          </cell>
          <cell r="E5" t="str">
            <v>D89 096 342 SAMSONITE TRIPLE COMBO LOCK ORANGE DISCONTINUED</v>
          </cell>
          <cell r="F5" t="str">
            <v>TRAVEL ACCESSORIES</v>
          </cell>
          <cell r="G5" t="str">
            <v>D89 096 342</v>
          </cell>
          <cell r="H5" t="str">
            <v>SAMSONITE</v>
          </cell>
          <cell r="I5">
            <v>5.5</v>
          </cell>
        </row>
        <row r="6">
          <cell r="A6" t="str">
            <v>19-00005</v>
          </cell>
          <cell r="B6" t="str">
            <v>N/A</v>
          </cell>
          <cell r="C6" t="str">
            <v>D</v>
          </cell>
          <cell r="D6" t="str">
            <v>N/A</v>
          </cell>
          <cell r="E6" t="str">
            <v>D89 009 352 SAMSONITE TRIPLE COMBO TSA LOCK BLACK DISCONTINUED</v>
          </cell>
          <cell r="F6" t="str">
            <v>TRAVEL ACCESSORIES</v>
          </cell>
          <cell r="G6" t="str">
            <v>D89 009 352</v>
          </cell>
          <cell r="H6" t="str">
            <v>SAMSONITE</v>
          </cell>
          <cell r="I6">
            <v>10</v>
          </cell>
        </row>
        <row r="7">
          <cell r="A7" t="str">
            <v>19-00006</v>
          </cell>
          <cell r="B7" t="str">
            <v>N/A</v>
          </cell>
          <cell r="C7" t="str">
            <v>D</v>
          </cell>
          <cell r="D7" t="str">
            <v>N/A</v>
          </cell>
          <cell r="E7" t="str">
            <v>D89 096 352 SAMSONITE TRIPLE COMBO TSA LOCK ORANGE DISCONTINUED</v>
          </cell>
          <cell r="F7" t="str">
            <v>TRAVEL ACCESSORIES</v>
          </cell>
          <cell r="G7" t="str">
            <v>D89 096 352</v>
          </cell>
          <cell r="H7" t="str">
            <v>SAMSONITE</v>
          </cell>
          <cell r="I7">
            <v>10</v>
          </cell>
        </row>
        <row r="8">
          <cell r="A8" t="str">
            <v>19-00007</v>
          </cell>
          <cell r="B8" t="str">
            <v>N/A</v>
          </cell>
          <cell r="C8" t="str">
            <v>D</v>
          </cell>
          <cell r="D8" t="str">
            <v>N/A</v>
          </cell>
          <cell r="E8" t="str">
            <v>D89 008 111 SAMSONITE BOLSA CUELLO MULTIPLE GRIS CLARO DISCONTINUED</v>
          </cell>
          <cell r="F8" t="str">
            <v>TRAVEL ACCESSORIES</v>
          </cell>
          <cell r="G8" t="str">
            <v>D89 008 111</v>
          </cell>
          <cell r="H8" t="str">
            <v>SAMSONITE</v>
          </cell>
          <cell r="I8">
            <v>8</v>
          </cell>
        </row>
        <row r="9">
          <cell r="A9" t="str">
            <v>19-00008</v>
          </cell>
          <cell r="B9" t="str">
            <v>N/A</v>
          </cell>
          <cell r="C9" t="str">
            <v>D</v>
          </cell>
          <cell r="D9" t="str">
            <v>N/A</v>
          </cell>
          <cell r="E9" t="str">
            <v>D89 009 111 SAMSONITE BOLSA CUELLO MULTIPLE NEGRO DISCONTINUED</v>
          </cell>
          <cell r="F9" t="str">
            <v>TRAVEL ACCESSORIES</v>
          </cell>
          <cell r="G9" t="str">
            <v>D89 009 111</v>
          </cell>
          <cell r="H9" t="str">
            <v>SAMSONITE</v>
          </cell>
          <cell r="I9">
            <v>8</v>
          </cell>
        </row>
        <row r="10">
          <cell r="A10" t="str">
            <v>19-00009</v>
          </cell>
          <cell r="B10" t="str">
            <v>N/A</v>
          </cell>
          <cell r="C10" t="str">
            <v>D</v>
          </cell>
          <cell r="D10" t="str">
            <v>N/A</v>
          </cell>
          <cell r="E10" t="str">
            <v>D89 009 112 SAMSONITE CARTERA DE SEGURIDAD NEGRA DISCONTINUED</v>
          </cell>
          <cell r="F10" t="str">
            <v>TRAVEL ACCESSORIES</v>
          </cell>
          <cell r="G10" t="str">
            <v>D89 009 112</v>
          </cell>
          <cell r="H10" t="str">
            <v>SAMSONITE</v>
          </cell>
          <cell r="I10">
            <v>10</v>
          </cell>
        </row>
        <row r="11">
          <cell r="A11" t="str">
            <v>19-00010</v>
          </cell>
          <cell r="B11" t="str">
            <v>N/A</v>
          </cell>
          <cell r="C11" t="str">
            <v>D</v>
          </cell>
          <cell r="D11" t="str">
            <v>N/A</v>
          </cell>
          <cell r="E11" t="str">
            <v>D89 009 150 SAMSONITE PORTA DOCUMENTOS NEGRO DISCONTINUED</v>
          </cell>
          <cell r="F11" t="str">
            <v>TRAVEL ACCESSORIES</v>
          </cell>
          <cell r="G11" t="str">
            <v>D89 009 150</v>
          </cell>
          <cell r="H11" t="str">
            <v>SAMSONITE</v>
          </cell>
          <cell r="I11">
            <v>6.5</v>
          </cell>
        </row>
        <row r="12">
          <cell r="A12" t="str">
            <v>19-00011</v>
          </cell>
          <cell r="B12" t="str">
            <v>N/A</v>
          </cell>
          <cell r="C12" t="str">
            <v>D</v>
          </cell>
          <cell r="D12" t="str">
            <v>N/A</v>
          </cell>
          <cell r="E12" t="str">
            <v>D89 009 351 SAMSONITE US AIR TRAV. KEY LOCK (2) NEGRO DISCONTINUED</v>
          </cell>
          <cell r="F12" t="str">
            <v>TRAVEL ACCESSORIES</v>
          </cell>
          <cell r="G12" t="str">
            <v>D89 009 351</v>
          </cell>
          <cell r="H12" t="str">
            <v>SAMSONITE</v>
          </cell>
          <cell r="I12">
            <v>10</v>
          </cell>
        </row>
        <row r="13">
          <cell r="A13" t="str">
            <v>19-00012</v>
          </cell>
          <cell r="B13" t="str">
            <v>N/A</v>
          </cell>
          <cell r="C13" t="str">
            <v>D</v>
          </cell>
          <cell r="D13" t="str">
            <v>N/A</v>
          </cell>
          <cell r="E13" t="str">
            <v>D89 096 351 SAMSONITE US AIR TRAV. KEY LOCK (2) NEGRO DISCONTINUED</v>
          </cell>
          <cell r="F13" t="str">
            <v>TRAVEL ACCESSORIES</v>
          </cell>
          <cell r="G13" t="str">
            <v>D89 096 351</v>
          </cell>
          <cell r="H13" t="str">
            <v>SAMSONITE</v>
          </cell>
          <cell r="I13">
            <v>10</v>
          </cell>
        </row>
        <row r="14">
          <cell r="A14" t="str">
            <v>19-00013</v>
          </cell>
          <cell r="B14" t="str">
            <v>N/A</v>
          </cell>
          <cell r="C14" t="str">
            <v>D</v>
          </cell>
          <cell r="D14" t="str">
            <v>N/A</v>
          </cell>
          <cell r="E14" t="str">
            <v>D89 009 710 SAMSONITE BOLSA GRANDE PLEGABLE NEGRO DISCONTINUED</v>
          </cell>
          <cell r="F14" t="str">
            <v>TRAVEL ACCESSORIES</v>
          </cell>
          <cell r="G14" t="str">
            <v>D89 009 710</v>
          </cell>
          <cell r="H14" t="str">
            <v>SAMSONITE</v>
          </cell>
          <cell r="I14">
            <v>28</v>
          </cell>
        </row>
        <row r="15">
          <cell r="A15" t="str">
            <v>19-00014</v>
          </cell>
          <cell r="B15" t="str">
            <v>N/A</v>
          </cell>
          <cell r="C15" t="str">
            <v>D</v>
          </cell>
          <cell r="D15" t="str">
            <v>N/A</v>
          </cell>
          <cell r="E15" t="str">
            <v>D89 009 741 SAMSONITE NECESER COLGANTE DISCONTINUED</v>
          </cell>
          <cell r="F15" t="str">
            <v>TRAVEL ACCESSORIES</v>
          </cell>
          <cell r="G15" t="str">
            <v>D89 009 741</v>
          </cell>
          <cell r="H15" t="str">
            <v>SAMSONITE</v>
          </cell>
          <cell r="I15">
            <v>24</v>
          </cell>
        </row>
        <row r="16">
          <cell r="A16" t="str">
            <v>19-00015</v>
          </cell>
          <cell r="B16" t="str">
            <v>N/A</v>
          </cell>
          <cell r="C16" t="str">
            <v>D</v>
          </cell>
          <cell r="D16" t="str">
            <v>N/A</v>
          </cell>
          <cell r="E16" t="str">
            <v>D89 018 001 SAMSONITE ALMOHADILLA DE VIAJE CON FUNDA GRIS DISCONTINUED</v>
          </cell>
          <cell r="F16" t="str">
            <v>TRAVEL ACCESSORIES</v>
          </cell>
          <cell r="G16" t="str">
            <v>D89 018 001</v>
          </cell>
          <cell r="H16" t="str">
            <v>SAMSONITE</v>
          </cell>
          <cell r="I16">
            <v>5</v>
          </cell>
        </row>
        <row r="17">
          <cell r="A17" t="str">
            <v>19-00016</v>
          </cell>
          <cell r="B17" t="str">
            <v>N/A</v>
          </cell>
          <cell r="C17" t="str">
            <v>D</v>
          </cell>
          <cell r="D17" t="str">
            <v>N/A</v>
          </cell>
          <cell r="E17" t="str">
            <v>D89 018 010 SAMSONITE ANTIFAZ Y TAPONES DE OIDO GRIS DISCONTINUED</v>
          </cell>
          <cell r="F17" t="str">
            <v>TRAVEL ACCESSORIES</v>
          </cell>
          <cell r="G17" t="str">
            <v>D89 018 010</v>
          </cell>
          <cell r="H17" t="str">
            <v>SAMSONITE</v>
          </cell>
          <cell r="I17">
            <v>5</v>
          </cell>
        </row>
        <row r="18">
          <cell r="A18" t="str">
            <v>19-00017</v>
          </cell>
          <cell r="B18" t="str">
            <v>N/A</v>
          </cell>
          <cell r="C18" t="str">
            <v>D</v>
          </cell>
          <cell r="D18" t="str">
            <v>N/A</v>
          </cell>
          <cell r="E18" t="str">
            <v>D89 038 436 SAMSONITE WORLD WIDE ADAPTOR PLUG DISCONTINUED</v>
          </cell>
          <cell r="F18" t="str">
            <v>TRAVEL ACCESSORIES</v>
          </cell>
          <cell r="G18" t="str">
            <v>D89 038 436</v>
          </cell>
          <cell r="H18" t="str">
            <v>SAMSONITE</v>
          </cell>
          <cell r="I18">
            <v>17.25</v>
          </cell>
        </row>
        <row r="19">
          <cell r="A19" t="str">
            <v>19-00018</v>
          </cell>
          <cell r="B19" t="str">
            <v>N/A</v>
          </cell>
          <cell r="C19" t="str">
            <v>D</v>
          </cell>
          <cell r="D19" t="str">
            <v>N/A</v>
          </cell>
          <cell r="E19" t="str">
            <v>D89 038 003 SAMSONITE CONVERTIBLE TRAVEL COMFORT PILLOW GREY DISCONTINUED</v>
          </cell>
          <cell r="F19" t="str">
            <v>TRAVEL ACCESSORIES</v>
          </cell>
          <cell r="G19" t="str">
            <v>D89 038 003</v>
          </cell>
          <cell r="H19" t="str">
            <v>SAMSONITE</v>
          </cell>
          <cell r="I19">
            <v>18.5</v>
          </cell>
        </row>
        <row r="20">
          <cell r="A20" t="str">
            <v>19-00019</v>
          </cell>
          <cell r="B20" t="str">
            <v>N/A</v>
          </cell>
          <cell r="C20" t="str">
            <v>D</v>
          </cell>
          <cell r="D20" t="str">
            <v>N/A</v>
          </cell>
          <cell r="E20" t="str">
            <v>D89 096 003 SAMSONITE CONVERTIBLE TRAVEL COMFORT PILLOW ORANGE DISCONTINUED</v>
          </cell>
          <cell r="F20" t="str">
            <v>TRAVEL ACCESSORIES</v>
          </cell>
          <cell r="G20" t="str">
            <v>D89 096 003</v>
          </cell>
          <cell r="H20" t="str">
            <v>SAMSONITE</v>
          </cell>
          <cell r="I20">
            <v>18.5</v>
          </cell>
        </row>
        <row r="21">
          <cell r="A21" t="str">
            <v>19-00020</v>
          </cell>
          <cell r="B21" t="str">
            <v>N/A</v>
          </cell>
          <cell r="C21" t="str">
            <v>D</v>
          </cell>
          <cell r="D21" t="str">
            <v>N/A</v>
          </cell>
          <cell r="E21" t="str">
            <v>D89 096 130 SAMSONITE PASSPORT COVER ORANGE DISCONTINUED</v>
          </cell>
          <cell r="F21" t="str">
            <v>TRAVEL ACCESSORIES</v>
          </cell>
          <cell r="G21" t="str">
            <v>D89 096 130</v>
          </cell>
          <cell r="H21" t="str">
            <v>SAMSONITE</v>
          </cell>
          <cell r="I21">
            <v>7</v>
          </cell>
        </row>
        <row r="22">
          <cell r="A22" t="str">
            <v>19-00021</v>
          </cell>
          <cell r="B22" t="str">
            <v>N/A</v>
          </cell>
          <cell r="C22" t="str">
            <v>D</v>
          </cell>
          <cell r="D22" t="str">
            <v>N/A</v>
          </cell>
          <cell r="E22" t="str">
            <v>D8 9096 131 SAMSONITE CARTERA PARA DOCUMENTOS DE VIAJE DISCONTINUED</v>
          </cell>
          <cell r="F22" t="str">
            <v>TRAVEL ACCESSORIES</v>
          </cell>
          <cell r="G22" t="str">
            <v>D8 9096 131</v>
          </cell>
          <cell r="H22" t="str">
            <v>SAMSONITE</v>
          </cell>
          <cell r="I22">
            <v>0</v>
          </cell>
        </row>
        <row r="23">
          <cell r="A23" t="str">
            <v>19-00022</v>
          </cell>
          <cell r="B23" t="str">
            <v>GLOBAL DISTRIBUTOR</v>
          </cell>
          <cell r="C23" t="str">
            <v>D</v>
          </cell>
          <cell r="D23" t="str">
            <v>N/A</v>
          </cell>
          <cell r="E23" t="str">
            <v>CLKP-602 CLOUDZ KIDS PLUSH NECK PILLOW  DOG DISCONTINUED</v>
          </cell>
          <cell r="F23" t="str">
            <v>NECK PILLOW</v>
          </cell>
          <cell r="G23" t="str">
            <v>CLKP-602</v>
          </cell>
          <cell r="H23" t="str">
            <v>CLOUDZ</v>
          </cell>
          <cell r="I23">
            <v>0</v>
          </cell>
        </row>
        <row r="24">
          <cell r="A24" t="str">
            <v>19-00023</v>
          </cell>
          <cell r="B24" t="str">
            <v>GLOBAL DISTRIBUTOR</v>
          </cell>
          <cell r="C24" t="str">
            <v>D</v>
          </cell>
          <cell r="D24" t="str">
            <v>N/A</v>
          </cell>
          <cell r="E24" t="str">
            <v>CLKP-603 CLOUDZ KIDS PLUSH NECK PILLOW CAT DISCONTINUED</v>
          </cell>
          <cell r="F24" t="str">
            <v>NECK PILLOW</v>
          </cell>
          <cell r="G24" t="str">
            <v>CLKP-603</v>
          </cell>
          <cell r="H24" t="str">
            <v>CLOUDZ</v>
          </cell>
          <cell r="I24">
            <v>6.25</v>
          </cell>
        </row>
        <row r="25">
          <cell r="A25" t="str">
            <v>19-00024</v>
          </cell>
          <cell r="B25" t="str">
            <v>GLOBAL DISTRIBUTOR</v>
          </cell>
          <cell r="C25" t="str">
            <v>D</v>
          </cell>
          <cell r="D25" t="str">
            <v>N/A</v>
          </cell>
          <cell r="E25" t="str">
            <v>CLKP-604 CLOUDZ KIDS PLUSH NECK PILLOW BROWN BEAR DISCONTINUED</v>
          </cell>
          <cell r="F25" t="str">
            <v>NECK PILLOW</v>
          </cell>
          <cell r="G25" t="str">
            <v>CLKP-604</v>
          </cell>
          <cell r="H25" t="str">
            <v>CLOUDZ</v>
          </cell>
          <cell r="I25">
            <v>6.25</v>
          </cell>
        </row>
        <row r="26">
          <cell r="A26" t="str">
            <v>19-00025</v>
          </cell>
          <cell r="B26" t="str">
            <v>GLOBAL DISTRIBUTOR</v>
          </cell>
          <cell r="C26" t="str">
            <v>D</v>
          </cell>
          <cell r="D26" t="str">
            <v>N/A</v>
          </cell>
          <cell r="E26" t="str">
            <v>CLKP-605 CLOUDZ KIDS PLUSH NECK PILLOW  GIRAFFE DISCONTINUED</v>
          </cell>
          <cell r="F26" t="str">
            <v>NECK PILLOW</v>
          </cell>
          <cell r="G26" t="str">
            <v>CLKP-605</v>
          </cell>
          <cell r="H26" t="str">
            <v>CLOUDZ</v>
          </cell>
          <cell r="I26">
            <v>6.25</v>
          </cell>
        </row>
        <row r="27">
          <cell r="A27" t="str">
            <v>19-00026</v>
          </cell>
          <cell r="B27" t="str">
            <v>GLOBAL DISTRIBUTOR</v>
          </cell>
          <cell r="C27" t="str">
            <v>D</v>
          </cell>
          <cell r="D27" t="str">
            <v>N/A</v>
          </cell>
          <cell r="E27" t="str">
            <v>CLKP-606 CLOUDZ KIDS PLUSH NECK PILLOW  LION DISCONTINUED</v>
          </cell>
          <cell r="F27" t="str">
            <v>NECK PILLOW</v>
          </cell>
          <cell r="G27" t="str">
            <v>CLKP-606</v>
          </cell>
          <cell r="H27" t="str">
            <v>CLOUDZ</v>
          </cell>
          <cell r="I27">
            <v>6.25</v>
          </cell>
        </row>
        <row r="28">
          <cell r="A28" t="str">
            <v>19-00027</v>
          </cell>
          <cell r="B28" t="str">
            <v>GLOBAL DISTRIBUTOR</v>
          </cell>
          <cell r="C28" t="str">
            <v>D</v>
          </cell>
          <cell r="D28" t="str">
            <v>N/A</v>
          </cell>
          <cell r="E28" t="str">
            <v>CLKP-607 CLOUDZ KIDS PLUSH NECK PILLOW  FROG DISCONTINUED</v>
          </cell>
          <cell r="F28" t="str">
            <v>NECK PILLOW</v>
          </cell>
          <cell r="G28" t="str">
            <v>CLKP-607</v>
          </cell>
          <cell r="H28" t="str">
            <v>CLOUDZ</v>
          </cell>
          <cell r="I28">
            <v>0</v>
          </cell>
        </row>
        <row r="29">
          <cell r="A29" t="str">
            <v>19-00028</v>
          </cell>
          <cell r="B29" t="str">
            <v>GLOBAL DISTRIBUTOR</v>
          </cell>
          <cell r="C29" t="str">
            <v>D</v>
          </cell>
          <cell r="D29" t="str">
            <v>N/A</v>
          </cell>
          <cell r="E29" t="str">
            <v>CLKP-608 CLOUDZ KIDS PLUSH NECK PILLOW  MOOSE DISCONTINUED</v>
          </cell>
          <cell r="F29" t="str">
            <v>NECK PILLOW</v>
          </cell>
          <cell r="G29" t="str">
            <v>CLKP-608</v>
          </cell>
          <cell r="H29" t="str">
            <v>CLOUDZ</v>
          </cell>
          <cell r="I29">
            <v>6.25</v>
          </cell>
        </row>
        <row r="30">
          <cell r="A30" t="str">
            <v>19-00029</v>
          </cell>
          <cell r="B30" t="str">
            <v>GLOBAL DISTRIBUTOR</v>
          </cell>
          <cell r="C30" t="str">
            <v>D</v>
          </cell>
          <cell r="D30" t="str">
            <v>N/A</v>
          </cell>
          <cell r="E30" t="str">
            <v>CLKP-609 CLOUDZ KIDS PLUSH NECK PILLOW  RACCOON DISCONTINUED</v>
          </cell>
          <cell r="F30" t="str">
            <v>NECK PILLOW</v>
          </cell>
          <cell r="G30" t="str">
            <v>CLKP-609</v>
          </cell>
          <cell r="H30" t="str">
            <v>CLOUDZ</v>
          </cell>
          <cell r="I30">
            <v>6.25</v>
          </cell>
        </row>
        <row r="31">
          <cell r="A31" t="str">
            <v>19-00030</v>
          </cell>
          <cell r="B31" t="str">
            <v>GLOBAL DISTRIBUTOR</v>
          </cell>
          <cell r="C31" t="str">
            <v>D</v>
          </cell>
          <cell r="D31" t="str">
            <v>N/A</v>
          </cell>
          <cell r="E31" t="str">
            <v>CLKP-610 CLOUDZ KIDS PLUSH NECK PILLOW  BLACK BEAR DISCONTINUED</v>
          </cell>
          <cell r="F31" t="str">
            <v>NECK PILLOW</v>
          </cell>
          <cell r="G31" t="str">
            <v>CLKP-610</v>
          </cell>
          <cell r="H31" t="str">
            <v>CLOUDZ</v>
          </cell>
          <cell r="I31">
            <v>6.25</v>
          </cell>
        </row>
        <row r="32">
          <cell r="A32" t="str">
            <v>19-00031</v>
          </cell>
          <cell r="B32" t="str">
            <v>GLOBAL DISTRIBUTOR</v>
          </cell>
          <cell r="C32" t="str">
            <v>D</v>
          </cell>
          <cell r="D32" t="str">
            <v>N/A</v>
          </cell>
          <cell r="E32" t="str">
            <v>CLKP-611 CLOUDZ KIDS PLUSH NECK PILLOW  WOLF DISCONTINUED</v>
          </cell>
          <cell r="F32" t="str">
            <v>NECK PILLOW</v>
          </cell>
          <cell r="G32" t="str">
            <v>CLKP-611</v>
          </cell>
          <cell r="H32" t="str">
            <v>CLOUDZ</v>
          </cell>
          <cell r="I32">
            <v>6.25</v>
          </cell>
        </row>
        <row r="33">
          <cell r="A33" t="str">
            <v>19-00032</v>
          </cell>
          <cell r="B33" t="str">
            <v>GLOBAL DISTRIBUTOR</v>
          </cell>
          <cell r="C33" t="str">
            <v>D</v>
          </cell>
          <cell r="D33" t="str">
            <v>N/A</v>
          </cell>
          <cell r="E33" t="str">
            <v>CLKP-612 CLOUDZ KIDS PLUSH NECK PILLOW  PIG DISCONTINUED</v>
          </cell>
          <cell r="F33" t="str">
            <v>NECK PILLOW</v>
          </cell>
          <cell r="G33" t="str">
            <v>CLKP-612</v>
          </cell>
          <cell r="H33" t="str">
            <v>CLOUDZ</v>
          </cell>
          <cell r="I33">
            <v>6.25</v>
          </cell>
        </row>
        <row r="34">
          <cell r="A34" t="str">
            <v>19-00033</v>
          </cell>
          <cell r="B34" t="str">
            <v>GLOBAL DISTRIBUTOR</v>
          </cell>
          <cell r="C34" t="str">
            <v>D</v>
          </cell>
          <cell r="D34" t="str">
            <v>N/A</v>
          </cell>
          <cell r="E34" t="str">
            <v>CLKP-613 CLOUDZ KIDS PLUSH NECK PILLOW  DOLPHIN DISCONTINUED</v>
          </cell>
          <cell r="F34" t="str">
            <v>NECK PILLOW</v>
          </cell>
          <cell r="G34" t="str">
            <v>CLKP-613</v>
          </cell>
          <cell r="H34" t="str">
            <v>CLOUDZ</v>
          </cell>
          <cell r="I34">
            <v>0</v>
          </cell>
        </row>
        <row r="35">
          <cell r="A35" t="str">
            <v>19-00034</v>
          </cell>
          <cell r="B35" t="str">
            <v>GLOBAL DISTRIBUTOR</v>
          </cell>
          <cell r="C35" t="str">
            <v>D</v>
          </cell>
          <cell r="D35" t="str">
            <v>N/A</v>
          </cell>
          <cell r="E35" t="str">
            <v>CLKP-614 CLOUDZ KIDS PLUSH NECK PILLOW  HORSE DISCONTINUED</v>
          </cell>
          <cell r="F35" t="str">
            <v>NECK PILLOW</v>
          </cell>
          <cell r="G35" t="str">
            <v>CLKP-614</v>
          </cell>
          <cell r="H35" t="str">
            <v>CLOUDZ</v>
          </cell>
          <cell r="I35">
            <v>6.25</v>
          </cell>
        </row>
        <row r="36">
          <cell r="A36" t="str">
            <v>19-00035</v>
          </cell>
          <cell r="B36" t="str">
            <v>GLOBAL DISTRIBUTOR</v>
          </cell>
          <cell r="C36" t="str">
            <v>D</v>
          </cell>
          <cell r="D36" t="str">
            <v>N/A</v>
          </cell>
          <cell r="E36" t="str">
            <v>CLKP-615 CLOUDZ KIDS PLUSH NECK PILLOW  ALLIGATOR DISCONTINUED</v>
          </cell>
          <cell r="F36" t="str">
            <v>NECK PILLOW</v>
          </cell>
          <cell r="G36" t="str">
            <v>CLKP-615</v>
          </cell>
          <cell r="H36" t="str">
            <v>CLOUDZ</v>
          </cell>
          <cell r="I36">
            <v>6.25</v>
          </cell>
        </row>
        <row r="37">
          <cell r="A37" t="str">
            <v>19-00036</v>
          </cell>
          <cell r="B37" t="str">
            <v>GLOBAL DISTRIBUTOR</v>
          </cell>
          <cell r="C37" t="str">
            <v>D</v>
          </cell>
          <cell r="D37" t="str">
            <v>N/A</v>
          </cell>
          <cell r="E37" t="str">
            <v>CLKP-616 CLOUDZ KIDS PLUSH NECK PILLOW  HIPPO DISCONTINUED</v>
          </cell>
          <cell r="F37" t="str">
            <v>NECK PILLOW</v>
          </cell>
          <cell r="G37" t="str">
            <v>CLKP-616</v>
          </cell>
          <cell r="H37" t="str">
            <v>CLOUDZ</v>
          </cell>
          <cell r="I37">
            <v>6.25</v>
          </cell>
        </row>
        <row r="38">
          <cell r="A38" t="str">
            <v>19-00037</v>
          </cell>
          <cell r="B38" t="str">
            <v>GLOBAL DISTRIBUTOR</v>
          </cell>
          <cell r="C38" t="str">
            <v>D</v>
          </cell>
          <cell r="D38" t="str">
            <v>N/A</v>
          </cell>
          <cell r="E38" t="str">
            <v>CLKP-617 CLOUDZ KIDS PLUSH NECK PILLOW  BUNNY DISCONTINUED</v>
          </cell>
          <cell r="F38" t="str">
            <v>NECK PILLOW</v>
          </cell>
          <cell r="G38" t="str">
            <v>CLKP-617</v>
          </cell>
          <cell r="H38" t="str">
            <v>CLOUDZ</v>
          </cell>
          <cell r="I38">
            <v>6.25</v>
          </cell>
        </row>
        <row r="39">
          <cell r="A39" t="str">
            <v>19-00038</v>
          </cell>
          <cell r="B39" t="str">
            <v>GLOBAL DISTRIBUTOR</v>
          </cell>
          <cell r="C39" t="str">
            <v>D</v>
          </cell>
          <cell r="D39" t="str">
            <v>N/A</v>
          </cell>
          <cell r="E39" t="str">
            <v>CLKP-618 CLOUDZ KIDS PLUSH NECK PILLOW  CAMEL DISCONTINUED</v>
          </cell>
          <cell r="F39" t="str">
            <v>NECK PILLOW</v>
          </cell>
          <cell r="G39" t="str">
            <v>CLKP-618</v>
          </cell>
          <cell r="H39" t="str">
            <v>CLOUDZ</v>
          </cell>
          <cell r="I39">
            <v>0</v>
          </cell>
        </row>
        <row r="40">
          <cell r="A40" t="str">
            <v>19-00039</v>
          </cell>
          <cell r="B40" t="str">
            <v>GLOBAL DISTRIBUTOR</v>
          </cell>
          <cell r="C40" t="str">
            <v>D</v>
          </cell>
          <cell r="D40" t="str">
            <v>N/A</v>
          </cell>
          <cell r="E40" t="str">
            <v>CLKP-619 CLOUDZ KIDS PLUSH NECK PILLOW  SKUNK DISCONTINUED</v>
          </cell>
          <cell r="F40" t="str">
            <v>NECK PILLOW</v>
          </cell>
          <cell r="G40" t="str">
            <v>CLKP-619</v>
          </cell>
          <cell r="H40" t="str">
            <v>CLOUDZ</v>
          </cell>
          <cell r="I40">
            <v>0</v>
          </cell>
        </row>
        <row r="41">
          <cell r="A41" t="str">
            <v>19-00040</v>
          </cell>
          <cell r="B41" t="str">
            <v>GLOBAL DISTRIBUTOR</v>
          </cell>
          <cell r="C41" t="str">
            <v>D</v>
          </cell>
          <cell r="D41" t="str">
            <v>N/A</v>
          </cell>
          <cell r="E41" t="str">
            <v>CLKP-620 CLOUDZ KIDS PLUSH NECK PILLOW  BEAVER DISCONTINUED</v>
          </cell>
          <cell r="F41" t="str">
            <v>NECK PILLOW</v>
          </cell>
          <cell r="G41" t="str">
            <v>CLKP-620</v>
          </cell>
          <cell r="H41" t="str">
            <v>CLOUDZ</v>
          </cell>
          <cell r="I41">
            <v>0</v>
          </cell>
        </row>
        <row r="42">
          <cell r="A42" t="str">
            <v>19-00041</v>
          </cell>
          <cell r="B42" t="str">
            <v>GLOBAL DISTRIBUTOR</v>
          </cell>
          <cell r="C42" t="str">
            <v>D</v>
          </cell>
          <cell r="D42" t="str">
            <v>N/A</v>
          </cell>
          <cell r="E42" t="str">
            <v>CTP-110 CLOUDZ EYE MASK DISCONTINUED</v>
          </cell>
          <cell r="F42" t="str">
            <v>EYE MASK</v>
          </cell>
          <cell r="G42" t="str">
            <v>CTP-110</v>
          </cell>
          <cell r="H42" t="str">
            <v>CLOUDZ</v>
          </cell>
          <cell r="I42">
            <v>4.2</v>
          </cell>
        </row>
        <row r="43">
          <cell r="A43" t="str">
            <v>19-00042</v>
          </cell>
          <cell r="B43" t="str">
            <v>GLOBAL DISTRIBUTOR</v>
          </cell>
          <cell r="C43" t="str">
            <v>D</v>
          </cell>
          <cell r="D43" t="str">
            <v>N/A</v>
          </cell>
          <cell r="E43" t="str">
            <v>CTP-H100 CLOUDZ HEADCOVER DISCONTINUED</v>
          </cell>
          <cell r="F43" t="str">
            <v>HEADCOVER</v>
          </cell>
          <cell r="G43" t="str">
            <v>CTP-H100</v>
          </cell>
          <cell r="H43" t="str">
            <v>CLOUDZ</v>
          </cell>
          <cell r="I43">
            <v>4.7</v>
          </cell>
        </row>
        <row r="44">
          <cell r="A44" t="str">
            <v>19-00043</v>
          </cell>
          <cell r="B44" t="str">
            <v>GLOBAL DISTRIBUTOR</v>
          </cell>
          <cell r="C44" t="str">
            <v>D</v>
          </cell>
          <cell r="D44" t="str">
            <v>N/A</v>
          </cell>
          <cell r="E44" t="str">
            <v>CTP-150 CLOUDZ INFLATABLE NECK PILLOW DISCONTINUED</v>
          </cell>
          <cell r="F44" t="str">
            <v>NECK PILLOW</v>
          </cell>
          <cell r="G44" t="str">
            <v>CTP-150</v>
          </cell>
          <cell r="H44" t="str">
            <v>CLOUDZ</v>
          </cell>
          <cell r="I44">
            <v>4.5</v>
          </cell>
        </row>
        <row r="45">
          <cell r="A45" t="str">
            <v>19-00044</v>
          </cell>
          <cell r="B45" t="str">
            <v>GLOBAL DISTRIBUTOR</v>
          </cell>
          <cell r="C45" t="str">
            <v>D</v>
          </cell>
          <cell r="D45" t="str">
            <v>N/A</v>
          </cell>
          <cell r="E45" t="str">
            <v>CTC-10082 CLOUDZ SOCKS DISCONTINUED</v>
          </cell>
          <cell r="F45" t="str">
            <v>NECK PILLOW</v>
          </cell>
          <cell r="G45" t="str">
            <v>CTC-10082</v>
          </cell>
          <cell r="H45" t="str">
            <v>CLOUDZ</v>
          </cell>
          <cell r="I45">
            <v>4.2030000000000003</v>
          </cell>
        </row>
        <row r="46">
          <cell r="A46" t="str">
            <v>19-00045</v>
          </cell>
          <cell r="B46" t="str">
            <v>GLOBAL DISTRIBUTOR</v>
          </cell>
          <cell r="C46" t="str">
            <v>D</v>
          </cell>
          <cell r="D46" t="str">
            <v>N/A</v>
          </cell>
          <cell r="E46" t="str">
            <v>CTC-10087 CLOUDZ SOCKS 2 FOR $10 DISCONTINUED</v>
          </cell>
          <cell r="F46" t="str">
            <v>SOCKS</v>
          </cell>
          <cell r="G46" t="str">
            <v>CTC-10087</v>
          </cell>
          <cell r="H46" t="str">
            <v>CLOUDZ</v>
          </cell>
          <cell r="I46">
            <v>3.0049999999999999</v>
          </cell>
        </row>
        <row r="47">
          <cell r="A47" t="str">
            <v>19-00046</v>
          </cell>
          <cell r="B47" t="str">
            <v>GLOBAL DISTRIBUTOR</v>
          </cell>
          <cell r="C47" t="str">
            <v>D</v>
          </cell>
          <cell r="D47" t="str">
            <v>N/A</v>
          </cell>
          <cell r="E47" t="str">
            <v>CTC-6250 CLOUDZ SLIPPERS DISCONTINUED</v>
          </cell>
          <cell r="F47" t="str">
            <v>SOCKS</v>
          </cell>
          <cell r="G47" t="str">
            <v>CTC-6250</v>
          </cell>
          <cell r="H47" t="str">
            <v>CLOUDZ</v>
          </cell>
          <cell r="I47">
            <v>6</v>
          </cell>
        </row>
        <row r="48">
          <cell r="A48" t="str">
            <v>19-00047</v>
          </cell>
          <cell r="B48" t="str">
            <v>GLOBAL DISTRIBUTOR</v>
          </cell>
          <cell r="C48" t="str">
            <v>D</v>
          </cell>
          <cell r="D48" t="str">
            <v>N/A</v>
          </cell>
          <cell r="E48" t="str">
            <v>CTC-8000 CLOUDZ SCARF TRAVEL - ASSORTED COLOURS DISCONTINUED</v>
          </cell>
          <cell r="F48" t="str">
            <v>SLIPPERS</v>
          </cell>
          <cell r="G48" t="str">
            <v>CTC-8000</v>
          </cell>
          <cell r="H48" t="str">
            <v>CLOUDZ</v>
          </cell>
          <cell r="I48">
            <v>5</v>
          </cell>
        </row>
        <row r="49">
          <cell r="A49" t="str">
            <v>19-00048</v>
          </cell>
          <cell r="B49" t="str">
            <v>GLOBAL DISTRIBUTOR</v>
          </cell>
          <cell r="C49" t="str">
            <v>D</v>
          </cell>
          <cell r="D49" t="str">
            <v>N/A</v>
          </cell>
          <cell r="E49" t="str">
            <v>CTC-500 CLOUDZ SCARF CASHMERE FEEL DISCONTINUED</v>
          </cell>
          <cell r="F49" t="str">
            <v>SCARF</v>
          </cell>
          <cell r="G49" t="str">
            <v>CTC-500</v>
          </cell>
          <cell r="H49" t="str">
            <v>CLOUDZ</v>
          </cell>
          <cell r="I49">
            <v>7</v>
          </cell>
        </row>
        <row r="50">
          <cell r="A50" t="str">
            <v>19-00049</v>
          </cell>
          <cell r="B50" t="str">
            <v>GLOBAL DISTRIBUTOR</v>
          </cell>
          <cell r="C50" t="str">
            <v>D</v>
          </cell>
          <cell r="D50" t="str">
            <v>N/A</v>
          </cell>
          <cell r="E50" t="str">
            <v>CTP-100 CLOUDZ NECK PILLOW - ASSORTED COLOURS DISCONTINUED</v>
          </cell>
          <cell r="F50" t="str">
            <v>NECK PILLOW</v>
          </cell>
          <cell r="G50" t="str">
            <v>CTP-100</v>
          </cell>
          <cell r="H50" t="str">
            <v>CLOUDZ</v>
          </cell>
          <cell r="I50">
            <v>5.6</v>
          </cell>
        </row>
        <row r="51">
          <cell r="A51" t="str">
            <v>19-00050</v>
          </cell>
          <cell r="B51" t="str">
            <v>GLOBAL DISTRIBUTOR</v>
          </cell>
          <cell r="C51" t="str">
            <v>D</v>
          </cell>
          <cell r="D51" t="str">
            <v>N/A</v>
          </cell>
          <cell r="E51" t="str">
            <v>CTP-PB10 CLOUDZ BEACH PILLOW DISCONTINUED</v>
          </cell>
          <cell r="F51" t="str">
            <v>PILLOW</v>
          </cell>
          <cell r="G51" t="str">
            <v>CTP-PB10</v>
          </cell>
          <cell r="H51" t="str">
            <v>CLOUDZ</v>
          </cell>
          <cell r="I51">
            <v>22.5</v>
          </cell>
        </row>
        <row r="52">
          <cell r="A52" t="str">
            <v>19-00051</v>
          </cell>
          <cell r="B52" t="str">
            <v>GLOBAL DISTRIBUTOR</v>
          </cell>
          <cell r="C52" t="str">
            <v>D</v>
          </cell>
          <cell r="D52" t="str">
            <v>N/A</v>
          </cell>
          <cell r="E52" t="str">
            <v>CTP-BK100 CLOUDZ PILLOW WITH READING LIGHT DISCONTINUED</v>
          </cell>
          <cell r="F52" t="str">
            <v>PILLOW</v>
          </cell>
          <cell r="G52" t="str">
            <v>CTP-BK100</v>
          </cell>
          <cell r="H52" t="str">
            <v>CLOUDZ</v>
          </cell>
          <cell r="I52">
            <v>9</v>
          </cell>
        </row>
        <row r="53">
          <cell r="A53" t="str">
            <v>19-00052</v>
          </cell>
          <cell r="B53" t="str">
            <v>GLOBAL DISTRIBUTOR</v>
          </cell>
          <cell r="C53" t="str">
            <v>D</v>
          </cell>
          <cell r="D53" t="str">
            <v>N/A</v>
          </cell>
          <cell r="E53" t="str">
            <v>CLKP-500 CLOUDZ KIDS PILLOW BLUE OR PINK DISCONTINUED</v>
          </cell>
          <cell r="F53" t="str">
            <v>PILLOW</v>
          </cell>
          <cell r="G53" t="str">
            <v>CLKP-500</v>
          </cell>
          <cell r="H53" t="str">
            <v>CLOUDZ</v>
          </cell>
          <cell r="I53">
            <v>5.25</v>
          </cell>
        </row>
        <row r="54">
          <cell r="A54" t="str">
            <v>19-00053</v>
          </cell>
          <cell r="B54" t="str">
            <v>GLOBAL DISTRIBUTOR</v>
          </cell>
          <cell r="C54" t="str">
            <v>D</v>
          </cell>
          <cell r="D54" t="str">
            <v>N/A</v>
          </cell>
          <cell r="E54" t="str">
            <v>CTP-L101 CLOUDZ TRAVEL BLANKET - ASSORTED COLOURS DISCONTINUED</v>
          </cell>
          <cell r="F54" t="str">
            <v>BLANKET</v>
          </cell>
          <cell r="G54" t="str">
            <v>CTP-L101</v>
          </cell>
          <cell r="H54" t="str">
            <v>CLOUDZ</v>
          </cell>
          <cell r="I54">
            <v>5.25</v>
          </cell>
        </row>
        <row r="55">
          <cell r="A55" t="str">
            <v>19-00054</v>
          </cell>
          <cell r="B55" t="str">
            <v>GLOBAL DISTRIBUTOR</v>
          </cell>
          <cell r="C55" t="str">
            <v>D</v>
          </cell>
          <cell r="D55" t="str">
            <v>N/A</v>
          </cell>
          <cell r="E55" t="str">
            <v>CTP-L115 CLOUDZ FLEECE BLANKET - SOLID COLOURS DISCONTINUED</v>
          </cell>
          <cell r="F55" t="str">
            <v>BLANKET</v>
          </cell>
          <cell r="G55" t="str">
            <v>CTP-L115</v>
          </cell>
          <cell r="H55" t="str">
            <v>CLOUDZ</v>
          </cell>
          <cell r="I55">
            <v>5.9509999999999996</v>
          </cell>
        </row>
        <row r="56">
          <cell r="A56" t="str">
            <v>19-00055</v>
          </cell>
          <cell r="B56" t="str">
            <v>GLOBAL DISTRIBUTOR</v>
          </cell>
          <cell r="C56" t="str">
            <v>D</v>
          </cell>
          <cell r="D56" t="str">
            <v>N/A</v>
          </cell>
          <cell r="E56" t="str">
            <v>CTP-L120 CLOUDZ FLEECE BLANKET - ANIMAL PRINTS DISCONTINUED</v>
          </cell>
          <cell r="F56" t="str">
            <v>BLANKET</v>
          </cell>
          <cell r="G56" t="str">
            <v>CTP-L120</v>
          </cell>
          <cell r="H56" t="str">
            <v>CLOUDZ</v>
          </cell>
          <cell r="I56">
            <v>6.8</v>
          </cell>
        </row>
        <row r="57">
          <cell r="A57" t="str">
            <v>19-00056</v>
          </cell>
          <cell r="B57" t="str">
            <v>GLOBAL DISTRIBUTOR</v>
          </cell>
          <cell r="C57" t="str">
            <v>D</v>
          </cell>
          <cell r="D57" t="str">
            <v>N/A</v>
          </cell>
          <cell r="E57" t="str">
            <v>CTP-L122 CLOUDZ TRAVEL THROW PINK DISCONTINUED</v>
          </cell>
          <cell r="F57" t="str">
            <v>THROW</v>
          </cell>
          <cell r="G57" t="str">
            <v>CTP-L122</v>
          </cell>
          <cell r="H57" t="str">
            <v>CLOUDZ</v>
          </cell>
          <cell r="I57">
            <v>0</v>
          </cell>
        </row>
        <row r="58">
          <cell r="A58" t="str">
            <v>19-00057</v>
          </cell>
          <cell r="B58" t="str">
            <v>GLOBAL DISTRIBUTOR</v>
          </cell>
          <cell r="C58" t="str">
            <v>D</v>
          </cell>
          <cell r="D58" t="str">
            <v>N/A</v>
          </cell>
          <cell r="E58" t="str">
            <v>CTP-L125 CLOUDZ TRAVEL THROW  WITH SLEEVES DISCONTINUED</v>
          </cell>
          <cell r="F58" t="str">
            <v>THROW</v>
          </cell>
          <cell r="G58" t="str">
            <v>CTP-L125</v>
          </cell>
          <cell r="H58" t="str">
            <v>CLOUDZ</v>
          </cell>
          <cell r="I58">
            <v>7.8</v>
          </cell>
        </row>
        <row r="59">
          <cell r="A59" t="str">
            <v>19-00058</v>
          </cell>
          <cell r="B59" t="str">
            <v>GLOBAL DISTRIBUTOR</v>
          </cell>
          <cell r="C59" t="str">
            <v>D</v>
          </cell>
          <cell r="D59" t="str">
            <v>N/A</v>
          </cell>
          <cell r="E59" t="str">
            <v>GU-1301 GIDDY UP SURPRISE INK SPONGEBOB IV DISCONTINUED</v>
          </cell>
          <cell r="F59" t="str">
            <v>COLORING BOOK</v>
          </cell>
          <cell r="G59" t="str">
            <v>GU-1301</v>
          </cell>
          <cell r="H59" t="str">
            <v>GIDDY UP</v>
          </cell>
          <cell r="I59">
            <v>5.49</v>
          </cell>
        </row>
        <row r="60">
          <cell r="A60" t="str">
            <v>19-00059</v>
          </cell>
          <cell r="B60" t="str">
            <v>GLOBAL DISTRIBUTOR</v>
          </cell>
          <cell r="C60" t="str">
            <v>D</v>
          </cell>
          <cell r="D60" t="str">
            <v>N/A</v>
          </cell>
          <cell r="E60" t="str">
            <v>GU-1307 GIDDY UP SURPRISE INK DORA IV DISCONTINUED</v>
          </cell>
          <cell r="F60" t="str">
            <v>COLORING BOOK</v>
          </cell>
          <cell r="G60" t="str">
            <v>GU-1307</v>
          </cell>
          <cell r="H60" t="str">
            <v>GIDDY UP</v>
          </cell>
          <cell r="I60">
            <v>5.49</v>
          </cell>
        </row>
        <row r="61">
          <cell r="A61" t="str">
            <v>19-00060</v>
          </cell>
          <cell r="B61" t="str">
            <v>GLOBAL DISTRIBUTOR</v>
          </cell>
          <cell r="C61" t="str">
            <v>D</v>
          </cell>
          <cell r="D61" t="str">
            <v>N/A</v>
          </cell>
          <cell r="E61" t="str">
            <v>GU-1015 GIDDY UP SURPRISE INK BARBIE II DISCONTINUED</v>
          </cell>
          <cell r="F61" t="str">
            <v>COLORING BOOK</v>
          </cell>
          <cell r="G61" t="str">
            <v>GU-1015</v>
          </cell>
          <cell r="H61" t="str">
            <v>GIDDY UP</v>
          </cell>
          <cell r="I61">
            <v>5.49</v>
          </cell>
        </row>
        <row r="62">
          <cell r="A62" t="str">
            <v>19-00061</v>
          </cell>
          <cell r="B62" t="str">
            <v>GLOBAL DISTRIBUTOR</v>
          </cell>
          <cell r="C62" t="str">
            <v>D</v>
          </cell>
          <cell r="D62" t="str">
            <v>N/A</v>
          </cell>
          <cell r="E62" t="str">
            <v>GU-1152 GIDDY UP SURPRISE INK SPIDERMAN II DISCONTINUED</v>
          </cell>
          <cell r="F62" t="str">
            <v>COLORING BOOK</v>
          </cell>
          <cell r="G62" t="str">
            <v>GU-1152</v>
          </cell>
          <cell r="H62" t="str">
            <v>GIDDY UP</v>
          </cell>
          <cell r="I62">
            <v>5.49</v>
          </cell>
        </row>
        <row r="63">
          <cell r="A63" t="str">
            <v>19-00062</v>
          </cell>
          <cell r="B63" t="str">
            <v>GLOBAL DISTRIBUTOR</v>
          </cell>
          <cell r="C63" t="str">
            <v>D</v>
          </cell>
          <cell r="D63" t="str">
            <v>N/A</v>
          </cell>
          <cell r="E63" t="str">
            <v>GU-1069 GIDDY UP SURPRISE INK TRANSFORMERS ANIMATED DISCONTINUED</v>
          </cell>
          <cell r="F63" t="str">
            <v>COLORING BOOK</v>
          </cell>
          <cell r="G63" t="str">
            <v>GU-1069</v>
          </cell>
          <cell r="H63" t="str">
            <v>GIDDY UP</v>
          </cell>
          <cell r="I63">
            <v>5.49</v>
          </cell>
        </row>
        <row r="64">
          <cell r="A64" t="str">
            <v>19-00063</v>
          </cell>
          <cell r="B64" t="str">
            <v>GLOBAL DISTRIBUTOR</v>
          </cell>
          <cell r="C64" t="str">
            <v>D</v>
          </cell>
          <cell r="D64" t="str">
            <v>N/A</v>
          </cell>
          <cell r="E64" t="str">
            <v>GU-1016 GIDDY UP SURPRISE INK THOMAS THE TANK DISCONTINUED</v>
          </cell>
          <cell r="F64" t="str">
            <v>COLORING BOOK</v>
          </cell>
          <cell r="G64" t="str">
            <v>GU-1016</v>
          </cell>
          <cell r="H64" t="str">
            <v>GIDDY UP</v>
          </cell>
          <cell r="I64">
            <v>5.49</v>
          </cell>
        </row>
        <row r="65">
          <cell r="A65" t="str">
            <v>19-00064</v>
          </cell>
          <cell r="B65" t="str">
            <v>GLOBAL DISTRIBUTOR</v>
          </cell>
          <cell r="C65" t="str">
            <v>D</v>
          </cell>
          <cell r="D65" t="str">
            <v>N/A</v>
          </cell>
          <cell r="E65" t="str">
            <v>GU-1086 GIDDY UP SURPRISE INK MICKEY'S CLUBHOUSE DISCONTINUED</v>
          </cell>
          <cell r="F65" t="str">
            <v>COLORING BOOK</v>
          </cell>
          <cell r="G65" t="str">
            <v>GU-1086</v>
          </cell>
          <cell r="H65" t="str">
            <v>GIDDY UP</v>
          </cell>
          <cell r="I65">
            <v>5.49</v>
          </cell>
        </row>
        <row r="66">
          <cell r="A66" t="str">
            <v>19-00065</v>
          </cell>
          <cell r="B66" t="str">
            <v>GLOBAL DISTRIBUTOR</v>
          </cell>
          <cell r="C66" t="str">
            <v>D</v>
          </cell>
          <cell r="D66" t="str">
            <v>N/A</v>
          </cell>
          <cell r="E66" t="str">
            <v>GU-1079 GIDDY UP SURPRISE INK SUPER WHY DISCONTINUED</v>
          </cell>
          <cell r="F66" t="str">
            <v>COLORING BOOK</v>
          </cell>
          <cell r="G66" t="str">
            <v>GU-1079</v>
          </cell>
          <cell r="H66" t="str">
            <v>GIDDY UP</v>
          </cell>
          <cell r="I66">
            <v>5.49</v>
          </cell>
        </row>
        <row r="67">
          <cell r="A67" t="str">
            <v>19-00066</v>
          </cell>
          <cell r="B67" t="str">
            <v>GLOBAL DISTRIBUTOR</v>
          </cell>
          <cell r="C67" t="str">
            <v>D</v>
          </cell>
          <cell r="D67" t="str">
            <v>N/A</v>
          </cell>
          <cell r="E67" t="str">
            <v>GU-1081 GIDDY UP SURPRISE INK ICARLY DISCONTINUED</v>
          </cell>
          <cell r="F67" t="str">
            <v>COLORING BOOK</v>
          </cell>
          <cell r="G67" t="str">
            <v>GU-1081</v>
          </cell>
          <cell r="H67" t="str">
            <v>GIDDY UP</v>
          </cell>
          <cell r="I67">
            <v>5.49</v>
          </cell>
        </row>
        <row r="68">
          <cell r="A68" t="str">
            <v>19-00067</v>
          </cell>
          <cell r="B68" t="str">
            <v>GLOBAL DISTRIBUTOR</v>
          </cell>
          <cell r="C68" t="str">
            <v>D</v>
          </cell>
          <cell r="D68" t="str">
            <v>N/A</v>
          </cell>
          <cell r="E68" t="str">
            <v>GU-1082 GIDDY UP SURPRISE INK WIZARDS OF WAVERLY PLACE DISCONTINUED</v>
          </cell>
          <cell r="F68" t="str">
            <v>COLORING BOOK</v>
          </cell>
          <cell r="G68" t="str">
            <v>GU-1082</v>
          </cell>
          <cell r="H68" t="str">
            <v>GIDDY UP</v>
          </cell>
          <cell r="I68">
            <v>5.49</v>
          </cell>
        </row>
        <row r="69">
          <cell r="A69" t="str">
            <v>19-00068</v>
          </cell>
          <cell r="B69" t="str">
            <v>GLOBAL DISTRIBUTOR</v>
          </cell>
          <cell r="C69" t="str">
            <v>D</v>
          </cell>
          <cell r="D69" t="str">
            <v>N/A</v>
          </cell>
          <cell r="E69" t="str">
            <v>GU-1088 GIDDY UP SURPRISE INK NI HAO KAI- LAN DISCONTINUED</v>
          </cell>
          <cell r="F69" t="str">
            <v>COLORING BOOK</v>
          </cell>
          <cell r="G69" t="str">
            <v>GU-1088</v>
          </cell>
          <cell r="H69" t="str">
            <v>GIDDY UP</v>
          </cell>
          <cell r="I69">
            <v>5.49</v>
          </cell>
        </row>
        <row r="70">
          <cell r="A70" t="str">
            <v>19-00069</v>
          </cell>
          <cell r="B70" t="str">
            <v>GLOBAL DISTRIBUTOR</v>
          </cell>
          <cell r="C70" t="str">
            <v>D</v>
          </cell>
          <cell r="D70" t="str">
            <v>N/A</v>
          </cell>
          <cell r="E70" t="str">
            <v>GU-1049 GIDDY UP SURPRISE INK PHINEAS &amp; FERB DISCONTINUED</v>
          </cell>
          <cell r="F70" t="str">
            <v>COLORING BOOK</v>
          </cell>
          <cell r="G70" t="str">
            <v>GU-1049</v>
          </cell>
          <cell r="H70" t="str">
            <v>GIDDY UP</v>
          </cell>
          <cell r="I70">
            <v>5.49</v>
          </cell>
        </row>
        <row r="71">
          <cell r="A71" t="str">
            <v>19-00070</v>
          </cell>
          <cell r="B71" t="str">
            <v>GLOBAL DISTRIBUTOR</v>
          </cell>
          <cell r="C71" t="str">
            <v>D</v>
          </cell>
          <cell r="D71" t="str">
            <v>N/A</v>
          </cell>
          <cell r="E71" t="str">
            <v>GU-1055 GIDDY UP SURPRISE INK POWER RANGERS DISCONTINUED</v>
          </cell>
          <cell r="F71" t="str">
            <v>COLORING BOOK</v>
          </cell>
          <cell r="G71" t="str">
            <v>GU-1055</v>
          </cell>
          <cell r="H71" t="str">
            <v>GIDDY UP</v>
          </cell>
          <cell r="I71">
            <v>5.49</v>
          </cell>
        </row>
        <row r="72">
          <cell r="A72" t="str">
            <v>19-00071</v>
          </cell>
          <cell r="B72" t="str">
            <v>GLOBAL DISTRIBUTOR</v>
          </cell>
          <cell r="C72" t="str">
            <v>D</v>
          </cell>
          <cell r="D72" t="str">
            <v>N/A</v>
          </cell>
          <cell r="E72" t="str">
            <v>GU-1265 GIDDY UP SURPRISE INK LITTLEST PET SHOP DISCONTINUED</v>
          </cell>
          <cell r="F72" t="str">
            <v>COLORING BOOK</v>
          </cell>
          <cell r="G72" t="str">
            <v>GU-1265</v>
          </cell>
          <cell r="H72" t="str">
            <v>GIDDY UP</v>
          </cell>
          <cell r="I72">
            <v>5.49</v>
          </cell>
        </row>
        <row r="73">
          <cell r="A73" t="str">
            <v>19-00072</v>
          </cell>
          <cell r="B73" t="str">
            <v>GLOBAL DISTRIBUTOR</v>
          </cell>
          <cell r="C73" t="str">
            <v>D</v>
          </cell>
          <cell r="D73" t="str">
            <v>N/A</v>
          </cell>
          <cell r="E73" t="str">
            <v>GU-3101 GIDDY UP COLOR CARRY 2 SPONGEBOB DISCONTINUED</v>
          </cell>
          <cell r="F73" t="str">
            <v>COLORING BOOK</v>
          </cell>
          <cell r="G73" t="str">
            <v>GU-3101</v>
          </cell>
          <cell r="H73" t="str">
            <v>GIDDY UP</v>
          </cell>
          <cell r="I73">
            <v>6.26</v>
          </cell>
        </row>
        <row r="74">
          <cell r="A74" t="str">
            <v>19-00073</v>
          </cell>
          <cell r="B74" t="str">
            <v>GLOBAL DISTRIBUTOR</v>
          </cell>
          <cell r="C74" t="str">
            <v>D</v>
          </cell>
          <cell r="D74" t="str">
            <v>N/A</v>
          </cell>
          <cell r="E74" t="str">
            <v>GU-3105 GIDDY UP COLOR CARRY 2 BARBIE DISCONTINUED</v>
          </cell>
          <cell r="F74" t="str">
            <v>COLORING BOOK</v>
          </cell>
          <cell r="G74" t="str">
            <v>GU-3105</v>
          </cell>
          <cell r="H74" t="str">
            <v>GIDDY UP</v>
          </cell>
          <cell r="I74">
            <v>6.26</v>
          </cell>
        </row>
        <row r="75">
          <cell r="A75" t="str">
            <v>19-00074</v>
          </cell>
          <cell r="B75" t="str">
            <v>GLOBAL DISTRIBUTOR</v>
          </cell>
          <cell r="C75" t="str">
            <v>D</v>
          </cell>
          <cell r="D75" t="str">
            <v>N/A</v>
          </cell>
          <cell r="E75" t="str">
            <v>GU-3207 GIDDY UP COLOR CARRY 2 DORA DISCONTINUED</v>
          </cell>
          <cell r="F75" t="str">
            <v>COLORING BOOK</v>
          </cell>
          <cell r="G75" t="str">
            <v>GU-3207</v>
          </cell>
          <cell r="H75" t="str">
            <v>GIDDY UP</v>
          </cell>
          <cell r="I75">
            <v>6.26</v>
          </cell>
        </row>
        <row r="76">
          <cell r="A76" t="str">
            <v>19-00075</v>
          </cell>
          <cell r="B76" t="str">
            <v>GLOBAL DISTRIBUTOR</v>
          </cell>
          <cell r="C76" t="str">
            <v>D</v>
          </cell>
          <cell r="D76" t="str">
            <v>N/A</v>
          </cell>
          <cell r="E76" t="str">
            <v>GU-3263 GIDDY UP COLOR CARRY 2 MY LITTLE PONY DISCONTINUED</v>
          </cell>
          <cell r="F76" t="str">
            <v>COLORING BOOK</v>
          </cell>
          <cell r="G76" t="str">
            <v>GU-3263</v>
          </cell>
          <cell r="H76" t="str">
            <v>GIDDY UP</v>
          </cell>
          <cell r="I76">
            <v>6.26</v>
          </cell>
        </row>
        <row r="77">
          <cell r="A77" t="str">
            <v>19-00076</v>
          </cell>
          <cell r="B77" t="str">
            <v>GLOBAL DISTRIBUTOR</v>
          </cell>
          <cell r="C77" t="str">
            <v>D</v>
          </cell>
          <cell r="D77" t="str">
            <v>N/A</v>
          </cell>
          <cell r="E77" t="str">
            <v>GU-3152 GIDDY UP COLOR CARRY 2 SPIDERMAN DISCONTINUED</v>
          </cell>
          <cell r="F77" t="str">
            <v>COLORING BOOK</v>
          </cell>
          <cell r="G77" t="str">
            <v>GU-3152</v>
          </cell>
          <cell r="H77" t="str">
            <v>GIDDY UP</v>
          </cell>
          <cell r="I77">
            <v>6.26</v>
          </cell>
        </row>
        <row r="78">
          <cell r="A78" t="str">
            <v>19-00077</v>
          </cell>
          <cell r="B78" t="str">
            <v>GLOBAL DISTRIBUTOR</v>
          </cell>
          <cell r="C78" t="str">
            <v>D</v>
          </cell>
          <cell r="D78" t="str">
            <v>N/A</v>
          </cell>
          <cell r="E78" t="str">
            <v>GU-3285 GIDDY UP COLOR CARRY 2 SESAME STREET DISCONTINUED</v>
          </cell>
          <cell r="F78" t="str">
            <v>COLORING BOOK</v>
          </cell>
          <cell r="G78" t="str">
            <v>GU-3285</v>
          </cell>
          <cell r="H78" t="str">
            <v>GIDDY UP</v>
          </cell>
          <cell r="I78">
            <v>6.26</v>
          </cell>
        </row>
        <row r="79">
          <cell r="A79" t="str">
            <v>19-00078</v>
          </cell>
          <cell r="B79" t="str">
            <v>GLOBAL DISTRIBUTOR</v>
          </cell>
          <cell r="C79" t="str">
            <v>D</v>
          </cell>
          <cell r="D79" t="str">
            <v>N/A</v>
          </cell>
          <cell r="E79" t="str">
            <v>GU-3165 GIDDY UP COLOR CARRY 2 LITTLEST PET SHOP DISCONTINUED</v>
          </cell>
          <cell r="F79" t="str">
            <v>COLORING BOOK</v>
          </cell>
          <cell r="G79" t="str">
            <v>GU-3165</v>
          </cell>
          <cell r="H79" t="str">
            <v>GIDDY UP</v>
          </cell>
          <cell r="I79">
            <v>6.26</v>
          </cell>
        </row>
        <row r="80">
          <cell r="A80" t="str">
            <v>19-00079</v>
          </cell>
          <cell r="B80" t="str">
            <v>GLOBAL DISTRIBUTOR</v>
          </cell>
          <cell r="C80" t="str">
            <v>D</v>
          </cell>
          <cell r="D80" t="str">
            <v>N/A</v>
          </cell>
          <cell r="E80" t="str">
            <v>GU-3169 GIDDY UP COLOR CARRY 2 TRANSFORMERS ANIMATED DISCONTINUED</v>
          </cell>
          <cell r="F80" t="str">
            <v>COLORING BOOK</v>
          </cell>
          <cell r="G80" t="str">
            <v>GU-3169</v>
          </cell>
          <cell r="H80" t="str">
            <v>GIDDY UP</v>
          </cell>
          <cell r="I80">
            <v>6.26</v>
          </cell>
        </row>
        <row r="81">
          <cell r="A81" t="str">
            <v>19-00080</v>
          </cell>
          <cell r="B81" t="str">
            <v>GLOBAL DISTRIBUTOR</v>
          </cell>
          <cell r="C81" t="str">
            <v>D</v>
          </cell>
          <cell r="D81" t="str">
            <v>N/A</v>
          </cell>
          <cell r="E81" t="str">
            <v>GU-3279 GIDDY UP COLOR CARRY 2 SUPER WHY DISCONTINUED</v>
          </cell>
          <cell r="F81" t="str">
            <v>COLORING BOOK</v>
          </cell>
          <cell r="G81" t="str">
            <v>GU-3279</v>
          </cell>
          <cell r="H81" t="str">
            <v>GIDDY UP</v>
          </cell>
          <cell r="I81">
            <v>6.26</v>
          </cell>
        </row>
        <row r="82">
          <cell r="A82" t="str">
            <v>19-00081</v>
          </cell>
          <cell r="B82" t="str">
            <v>GLOBAL DISTRIBUTOR</v>
          </cell>
          <cell r="C82" t="str">
            <v>D</v>
          </cell>
          <cell r="D82" t="str">
            <v>N/A</v>
          </cell>
          <cell r="E82" t="str">
            <v>GU-1707 GIDDY UP COLORBLAST MINI BOOKS DORA DISCONTINUED</v>
          </cell>
          <cell r="F82" t="str">
            <v>COLORING BOOK</v>
          </cell>
          <cell r="G82" t="str">
            <v>GU-1707</v>
          </cell>
          <cell r="H82" t="str">
            <v>GIDDY UP</v>
          </cell>
          <cell r="I82">
            <v>4.0999999999999996</v>
          </cell>
        </row>
        <row r="83">
          <cell r="A83" t="str">
            <v>19-00082</v>
          </cell>
          <cell r="B83" t="str">
            <v>GLOBAL DISTRIBUTOR</v>
          </cell>
          <cell r="C83" t="str">
            <v>D</v>
          </cell>
          <cell r="D83" t="str">
            <v>N/A</v>
          </cell>
          <cell r="E83" t="str">
            <v>GU-1763 GIDDY UP COLORBLAST MINI BOOKS MY LITTLE PONY DISCONTINUED</v>
          </cell>
          <cell r="F83" t="str">
            <v>COLORING BOOK</v>
          </cell>
          <cell r="G83" t="str">
            <v>GU-1763</v>
          </cell>
          <cell r="H83" t="str">
            <v>GIDDY UP</v>
          </cell>
          <cell r="I83">
            <v>4.0999999999999996</v>
          </cell>
        </row>
        <row r="84">
          <cell r="A84" t="str">
            <v>19-00083</v>
          </cell>
          <cell r="B84" t="str">
            <v>GLOBAL DISTRIBUTOR</v>
          </cell>
          <cell r="C84" t="str">
            <v>D</v>
          </cell>
          <cell r="D84" t="str">
            <v>N/A</v>
          </cell>
          <cell r="E84" t="str">
            <v>GU-1786 GIDDY UP COLORBLAST MINI BOOKS MICKEY'S CLUBHOUSE DISCONTINUED</v>
          </cell>
          <cell r="F84" t="str">
            <v>COLORING BOOK</v>
          </cell>
          <cell r="G84" t="str">
            <v>GU-1786</v>
          </cell>
          <cell r="H84" t="str">
            <v>GIDDY UP</v>
          </cell>
          <cell r="I84">
            <v>4.0999999999999996</v>
          </cell>
        </row>
        <row r="85">
          <cell r="A85" t="str">
            <v>19-00084</v>
          </cell>
          <cell r="B85" t="str">
            <v>GLOBAL DISTRIBUTOR</v>
          </cell>
          <cell r="C85" t="str">
            <v>D</v>
          </cell>
          <cell r="D85" t="str">
            <v>N/A</v>
          </cell>
          <cell r="E85" t="str">
            <v>GU-1705 GIDDY UP COLORBLAST MINI BOOKS BARBIE DISCONTINUED</v>
          </cell>
          <cell r="F85" t="str">
            <v>COLORING BOOK</v>
          </cell>
          <cell r="G85" t="str">
            <v>GU-1705</v>
          </cell>
          <cell r="H85" t="str">
            <v>GIDDY UP</v>
          </cell>
          <cell r="I85">
            <v>4.0999999999999996</v>
          </cell>
        </row>
        <row r="86">
          <cell r="A86" t="str">
            <v>19-00085</v>
          </cell>
          <cell r="B86" t="str">
            <v>GLOBAL DISTRIBUTOR</v>
          </cell>
          <cell r="C86" t="str">
            <v>D</v>
          </cell>
          <cell r="D86" t="str">
            <v>N/A</v>
          </cell>
          <cell r="E86" t="str">
            <v>GU-1765 GIDDY UP COLORBLAST MINI BOOKS LITTLEST PET SHOP DISCONTINUED</v>
          </cell>
          <cell r="F86" t="str">
            <v>COLORING BOOK</v>
          </cell>
          <cell r="G86" t="str">
            <v>GU-1765</v>
          </cell>
          <cell r="H86" t="str">
            <v>GIDDY UP</v>
          </cell>
          <cell r="I86">
            <v>4.0999999999999996</v>
          </cell>
        </row>
        <row r="87">
          <cell r="A87" t="str">
            <v>19-00086</v>
          </cell>
          <cell r="B87" t="str">
            <v>GLOBAL DISTRIBUTOR</v>
          </cell>
          <cell r="C87" t="str">
            <v>D</v>
          </cell>
          <cell r="D87" t="str">
            <v>N/A</v>
          </cell>
          <cell r="E87" t="str">
            <v>GU-1752 GIDDY UP COLORBLAST MINI BOOKS SPIDERMAN DISCONTINUED</v>
          </cell>
          <cell r="F87" t="str">
            <v>COLORING BOOK</v>
          </cell>
          <cell r="G87" t="str">
            <v>GU-1752</v>
          </cell>
          <cell r="H87" t="str">
            <v>GIDDY UP</v>
          </cell>
          <cell r="I87">
            <v>4.0999999999999996</v>
          </cell>
        </row>
        <row r="88">
          <cell r="A88" t="str">
            <v>19-00087</v>
          </cell>
          <cell r="B88" t="str">
            <v>GLOBAL DISTRIBUTOR</v>
          </cell>
          <cell r="C88" t="str">
            <v>D</v>
          </cell>
          <cell r="D88" t="str">
            <v>N/A</v>
          </cell>
          <cell r="E88" t="str">
            <v>GU-1785 GIDDY UP COLORBLAST MINI BOOKS SESAME STREET DISCONTINUED</v>
          </cell>
          <cell r="F88" t="str">
            <v>COLORING BOOK</v>
          </cell>
          <cell r="G88" t="str">
            <v>GU-1785</v>
          </cell>
          <cell r="H88" t="str">
            <v>GIDDY UP</v>
          </cell>
          <cell r="I88">
            <v>4.0999999999999996</v>
          </cell>
        </row>
        <row r="89">
          <cell r="A89" t="str">
            <v>19-00088</v>
          </cell>
          <cell r="B89" t="str">
            <v>GLOBAL DISTRIBUTOR</v>
          </cell>
          <cell r="C89" t="str">
            <v>D</v>
          </cell>
          <cell r="D89" t="str">
            <v>N/A</v>
          </cell>
          <cell r="E89" t="str">
            <v>GU-1807 GIDDY UP RUB N COLOR MINI BOOKS DORA DISCONTINUED</v>
          </cell>
          <cell r="F89" t="str">
            <v>COLORING BOOK</v>
          </cell>
          <cell r="G89" t="str">
            <v>GU-1807</v>
          </cell>
          <cell r="H89" t="str">
            <v>GIDDY UP</v>
          </cell>
          <cell r="I89">
            <v>4.0999999999999996</v>
          </cell>
        </row>
        <row r="90">
          <cell r="A90" t="str">
            <v>19-00089</v>
          </cell>
          <cell r="B90" t="str">
            <v>GLOBAL DISTRIBUTOR</v>
          </cell>
          <cell r="C90" t="str">
            <v>D</v>
          </cell>
          <cell r="D90" t="str">
            <v>N/A</v>
          </cell>
          <cell r="E90" t="str">
            <v>GU-1865 GIDDY UP RUB N COLOR MINI BOOKS LITTLEST PET SHOP DISCONTINUED</v>
          </cell>
          <cell r="F90" t="str">
            <v>COLORING BOOK</v>
          </cell>
          <cell r="G90" t="str">
            <v>GU-1865</v>
          </cell>
          <cell r="H90" t="str">
            <v>GIDDY UP</v>
          </cell>
          <cell r="I90">
            <v>4.0999999999999996</v>
          </cell>
        </row>
        <row r="91">
          <cell r="A91" t="str">
            <v>19-00090</v>
          </cell>
          <cell r="B91" t="str">
            <v>GLOBAL DISTRIBUTOR</v>
          </cell>
          <cell r="C91" t="str">
            <v>D</v>
          </cell>
          <cell r="D91" t="str">
            <v>N/A</v>
          </cell>
          <cell r="E91" t="str">
            <v>GU-1816 GIDDY UP RUB N COLOR MINI BOOKS THOMAS DISCONTINUED</v>
          </cell>
          <cell r="F91" t="str">
            <v>COLORING BOOK</v>
          </cell>
          <cell r="G91" t="str">
            <v>GU-1816</v>
          </cell>
          <cell r="H91" t="str">
            <v>GIDDY UP</v>
          </cell>
          <cell r="I91">
            <v>4.0999999999999996</v>
          </cell>
        </row>
        <row r="92">
          <cell r="A92" t="str">
            <v>19-00091</v>
          </cell>
          <cell r="B92" t="str">
            <v>GLOBAL DISTRIBUTOR</v>
          </cell>
          <cell r="C92" t="str">
            <v>D</v>
          </cell>
          <cell r="D92" t="str">
            <v>N/A</v>
          </cell>
          <cell r="E92" t="str">
            <v>GU-1801 GIDDY UP RUB N COLOR MINI BOOKS SPONGEBOB DISCONTINUED</v>
          </cell>
          <cell r="F92" t="str">
            <v>COLORING BOOK</v>
          </cell>
          <cell r="G92" t="str">
            <v>GU-1801</v>
          </cell>
          <cell r="H92" t="str">
            <v>GIDDY UP</v>
          </cell>
          <cell r="I92">
            <v>4.0999999999999996</v>
          </cell>
        </row>
        <row r="93">
          <cell r="A93" t="str">
            <v>19-00092</v>
          </cell>
          <cell r="B93" t="str">
            <v>GLOBAL DISTRIBUTOR</v>
          </cell>
          <cell r="C93" t="str">
            <v>D</v>
          </cell>
          <cell r="D93" t="str">
            <v>N/A</v>
          </cell>
          <cell r="E93" t="str">
            <v>GU-2407 GIDDY UP WATER WOW BOOKS DORA DISCONTINUED</v>
          </cell>
          <cell r="F93" t="str">
            <v>COLORING BOOK</v>
          </cell>
          <cell r="G93" t="str">
            <v>GU-2407</v>
          </cell>
          <cell r="H93" t="str">
            <v>GIDDY UP</v>
          </cell>
          <cell r="I93">
            <v>6.26</v>
          </cell>
        </row>
        <row r="94">
          <cell r="A94" t="str">
            <v>19-00093</v>
          </cell>
          <cell r="B94" t="str">
            <v>GLOBAL DISTRIBUTOR</v>
          </cell>
          <cell r="C94" t="str">
            <v>D</v>
          </cell>
          <cell r="D94" t="str">
            <v>N/A</v>
          </cell>
          <cell r="E94" t="str">
            <v>GU-2401 GIDDY UP WATER WOW BOOKS SPONGEBOB DISCONTINUED</v>
          </cell>
          <cell r="F94" t="str">
            <v>COLORING BOOK</v>
          </cell>
          <cell r="G94" t="str">
            <v>GU-2401</v>
          </cell>
          <cell r="H94" t="str">
            <v>GIDDY UP</v>
          </cell>
          <cell r="I94">
            <v>6.26</v>
          </cell>
        </row>
        <row r="95">
          <cell r="A95" t="str">
            <v>19-00094</v>
          </cell>
          <cell r="B95" t="str">
            <v>GLOBAL DISTRIBUTOR</v>
          </cell>
          <cell r="C95" t="str">
            <v>D</v>
          </cell>
          <cell r="D95" t="str">
            <v>N/A</v>
          </cell>
          <cell r="E95" t="str">
            <v>GU-2465 GIDDY UP WATER WOW BOOKS LITTLEST PET SHOP DISCONTINUED</v>
          </cell>
          <cell r="F95" t="str">
            <v>COLORING BOOK</v>
          </cell>
          <cell r="G95" t="str">
            <v>GU-2465</v>
          </cell>
          <cell r="H95" t="str">
            <v>GIDDY UP</v>
          </cell>
          <cell r="I95">
            <v>6.26</v>
          </cell>
        </row>
        <row r="96">
          <cell r="A96" t="str">
            <v>19-00095</v>
          </cell>
          <cell r="B96" t="str">
            <v>GLOBAL DISTRIBUTOR</v>
          </cell>
          <cell r="C96" t="str">
            <v>D</v>
          </cell>
          <cell r="D96" t="str">
            <v>N/A</v>
          </cell>
          <cell r="E96" t="str">
            <v>GU-2469 GIDDY UP WATER WOW BOOKS TRANSFORMERS ANIMATED DISCONTINUED</v>
          </cell>
          <cell r="F96" t="str">
            <v>COLORING BOOK</v>
          </cell>
          <cell r="G96" t="str">
            <v>GU-2469</v>
          </cell>
          <cell r="H96" t="str">
            <v>GIDDY UP</v>
          </cell>
          <cell r="I96">
            <v>6.26</v>
          </cell>
        </row>
        <row r="97">
          <cell r="A97" t="str">
            <v>19-00096</v>
          </cell>
          <cell r="B97" t="str">
            <v>GLOBAL DISTRIBUTOR</v>
          </cell>
          <cell r="C97" t="str">
            <v>D</v>
          </cell>
          <cell r="D97" t="str">
            <v>N/A</v>
          </cell>
          <cell r="E97" t="str">
            <v>GU-2405 GIDDY UP WATER WOW BOOKS BARBIE DISCONTINUED</v>
          </cell>
          <cell r="F97" t="str">
            <v>COLORING BOOK</v>
          </cell>
          <cell r="G97" t="str">
            <v>GU-2405</v>
          </cell>
          <cell r="H97" t="str">
            <v>GIDDY UP</v>
          </cell>
          <cell r="I97">
            <v>6.26</v>
          </cell>
        </row>
        <row r="98">
          <cell r="A98" t="str">
            <v>19-00097</v>
          </cell>
          <cell r="B98" t="str">
            <v>GLOBAL DISTRIBUTOR</v>
          </cell>
          <cell r="C98" t="str">
            <v>D</v>
          </cell>
          <cell r="D98" t="str">
            <v>N/A</v>
          </cell>
          <cell r="E98" t="str">
            <v>GU-2416 GIDDY UP WATER WOW BOOKS THOMAS THE TANK DISCONTINUED</v>
          </cell>
          <cell r="F98" t="str">
            <v>COLORING BOOK</v>
          </cell>
          <cell r="G98" t="str">
            <v>GU-2416</v>
          </cell>
          <cell r="H98" t="str">
            <v>GIDDY UP</v>
          </cell>
          <cell r="I98">
            <v>6.26</v>
          </cell>
        </row>
        <row r="99">
          <cell r="A99" t="str">
            <v>19-00098</v>
          </cell>
          <cell r="B99" t="str">
            <v>GLOBAL DISTRIBUTOR</v>
          </cell>
          <cell r="C99" t="str">
            <v>D</v>
          </cell>
          <cell r="D99" t="str">
            <v>N/A</v>
          </cell>
          <cell r="E99" t="str">
            <v>GU-2452 GIDDY UP WATER WOW BOOKS SPIDERMAN DISCONTINUED</v>
          </cell>
          <cell r="F99" t="str">
            <v>COLORING BOOK</v>
          </cell>
          <cell r="G99" t="str">
            <v>GU-2452</v>
          </cell>
          <cell r="H99" t="str">
            <v>GIDDY UP</v>
          </cell>
          <cell r="I99">
            <v>6.26</v>
          </cell>
        </row>
        <row r="100">
          <cell r="A100" t="str">
            <v>19-00099</v>
          </cell>
          <cell r="B100" t="str">
            <v>GLOBAL DISTRIBUTOR</v>
          </cell>
          <cell r="C100" t="str">
            <v>D</v>
          </cell>
          <cell r="D100" t="str">
            <v>N/A</v>
          </cell>
          <cell r="E100" t="str">
            <v>GU-2470 GIDDY UP WATER WOW BOOKS DISNEY PRINCESS DISCONTINUED</v>
          </cell>
          <cell r="F100" t="str">
            <v>COLORING BOOK</v>
          </cell>
          <cell r="G100" t="str">
            <v>GU-2470</v>
          </cell>
          <cell r="H100" t="str">
            <v>GIDDY UP</v>
          </cell>
          <cell r="I100">
            <v>6.26</v>
          </cell>
        </row>
        <row r="101">
          <cell r="A101" t="str">
            <v>19-00100</v>
          </cell>
          <cell r="B101" t="str">
            <v>GLOBAL DISTRIBUTOR</v>
          </cell>
          <cell r="C101" t="str">
            <v>D</v>
          </cell>
          <cell r="D101" t="str">
            <v>N/A</v>
          </cell>
          <cell r="E101" t="str">
            <v>GU-2486 GIDDY UP WATER WOW BOOKS MICKEY'S CLUBHOUSE DISCONTINUED</v>
          </cell>
          <cell r="F101" t="str">
            <v>COLORING BOOK</v>
          </cell>
          <cell r="G101" t="str">
            <v>GU-2486</v>
          </cell>
          <cell r="H101" t="str">
            <v>GIDDY UP</v>
          </cell>
          <cell r="I101">
            <v>0</v>
          </cell>
        </row>
        <row r="102">
          <cell r="A102" t="str">
            <v>19-00101</v>
          </cell>
          <cell r="B102" t="str">
            <v>GLOBAL DISTRIBUTOR</v>
          </cell>
          <cell r="C102" t="str">
            <v>D</v>
          </cell>
          <cell r="D102" t="str">
            <v>N/A</v>
          </cell>
          <cell r="E102" t="str">
            <v>GU-2488 GIDDY UP WATER WOW BOOKS NI HAO KAI- LAN DISCONTINUED</v>
          </cell>
          <cell r="F102" t="str">
            <v>COLORING BOOK</v>
          </cell>
          <cell r="G102" t="str">
            <v>GU-2488</v>
          </cell>
          <cell r="H102" t="str">
            <v>GIDDY UP</v>
          </cell>
          <cell r="I102">
            <v>6.26</v>
          </cell>
        </row>
        <row r="103">
          <cell r="A103" t="str">
            <v>19-00102</v>
          </cell>
          <cell r="B103" t="str">
            <v>GLOBAL DISTRIBUTOR</v>
          </cell>
          <cell r="C103" t="str">
            <v>D</v>
          </cell>
          <cell r="D103" t="str">
            <v>N/A</v>
          </cell>
          <cell r="E103" t="str">
            <v>GU-2485 GIDDY UP WATER WOW BOOKS SESAME STREET DISCONTINUED</v>
          </cell>
          <cell r="F103" t="str">
            <v>COLORING BOOK</v>
          </cell>
          <cell r="G103" t="str">
            <v>GU-2485</v>
          </cell>
          <cell r="H103" t="str">
            <v>GIDDY UP</v>
          </cell>
          <cell r="I103">
            <v>6.26</v>
          </cell>
        </row>
        <row r="104">
          <cell r="A104" t="str">
            <v>19-00103</v>
          </cell>
          <cell r="B104" t="str">
            <v>GLOBAL DISTRIBUTOR</v>
          </cell>
          <cell r="C104" t="str">
            <v>D</v>
          </cell>
          <cell r="D104" t="str">
            <v>N/A</v>
          </cell>
          <cell r="E104" t="str">
            <v>GU-2454 GIDDY UP WATER WOW BOOKS SUPER HERO SQUAD DISCONTINUED</v>
          </cell>
          <cell r="F104" t="str">
            <v>COLORING BOOK</v>
          </cell>
          <cell r="G104" t="str">
            <v>GU-2454</v>
          </cell>
          <cell r="H104" t="str">
            <v>GIDDY UP</v>
          </cell>
          <cell r="I104">
            <v>6.26</v>
          </cell>
        </row>
        <row r="105">
          <cell r="A105" t="str">
            <v>19-00104</v>
          </cell>
          <cell r="B105" t="str">
            <v>GLOBAL DISTRIBUTOR</v>
          </cell>
          <cell r="C105" t="str">
            <v>D</v>
          </cell>
          <cell r="D105" t="str">
            <v>N/A</v>
          </cell>
          <cell r="E105" t="str">
            <v>GU-6501 GIDDY UP BLENDY PENS MINI BOOKS SPONGEBOB DISCONTINUED</v>
          </cell>
          <cell r="F105" t="str">
            <v>COLORING BOOK</v>
          </cell>
          <cell r="G105" t="str">
            <v>GU-6501</v>
          </cell>
          <cell r="H105" t="str">
            <v>GIDDY UP</v>
          </cell>
          <cell r="I105">
            <v>4.0999999999999996</v>
          </cell>
        </row>
        <row r="106">
          <cell r="A106" t="str">
            <v>19-00105</v>
          </cell>
          <cell r="B106" t="str">
            <v>GLOBAL DISTRIBUTOR</v>
          </cell>
          <cell r="C106" t="str">
            <v>D</v>
          </cell>
          <cell r="D106" t="str">
            <v>N/A</v>
          </cell>
          <cell r="E106" t="str">
            <v>GU-6505 GIDDY UP BLENDY PENS MINI BOOKS BARBIE DISCONTINUED</v>
          </cell>
          <cell r="F106" t="str">
            <v>COLORING BOOK</v>
          </cell>
          <cell r="G106" t="str">
            <v>GU-6505</v>
          </cell>
          <cell r="H106" t="str">
            <v>GIDDY UP</v>
          </cell>
          <cell r="I106">
            <v>4.0999999999999996</v>
          </cell>
        </row>
        <row r="107">
          <cell r="A107" t="str">
            <v>19-00106</v>
          </cell>
          <cell r="B107" t="str">
            <v>GLOBAL DISTRIBUTOR</v>
          </cell>
          <cell r="C107" t="str">
            <v>D</v>
          </cell>
          <cell r="D107" t="str">
            <v>N/A</v>
          </cell>
          <cell r="E107" t="str">
            <v>GU-6569 GIDDY UP BLENDY PENS MINI BOOKS TRANSFORMERS DISCONTINUED</v>
          </cell>
          <cell r="F107" t="str">
            <v>COLORING BOOK</v>
          </cell>
          <cell r="G107" t="str">
            <v>GU-6569</v>
          </cell>
          <cell r="H107" t="str">
            <v>GIDDY UP</v>
          </cell>
          <cell r="I107">
            <v>4.0999999999999996</v>
          </cell>
        </row>
        <row r="108">
          <cell r="A108" t="str">
            <v>19-00107</v>
          </cell>
          <cell r="B108" t="str">
            <v>GLOBAL DISTRIBUTOR</v>
          </cell>
          <cell r="C108" t="str">
            <v>D</v>
          </cell>
          <cell r="D108" t="str">
            <v>N/A</v>
          </cell>
          <cell r="E108" t="str">
            <v>CLOUDZ KIDS PLUSH NECK PILLOW  ASSORTED DISCONTINUED</v>
          </cell>
          <cell r="F108" t="str">
            <v>NECK PILLOW</v>
          </cell>
          <cell r="G108" t="str">
            <v>CLKP-600</v>
          </cell>
          <cell r="H108" t="str">
            <v>CLOUDZ</v>
          </cell>
          <cell r="I108">
            <v>6.25</v>
          </cell>
        </row>
        <row r="109">
          <cell r="A109" t="str">
            <v>19-00108</v>
          </cell>
          <cell r="B109" t="str">
            <v>DIST. LEWIS</v>
          </cell>
          <cell r="C109" t="str">
            <v>D</v>
          </cell>
          <cell r="D109" t="str">
            <v>N/A</v>
          </cell>
          <cell r="E109" t="str">
            <v>ALLURE DISCONTINUED</v>
          </cell>
          <cell r="F109" t="str">
            <v>MAGAZINE</v>
          </cell>
          <cell r="H109" t="str">
            <v>ALLURE</v>
          </cell>
          <cell r="I109">
            <v>0</v>
          </cell>
        </row>
        <row r="110">
          <cell r="A110" t="str">
            <v>19-00109</v>
          </cell>
          <cell r="B110" t="str">
            <v>DIST. LEWIS</v>
          </cell>
          <cell r="C110" t="str">
            <v>A</v>
          </cell>
          <cell r="D110" t="str">
            <v>SI</v>
          </cell>
          <cell r="E110" t="str">
            <v>ARCHITECTURAL DIGEST</v>
          </cell>
          <cell r="F110" t="str">
            <v>MAGAZINE</v>
          </cell>
          <cell r="G110">
            <v>8430</v>
          </cell>
          <cell r="H110" t="str">
            <v>DIST. LEWIS</v>
          </cell>
          <cell r="I110">
            <v>6.36</v>
          </cell>
        </row>
        <row r="111">
          <cell r="A111" t="str">
            <v>19-00110</v>
          </cell>
          <cell r="B111" t="str">
            <v>DIST. LEWIS</v>
          </cell>
          <cell r="C111" t="str">
            <v>D</v>
          </cell>
          <cell r="D111" t="str">
            <v>N/A</v>
          </cell>
          <cell r="E111" t="str">
            <v>AUTOMOBILE DISCONTINUED</v>
          </cell>
          <cell r="F111" t="str">
            <v>MAGAZINE</v>
          </cell>
          <cell r="G111">
            <v>30283</v>
          </cell>
          <cell r="H111" t="str">
            <v>AUTOMOBILE</v>
          </cell>
          <cell r="I111">
            <v>4.4000000000000004</v>
          </cell>
        </row>
        <row r="112">
          <cell r="A112" t="str">
            <v>19-00111</v>
          </cell>
          <cell r="B112" t="str">
            <v>DIST. LEWIS</v>
          </cell>
          <cell r="C112" t="str">
            <v>D</v>
          </cell>
          <cell r="D112" t="str">
            <v>N/A</v>
          </cell>
          <cell r="E112" t="str">
            <v>BEST SELLING BOOKS DISCONTINUED</v>
          </cell>
          <cell r="F112" t="str">
            <v>MAGAZINE</v>
          </cell>
          <cell r="H112" t="str">
            <v>BEST SELLING BOOKS</v>
          </cell>
          <cell r="I112">
            <v>0</v>
          </cell>
        </row>
        <row r="113">
          <cell r="A113" t="str">
            <v>19-00112</v>
          </cell>
          <cell r="B113" t="str">
            <v>DIST. LEWIS</v>
          </cell>
          <cell r="C113" t="str">
            <v>A</v>
          </cell>
          <cell r="D113" t="str">
            <v>SI</v>
          </cell>
          <cell r="E113" t="str">
            <v>BETTER HOMES &amp; GARDENS</v>
          </cell>
          <cell r="F113" t="str">
            <v>MAGAZINE</v>
          </cell>
          <cell r="G113">
            <v>14060</v>
          </cell>
          <cell r="H113" t="str">
            <v>DIST. LEWIS</v>
          </cell>
          <cell r="I113">
            <v>3.6</v>
          </cell>
        </row>
        <row r="114">
          <cell r="A114" t="str">
            <v>19-00113</v>
          </cell>
          <cell r="B114" t="str">
            <v>DIST. LEWIS</v>
          </cell>
          <cell r="C114" t="str">
            <v>D</v>
          </cell>
          <cell r="D114" t="str">
            <v>N/A</v>
          </cell>
          <cell r="E114" t="str">
            <v>BLUE RIBB SUDOKU DISCONTINUED</v>
          </cell>
          <cell r="F114" t="str">
            <v>MAGAZINE</v>
          </cell>
          <cell r="H114" t="str">
            <v>BLUE RIBB SUDOKU</v>
          </cell>
          <cell r="I114">
            <v>0</v>
          </cell>
        </row>
        <row r="115">
          <cell r="A115" t="str">
            <v>19-00114</v>
          </cell>
          <cell r="B115" t="str">
            <v>DIST. LEWIS</v>
          </cell>
          <cell r="C115" t="str">
            <v>D</v>
          </cell>
          <cell r="D115" t="str">
            <v>N/A</v>
          </cell>
          <cell r="E115" t="str">
            <v>BOATING DISCONTINUED</v>
          </cell>
          <cell r="F115" t="str">
            <v>MAGAZINE</v>
          </cell>
          <cell r="G115">
            <v>8388</v>
          </cell>
          <cell r="H115" t="str">
            <v>BOATING</v>
          </cell>
          <cell r="I115">
            <v>4.4000000000000004</v>
          </cell>
        </row>
        <row r="116">
          <cell r="A116" t="str">
            <v>19-00115</v>
          </cell>
          <cell r="B116" t="str">
            <v>DIST. LEWIS</v>
          </cell>
          <cell r="C116" t="str">
            <v>D</v>
          </cell>
          <cell r="D116" t="str">
            <v>N/A</v>
          </cell>
          <cell r="E116" t="str">
            <v>BON APPETIT DISCONTINUED</v>
          </cell>
          <cell r="F116" t="str">
            <v>MAGAZINE</v>
          </cell>
          <cell r="H116" t="str">
            <v>BON APPETIT</v>
          </cell>
          <cell r="I116">
            <v>0</v>
          </cell>
        </row>
        <row r="117">
          <cell r="A117" t="str">
            <v>19-00116</v>
          </cell>
          <cell r="B117" t="str">
            <v>DIST. LEWIS</v>
          </cell>
          <cell r="C117" t="str">
            <v>D</v>
          </cell>
          <cell r="D117" t="str">
            <v>N/A</v>
          </cell>
          <cell r="E117" t="str">
            <v>BRIDES DISCONTINUED</v>
          </cell>
          <cell r="F117" t="str">
            <v>MAGAZINE</v>
          </cell>
          <cell r="G117">
            <v>8433</v>
          </cell>
          <cell r="H117" t="str">
            <v>BRIDES</v>
          </cell>
          <cell r="I117">
            <v>6.36</v>
          </cell>
        </row>
        <row r="118">
          <cell r="A118" t="str">
            <v>19-00117</v>
          </cell>
          <cell r="B118" t="str">
            <v>DIST. LEWIS</v>
          </cell>
          <cell r="C118" t="str">
            <v>D</v>
          </cell>
          <cell r="D118" t="str">
            <v>N/A</v>
          </cell>
          <cell r="E118" t="str">
            <v>CAR&amp; DRIVER DISCONTINUED</v>
          </cell>
          <cell r="F118" t="str">
            <v>MAGAZINE</v>
          </cell>
          <cell r="H118" t="str">
            <v>CAR&amp; DRIVER</v>
          </cell>
          <cell r="I118">
            <v>5.99</v>
          </cell>
        </row>
        <row r="119">
          <cell r="A119" t="str">
            <v>19-00118</v>
          </cell>
          <cell r="B119" t="str">
            <v>DIST. LEWIS</v>
          </cell>
          <cell r="C119" t="str">
            <v>D</v>
          </cell>
          <cell r="D119" t="str">
            <v>N/A</v>
          </cell>
          <cell r="E119" t="str">
            <v>COSMOPOLITAN DISCONTINUED</v>
          </cell>
          <cell r="F119" t="str">
            <v>MAGAZINE</v>
          </cell>
          <cell r="G119">
            <v>8233</v>
          </cell>
          <cell r="H119" t="str">
            <v>COSMOPOLITAN</v>
          </cell>
          <cell r="I119">
            <v>4.4000000000000004</v>
          </cell>
        </row>
        <row r="120">
          <cell r="A120" t="str">
            <v>19-00119</v>
          </cell>
          <cell r="B120" t="str">
            <v>DIST. LEWIS</v>
          </cell>
          <cell r="C120" t="str">
            <v>D</v>
          </cell>
          <cell r="D120" t="str">
            <v>N/A</v>
          </cell>
          <cell r="E120" t="str">
            <v>CRUZADAS DISCONTINUED</v>
          </cell>
          <cell r="F120" t="str">
            <v>MAGAZINE</v>
          </cell>
          <cell r="H120" t="str">
            <v>CRUZADAS</v>
          </cell>
          <cell r="I120">
            <v>0</v>
          </cell>
        </row>
        <row r="121">
          <cell r="A121" t="str">
            <v>19-00120</v>
          </cell>
          <cell r="B121" t="str">
            <v>N/A</v>
          </cell>
          <cell r="C121" t="str">
            <v>D</v>
          </cell>
          <cell r="D121" t="str">
            <v>N/A</v>
          </cell>
          <cell r="E121" t="str">
            <v>DC BATMAN DISCONTINUED</v>
          </cell>
          <cell r="F121" t="str">
            <v>MAGAZINE</v>
          </cell>
          <cell r="G121">
            <v>30430</v>
          </cell>
          <cell r="H121" t="str">
            <v>DC BATMAN</v>
          </cell>
          <cell r="I121">
            <v>0</v>
          </cell>
        </row>
        <row r="122">
          <cell r="A122" t="str">
            <v>19-00121</v>
          </cell>
          <cell r="B122" t="str">
            <v>DIST. LEWIS</v>
          </cell>
          <cell r="C122" t="str">
            <v>D</v>
          </cell>
          <cell r="D122" t="str">
            <v>N/A</v>
          </cell>
          <cell r="E122" t="str">
            <v>DREAM HOMES INT'L DISCONTINUED</v>
          </cell>
          <cell r="F122" t="str">
            <v>MAGAZINE</v>
          </cell>
          <cell r="H122" t="str">
            <v>DREAM HOMES INT'L</v>
          </cell>
          <cell r="I122">
            <v>0</v>
          </cell>
        </row>
        <row r="123">
          <cell r="A123" t="str">
            <v>19-00122</v>
          </cell>
          <cell r="B123" t="str">
            <v>DIST. LEWIS</v>
          </cell>
          <cell r="C123" t="str">
            <v>D</v>
          </cell>
          <cell r="D123" t="str">
            <v>N/A</v>
          </cell>
          <cell r="E123" t="str">
            <v>EBONY DISCONTINUED</v>
          </cell>
          <cell r="F123" t="str">
            <v>MAGAZINE</v>
          </cell>
          <cell r="G123">
            <v>64050</v>
          </cell>
          <cell r="H123" t="str">
            <v>EBONY</v>
          </cell>
          <cell r="I123">
            <v>3.6</v>
          </cell>
        </row>
        <row r="124">
          <cell r="A124" t="str">
            <v>19-00123</v>
          </cell>
          <cell r="B124" t="str">
            <v>DIST. LEWIS</v>
          </cell>
          <cell r="C124" t="str">
            <v>A</v>
          </cell>
          <cell r="D124" t="str">
            <v>SI</v>
          </cell>
          <cell r="E124" t="str">
            <v>ELLE</v>
          </cell>
          <cell r="F124" t="str">
            <v>MAGAZINE</v>
          </cell>
          <cell r="G124">
            <v>8000</v>
          </cell>
          <cell r="H124" t="str">
            <v>DIST. LEWIS</v>
          </cell>
          <cell r="I124">
            <v>4.4000000000000004</v>
          </cell>
        </row>
        <row r="125">
          <cell r="A125" t="str">
            <v>19-00124</v>
          </cell>
          <cell r="B125" t="str">
            <v>DIST. LEWIS</v>
          </cell>
          <cell r="C125" t="str">
            <v>D</v>
          </cell>
          <cell r="D125" t="str">
            <v>N/A</v>
          </cell>
          <cell r="E125" t="str">
            <v>ELLE DECOR DISCONTINUED</v>
          </cell>
          <cell r="F125" t="str">
            <v>MAGAZINE</v>
          </cell>
          <cell r="H125" t="str">
            <v>ELLE DECOR</v>
          </cell>
          <cell r="I125">
            <v>0</v>
          </cell>
        </row>
        <row r="126">
          <cell r="A126" t="str">
            <v>19-00125</v>
          </cell>
          <cell r="B126" t="str">
            <v>DIST. LEWIS</v>
          </cell>
          <cell r="C126" t="str">
            <v>D</v>
          </cell>
          <cell r="D126" t="str">
            <v>N/A</v>
          </cell>
          <cell r="E126" t="str">
            <v>ENTREPRENEUR DISCONTINUED</v>
          </cell>
          <cell r="F126" t="str">
            <v>MAGAZINE</v>
          </cell>
          <cell r="H126" t="str">
            <v>ENTREPRENEUR</v>
          </cell>
          <cell r="I126">
            <v>0</v>
          </cell>
        </row>
        <row r="127">
          <cell r="A127" t="str">
            <v>19-00126</v>
          </cell>
          <cell r="B127" t="str">
            <v>DIST. LEWIS</v>
          </cell>
          <cell r="C127" t="str">
            <v>A</v>
          </cell>
          <cell r="D127" t="str">
            <v>SI</v>
          </cell>
          <cell r="E127" t="str">
            <v>ESQUIRE</v>
          </cell>
          <cell r="F127" t="str">
            <v>MAGAZINE</v>
          </cell>
          <cell r="G127">
            <v>8276</v>
          </cell>
          <cell r="H127" t="str">
            <v>DIST. LEWIS</v>
          </cell>
          <cell r="I127">
            <v>6.36</v>
          </cell>
        </row>
        <row r="128">
          <cell r="A128" t="str">
            <v>19-00127</v>
          </cell>
          <cell r="B128" t="str">
            <v>DIST. LEWIS</v>
          </cell>
          <cell r="C128" t="str">
            <v>A</v>
          </cell>
          <cell r="D128" t="str">
            <v>SI</v>
          </cell>
          <cell r="E128" t="str">
            <v>FLYING</v>
          </cell>
          <cell r="F128" t="str">
            <v>MAGAZINE</v>
          </cell>
          <cell r="G128">
            <v>71258</v>
          </cell>
          <cell r="H128" t="str">
            <v>DIST. LEWIS</v>
          </cell>
          <cell r="I128">
            <v>5.56</v>
          </cell>
        </row>
        <row r="129">
          <cell r="A129" t="str">
            <v>19-00128</v>
          </cell>
          <cell r="B129" t="str">
            <v>DIST. LEWIS</v>
          </cell>
          <cell r="C129" t="str">
            <v>A</v>
          </cell>
          <cell r="D129" t="str">
            <v>SI</v>
          </cell>
          <cell r="E129" t="str">
            <v>FORBES - SEASONAL</v>
          </cell>
          <cell r="F129" t="str">
            <v>MAGAZINE</v>
          </cell>
          <cell r="G129">
            <v>1794</v>
          </cell>
          <cell r="H129" t="str">
            <v>DIST. LEWIS</v>
          </cell>
          <cell r="I129">
            <v>7.16</v>
          </cell>
        </row>
        <row r="130">
          <cell r="A130" t="str">
            <v>19-00129</v>
          </cell>
          <cell r="B130" t="str">
            <v>DIST. LEWIS</v>
          </cell>
          <cell r="C130" t="str">
            <v>D</v>
          </cell>
          <cell r="D130" t="str">
            <v>N/A</v>
          </cell>
          <cell r="E130" t="str">
            <v>G.Q. DISCONTINUED</v>
          </cell>
          <cell r="F130" t="str">
            <v>MAGAZINE</v>
          </cell>
          <cell r="H130" t="str">
            <v>G.Q.</v>
          </cell>
          <cell r="I130">
            <v>0</v>
          </cell>
        </row>
        <row r="131">
          <cell r="A131" t="str">
            <v>19-00130</v>
          </cell>
          <cell r="B131" t="str">
            <v>DIST. LEWIS</v>
          </cell>
          <cell r="C131" t="str">
            <v>A</v>
          </cell>
          <cell r="D131" t="str">
            <v>SI</v>
          </cell>
          <cell r="E131" t="str">
            <v>GLAMOUR</v>
          </cell>
          <cell r="F131" t="str">
            <v>MAGAZINE</v>
          </cell>
          <cell r="G131">
            <v>8437</v>
          </cell>
          <cell r="H131" t="str">
            <v>DIST. LEWIS</v>
          </cell>
          <cell r="I131">
            <v>5.2</v>
          </cell>
        </row>
        <row r="132">
          <cell r="A132" t="str">
            <v>19-00131</v>
          </cell>
          <cell r="B132" t="str">
            <v>DIST. LEWIS</v>
          </cell>
          <cell r="C132" t="str">
            <v>D</v>
          </cell>
          <cell r="D132" t="str">
            <v>N/A</v>
          </cell>
          <cell r="E132" t="str">
            <v>GOLF MAGAZINE DISCONTINUED</v>
          </cell>
          <cell r="F132" t="str">
            <v>MAGAZINE</v>
          </cell>
          <cell r="H132" t="str">
            <v>GOLF MAGAZINE</v>
          </cell>
          <cell r="I132">
            <v>0</v>
          </cell>
        </row>
        <row r="133">
          <cell r="A133" t="str">
            <v>19-00132</v>
          </cell>
          <cell r="B133" t="str">
            <v>DIST. LEWIS</v>
          </cell>
          <cell r="C133" t="str">
            <v>A</v>
          </cell>
          <cell r="D133" t="str">
            <v>SI</v>
          </cell>
          <cell r="E133" t="str">
            <v>GOOD HOUSEKEEPING</v>
          </cell>
          <cell r="F133" t="str">
            <v>MAGAZINE</v>
          </cell>
          <cell r="G133">
            <v>8345</v>
          </cell>
          <cell r="H133" t="str">
            <v>DIST. LEWIS</v>
          </cell>
          <cell r="I133">
            <v>3.96</v>
          </cell>
        </row>
        <row r="134">
          <cell r="A134" t="str">
            <v>19-00133</v>
          </cell>
          <cell r="B134" t="str">
            <v>DIST. LEWIS</v>
          </cell>
          <cell r="C134" t="str">
            <v>D</v>
          </cell>
          <cell r="D134" t="str">
            <v>N/A</v>
          </cell>
          <cell r="E134" t="str">
            <v>GUITAR WORLD DISCONTINUED</v>
          </cell>
          <cell r="F134" t="str">
            <v>MAGAZINE</v>
          </cell>
          <cell r="G134">
            <v>38789</v>
          </cell>
          <cell r="H134" t="str">
            <v>GUITAR WORLD</v>
          </cell>
          <cell r="I134">
            <v>0</v>
          </cell>
        </row>
        <row r="135">
          <cell r="A135" t="str">
            <v>19-00134</v>
          </cell>
          <cell r="B135" t="str">
            <v>DIST. LEWIS</v>
          </cell>
          <cell r="C135" t="str">
            <v>D</v>
          </cell>
          <cell r="D135" t="str">
            <v>N/A</v>
          </cell>
          <cell r="E135" t="str">
            <v>HARPER´S BAZAAR DISCONTINUED</v>
          </cell>
          <cell r="F135" t="str">
            <v>MAGAZINE</v>
          </cell>
          <cell r="H135" t="str">
            <v>HARPER´S BAZAAR</v>
          </cell>
          <cell r="I135">
            <v>3.96</v>
          </cell>
        </row>
        <row r="136">
          <cell r="A136" t="str">
            <v>19-00135</v>
          </cell>
          <cell r="B136" t="str">
            <v>DIST. LEWIS</v>
          </cell>
          <cell r="C136" t="str">
            <v>D</v>
          </cell>
          <cell r="D136" t="str">
            <v>N/A</v>
          </cell>
          <cell r="E136" t="str">
            <v>HELLO DISCONTINUED</v>
          </cell>
          <cell r="F136" t="str">
            <v>MAGAZINE</v>
          </cell>
          <cell r="H136" t="str">
            <v>HELLO</v>
          </cell>
          <cell r="I136">
            <v>0</v>
          </cell>
        </row>
        <row r="137">
          <cell r="A137" t="str">
            <v>19-00136</v>
          </cell>
          <cell r="B137" t="str">
            <v>DIST. LEWIS</v>
          </cell>
          <cell r="C137" t="str">
            <v>D</v>
          </cell>
          <cell r="D137" t="str">
            <v>N/A</v>
          </cell>
          <cell r="E137" t="str">
            <v>HOLA DISCONTINUED</v>
          </cell>
          <cell r="F137" t="str">
            <v>MAGAZINE</v>
          </cell>
          <cell r="H137" t="str">
            <v>HOLA</v>
          </cell>
          <cell r="I137">
            <v>6</v>
          </cell>
        </row>
        <row r="138">
          <cell r="A138" t="str">
            <v>19-00137</v>
          </cell>
          <cell r="B138" t="str">
            <v>DIST. LEWIS</v>
          </cell>
          <cell r="C138" t="str">
            <v>D</v>
          </cell>
          <cell r="D138" t="str">
            <v>N/A</v>
          </cell>
          <cell r="E138" t="str">
            <v>HOLA PRET A PORTER DISCONTINUED</v>
          </cell>
          <cell r="F138" t="str">
            <v>MAGAZINE</v>
          </cell>
          <cell r="H138" t="str">
            <v>HOLA PRET A PORTER</v>
          </cell>
          <cell r="I138">
            <v>0</v>
          </cell>
        </row>
        <row r="139">
          <cell r="A139" t="str">
            <v>19-00138</v>
          </cell>
          <cell r="B139" t="str">
            <v>DIST. LEWIS</v>
          </cell>
          <cell r="C139" t="str">
            <v>D</v>
          </cell>
          <cell r="D139" t="str">
            <v>N/A</v>
          </cell>
          <cell r="E139" t="str">
            <v>HOUSE BEAUTIFUL DISCONTINUED</v>
          </cell>
          <cell r="F139" t="str">
            <v>MAGAZINE</v>
          </cell>
          <cell r="G139">
            <v>8458</v>
          </cell>
          <cell r="H139" t="str">
            <v>HOUSE BEATIFUL</v>
          </cell>
          <cell r="I139">
            <v>0</v>
          </cell>
        </row>
        <row r="140">
          <cell r="A140" t="str">
            <v>19-00139</v>
          </cell>
          <cell r="B140" t="str">
            <v>DIST. LEWIS</v>
          </cell>
          <cell r="C140" t="str">
            <v>D</v>
          </cell>
          <cell r="D140" t="str">
            <v>N/A</v>
          </cell>
          <cell r="E140" t="str">
            <v>IN STYLE DISCONTINUED</v>
          </cell>
          <cell r="F140" t="str">
            <v>MAGAZINE</v>
          </cell>
          <cell r="H140" t="str">
            <v>IN STYLE</v>
          </cell>
          <cell r="I140">
            <v>3.6</v>
          </cell>
        </row>
        <row r="141">
          <cell r="A141" t="str">
            <v>19-00140</v>
          </cell>
          <cell r="B141" t="str">
            <v>DIST. LEWIS</v>
          </cell>
          <cell r="C141" t="str">
            <v>D</v>
          </cell>
          <cell r="D141" t="str">
            <v>N/A</v>
          </cell>
          <cell r="E141" t="str">
            <v>INTERIOR DESING DISCONTINUED</v>
          </cell>
          <cell r="F141" t="str">
            <v>MAGAZINE</v>
          </cell>
          <cell r="H141" t="str">
            <v>INTERIOR DESING</v>
          </cell>
          <cell r="I141">
            <v>0</v>
          </cell>
        </row>
        <row r="142">
          <cell r="A142" t="str">
            <v>19-00141</v>
          </cell>
          <cell r="B142" t="str">
            <v>N/A</v>
          </cell>
          <cell r="C142" t="str">
            <v>D</v>
          </cell>
          <cell r="D142" t="str">
            <v>N/A</v>
          </cell>
          <cell r="E142" t="str">
            <v>LUCKY DISCONTINUED</v>
          </cell>
          <cell r="F142" t="str">
            <v>MAGAZINE</v>
          </cell>
          <cell r="H142" t="str">
            <v>LUCKY</v>
          </cell>
          <cell r="I142">
            <v>0</v>
          </cell>
        </row>
        <row r="143">
          <cell r="A143" t="str">
            <v>19-00142</v>
          </cell>
          <cell r="B143" t="str">
            <v>DIST. LEWIS</v>
          </cell>
          <cell r="C143" t="str">
            <v>D</v>
          </cell>
          <cell r="D143" t="str">
            <v>N/A</v>
          </cell>
          <cell r="E143" t="str">
            <v>MARIE CLAIRE DISCONTINUED</v>
          </cell>
          <cell r="F143" t="str">
            <v>MAGAZINE</v>
          </cell>
          <cell r="H143" t="str">
            <v>MARIE CLAIRE</v>
          </cell>
          <cell r="I143">
            <v>4.4000000000000004</v>
          </cell>
        </row>
        <row r="144">
          <cell r="A144" t="str">
            <v>19-00143</v>
          </cell>
          <cell r="B144" t="str">
            <v>DIST. LEWIS</v>
          </cell>
          <cell r="C144" t="str">
            <v>A</v>
          </cell>
          <cell r="D144" t="str">
            <v>SI</v>
          </cell>
          <cell r="E144" t="str">
            <v>MAXIM</v>
          </cell>
          <cell r="F144" t="str">
            <v>MAGAZINE</v>
          </cell>
          <cell r="G144">
            <v>26558</v>
          </cell>
          <cell r="H144" t="str">
            <v>DIST. LEWIS</v>
          </cell>
          <cell r="I144">
            <v>27.8</v>
          </cell>
        </row>
        <row r="145">
          <cell r="A145" t="str">
            <v>19-00144</v>
          </cell>
          <cell r="B145" t="str">
            <v>DIST. LEWIS</v>
          </cell>
          <cell r="C145" t="str">
            <v>D</v>
          </cell>
          <cell r="D145" t="str">
            <v>N/A</v>
          </cell>
          <cell r="E145" t="str">
            <v>MEN"S JOURNAL DISCONTINUED</v>
          </cell>
          <cell r="F145" t="str">
            <v>MAGAZINE</v>
          </cell>
          <cell r="H145" t="str">
            <v>MEN"S JOURNAL</v>
          </cell>
          <cell r="I145">
            <v>0</v>
          </cell>
        </row>
        <row r="146">
          <cell r="A146" t="str">
            <v>19-00145</v>
          </cell>
          <cell r="B146" t="str">
            <v>DIST. LEWIS</v>
          </cell>
          <cell r="C146" t="str">
            <v>D</v>
          </cell>
          <cell r="D146" t="str">
            <v>N/A</v>
          </cell>
          <cell r="E146" t="str">
            <v>MENS FITNESS DISCONTINUED</v>
          </cell>
          <cell r="F146" t="str">
            <v>MAGAZINE</v>
          </cell>
          <cell r="G146">
            <v>51083</v>
          </cell>
          <cell r="H146" t="str">
            <v>MENS FITNESS</v>
          </cell>
          <cell r="I146">
            <v>0</v>
          </cell>
        </row>
        <row r="147">
          <cell r="A147" t="str">
            <v>19-00146</v>
          </cell>
          <cell r="B147" t="str">
            <v>DIST. LEWIS</v>
          </cell>
          <cell r="C147" t="str">
            <v>A</v>
          </cell>
          <cell r="D147" t="str">
            <v>SI</v>
          </cell>
          <cell r="E147" t="str">
            <v>MEN'S HEALTH SPECIAL</v>
          </cell>
          <cell r="F147" t="str">
            <v>MAGAZINE</v>
          </cell>
          <cell r="G147">
            <v>39990</v>
          </cell>
          <cell r="H147" t="str">
            <v>DIST. LEWIS</v>
          </cell>
          <cell r="I147">
            <v>9.6</v>
          </cell>
        </row>
        <row r="148">
          <cell r="A148" t="str">
            <v>19-00147</v>
          </cell>
          <cell r="B148" t="str">
            <v>DIST. LEWIS</v>
          </cell>
          <cell r="C148" t="str">
            <v>A</v>
          </cell>
          <cell r="D148" t="str">
            <v>SI</v>
          </cell>
          <cell r="E148" t="str">
            <v>MUSCLE &amp; FITNESS</v>
          </cell>
          <cell r="F148" t="str">
            <v>MAGAZINE</v>
          </cell>
          <cell r="G148">
            <v>64735</v>
          </cell>
          <cell r="H148" t="str">
            <v>DIST. LEWIS</v>
          </cell>
          <cell r="I148">
            <v>6.36</v>
          </cell>
        </row>
        <row r="149">
          <cell r="A149" t="str">
            <v>19-00148</v>
          </cell>
          <cell r="B149" t="str">
            <v>DIST. LEWIS</v>
          </cell>
          <cell r="C149" t="str">
            <v>A</v>
          </cell>
          <cell r="D149" t="str">
            <v>SI</v>
          </cell>
          <cell r="E149" t="str">
            <v>NATIONAL GEOGRAPHIC</v>
          </cell>
          <cell r="F149" t="str">
            <v>MAGAZINE</v>
          </cell>
          <cell r="G149">
            <v>36824</v>
          </cell>
          <cell r="H149" t="str">
            <v>DIST. LEWIS</v>
          </cell>
          <cell r="I149">
            <v>4.8</v>
          </cell>
        </row>
        <row r="150">
          <cell r="A150" t="str">
            <v>19-00149</v>
          </cell>
          <cell r="B150" t="str">
            <v>DIST. LEWIS</v>
          </cell>
          <cell r="C150" t="str">
            <v>A</v>
          </cell>
          <cell r="D150" t="str">
            <v>SI</v>
          </cell>
          <cell r="E150" t="str">
            <v>NATIONAL GEOGRAPHIC TRAVELER</v>
          </cell>
          <cell r="F150" t="str">
            <v>MAGAZINE</v>
          </cell>
          <cell r="G150">
            <v>36822</v>
          </cell>
          <cell r="H150" t="str">
            <v>DIST. LEWIS</v>
          </cell>
          <cell r="I150">
            <v>5.56</v>
          </cell>
        </row>
        <row r="151">
          <cell r="A151" t="str">
            <v>19-00150</v>
          </cell>
          <cell r="B151" t="str">
            <v>DIST. LEWIS</v>
          </cell>
          <cell r="C151" t="str">
            <v>D</v>
          </cell>
          <cell r="D151" t="str">
            <v>N/A</v>
          </cell>
          <cell r="E151" t="str">
            <v>NEWSWEEK DISCONTINUED</v>
          </cell>
          <cell r="F151" t="str">
            <v>MAGAZINE</v>
          </cell>
          <cell r="H151" t="str">
            <v>NEWSWEEK</v>
          </cell>
          <cell r="I151">
            <v>4.76</v>
          </cell>
        </row>
        <row r="152">
          <cell r="A152" t="str">
            <v>19-00151</v>
          </cell>
          <cell r="B152" t="str">
            <v>DIST. LEWIS</v>
          </cell>
          <cell r="C152" t="str">
            <v>A</v>
          </cell>
          <cell r="D152" t="str">
            <v>SI</v>
          </cell>
          <cell r="E152" t="str">
            <v>O THE OPRAH MAGAZINE</v>
          </cell>
          <cell r="F152" t="str">
            <v>MAGAZINE</v>
          </cell>
          <cell r="G152">
            <v>8616</v>
          </cell>
          <cell r="H152" t="str">
            <v>DIST. LEWIS</v>
          </cell>
          <cell r="I152">
            <v>5.2</v>
          </cell>
        </row>
        <row r="153">
          <cell r="A153" t="str">
            <v>19-00152</v>
          </cell>
          <cell r="B153" t="str">
            <v>DIST. LEWIS</v>
          </cell>
          <cell r="C153" t="str">
            <v>D</v>
          </cell>
          <cell r="D153" t="str">
            <v>N/A</v>
          </cell>
          <cell r="E153" t="str">
            <v>PC WORLD DISCONTINUED</v>
          </cell>
          <cell r="F153" t="str">
            <v>MAGAZINE</v>
          </cell>
          <cell r="H153" t="str">
            <v>PC WORLD</v>
          </cell>
          <cell r="I153">
            <v>0</v>
          </cell>
        </row>
        <row r="154">
          <cell r="A154" t="str">
            <v>19-00153</v>
          </cell>
          <cell r="B154" t="str">
            <v>DIST. LEWIS</v>
          </cell>
          <cell r="C154" t="str">
            <v>D</v>
          </cell>
          <cell r="D154" t="str">
            <v>N/A</v>
          </cell>
          <cell r="E154" t="str">
            <v>PEOPLE</v>
          </cell>
          <cell r="F154" t="str">
            <v>MAGAZINE</v>
          </cell>
          <cell r="H154" t="str">
            <v>PEOPLE</v>
          </cell>
          <cell r="I154">
            <v>4.3600000000000003</v>
          </cell>
        </row>
        <row r="155">
          <cell r="A155" t="str">
            <v>19-00154</v>
          </cell>
          <cell r="B155" t="str">
            <v>DIST. LEWIS</v>
          </cell>
          <cell r="C155" t="str">
            <v>D</v>
          </cell>
          <cell r="D155" t="str">
            <v>N/A</v>
          </cell>
          <cell r="E155" t="str">
            <v>PLAY BOY DISCONTINUED</v>
          </cell>
          <cell r="F155" t="str">
            <v>MAGAZINE</v>
          </cell>
          <cell r="H155" t="str">
            <v>PLAY BOY</v>
          </cell>
          <cell r="I155">
            <v>0</v>
          </cell>
        </row>
        <row r="156">
          <cell r="A156" t="str">
            <v>19-00155</v>
          </cell>
          <cell r="B156" t="str">
            <v>DIST. LEWIS</v>
          </cell>
          <cell r="C156" t="str">
            <v>D</v>
          </cell>
          <cell r="D156" t="str">
            <v>N/A</v>
          </cell>
          <cell r="E156" t="str">
            <v>POP STAR DISCONTINUED</v>
          </cell>
          <cell r="F156" t="str">
            <v>MAGAZINE</v>
          </cell>
          <cell r="H156" t="str">
            <v>POP STAR</v>
          </cell>
          <cell r="I156">
            <v>0</v>
          </cell>
        </row>
        <row r="157">
          <cell r="A157" t="str">
            <v>19-00156</v>
          </cell>
          <cell r="B157" t="str">
            <v>DIST. LEWIS</v>
          </cell>
          <cell r="C157" t="str">
            <v>A</v>
          </cell>
          <cell r="D157" t="str">
            <v>SI</v>
          </cell>
          <cell r="E157" t="str">
            <v>POPULAR MECHANICS</v>
          </cell>
          <cell r="F157" t="str">
            <v>MAGAZINE</v>
          </cell>
          <cell r="G157">
            <v>8638</v>
          </cell>
          <cell r="H157" t="str">
            <v>DIST. LEWIS</v>
          </cell>
          <cell r="I157">
            <v>4.4000000000000004</v>
          </cell>
        </row>
        <row r="158">
          <cell r="A158" t="str">
            <v>19-00157</v>
          </cell>
          <cell r="B158" t="str">
            <v>DIST. LEWIS</v>
          </cell>
          <cell r="C158" t="str">
            <v>A</v>
          </cell>
          <cell r="D158" t="str">
            <v>SI</v>
          </cell>
          <cell r="E158" t="str">
            <v>POPULAR SCIENCE</v>
          </cell>
          <cell r="F158" t="str">
            <v>MAGAZINE</v>
          </cell>
          <cell r="G158">
            <v>71263</v>
          </cell>
          <cell r="H158" t="str">
            <v>DIST. LEWIS</v>
          </cell>
          <cell r="I158">
            <v>7.16</v>
          </cell>
        </row>
        <row r="159">
          <cell r="A159" t="str">
            <v>19-00158</v>
          </cell>
          <cell r="B159" t="str">
            <v>DIST. LEWIS</v>
          </cell>
          <cell r="C159" t="str">
            <v>D</v>
          </cell>
          <cell r="D159" t="str">
            <v>N/A</v>
          </cell>
          <cell r="E159" t="str">
            <v>QUIZ AUTODEFINIDOS DISCONTINUED</v>
          </cell>
          <cell r="F159" t="str">
            <v>MAGAZINE</v>
          </cell>
          <cell r="H159" t="str">
            <v>QUIZ AUTODEFINIDOS</v>
          </cell>
          <cell r="I159">
            <v>0</v>
          </cell>
        </row>
        <row r="160">
          <cell r="A160" t="str">
            <v>19-00159</v>
          </cell>
          <cell r="B160" t="str">
            <v>DIST. LEWIS</v>
          </cell>
          <cell r="C160" t="str">
            <v>D</v>
          </cell>
          <cell r="D160" t="str">
            <v>N/A</v>
          </cell>
          <cell r="E160" t="str">
            <v>QUIZ SUDOKU</v>
          </cell>
          <cell r="F160" t="str">
            <v>MAGAZINE</v>
          </cell>
          <cell r="H160" t="str">
            <v>QUIZ SUDOKU</v>
          </cell>
          <cell r="I160">
            <v>0</v>
          </cell>
        </row>
        <row r="161">
          <cell r="A161" t="str">
            <v>19-00160</v>
          </cell>
          <cell r="B161" t="str">
            <v>DIST. LEWIS</v>
          </cell>
          <cell r="C161" t="str">
            <v>A</v>
          </cell>
          <cell r="D161" t="str">
            <v>SI</v>
          </cell>
          <cell r="E161" t="str">
            <v>READER'S DIGEST</v>
          </cell>
          <cell r="F161" t="str">
            <v>MAGAZINE</v>
          </cell>
          <cell r="G161">
            <v>8730</v>
          </cell>
          <cell r="H161" t="str">
            <v>DIST. LEWIS</v>
          </cell>
          <cell r="I161">
            <v>3.6</v>
          </cell>
        </row>
        <row r="162">
          <cell r="A162" t="str">
            <v>19-00161</v>
          </cell>
          <cell r="B162" t="str">
            <v>DIST. LEWIS</v>
          </cell>
          <cell r="C162" t="str">
            <v>D</v>
          </cell>
          <cell r="D162" t="str">
            <v>N/A</v>
          </cell>
          <cell r="E162" t="str">
            <v>READER"S DIGEST LARGUE DISCONTINUED</v>
          </cell>
          <cell r="F162" t="str">
            <v>MAGAZINE</v>
          </cell>
          <cell r="H162" t="str">
            <v>READER"S DIGEST LARG</v>
          </cell>
          <cell r="I162">
            <v>0</v>
          </cell>
        </row>
        <row r="163">
          <cell r="A163" t="str">
            <v>19-00162</v>
          </cell>
          <cell r="B163" t="str">
            <v>DIST. LEWIS</v>
          </cell>
          <cell r="C163" t="str">
            <v>A</v>
          </cell>
          <cell r="D163" t="str">
            <v>SI</v>
          </cell>
          <cell r="E163" t="str">
            <v>RED BOOK</v>
          </cell>
          <cell r="F163" t="str">
            <v>MAGAZINE</v>
          </cell>
          <cell r="G163">
            <v>8660</v>
          </cell>
          <cell r="H163" t="str">
            <v>DIST. LEWIS</v>
          </cell>
          <cell r="I163">
            <v>4.4000000000000004</v>
          </cell>
        </row>
        <row r="164">
          <cell r="A164" t="str">
            <v>19-00163</v>
          </cell>
          <cell r="B164" t="str">
            <v>DIST. LEWIS</v>
          </cell>
          <cell r="C164" t="str">
            <v>A</v>
          </cell>
          <cell r="D164" t="str">
            <v>SI</v>
          </cell>
          <cell r="E164" t="str">
            <v>ROAD &amp; TRACK</v>
          </cell>
          <cell r="F164" t="str">
            <v>MAGAZINE</v>
          </cell>
          <cell r="G164">
            <v>8035</v>
          </cell>
          <cell r="H164" t="str">
            <v>DIST. LEWIS</v>
          </cell>
          <cell r="I164">
            <v>5.56</v>
          </cell>
        </row>
        <row r="165">
          <cell r="A165" t="str">
            <v>19-00164</v>
          </cell>
          <cell r="B165" t="str">
            <v>DIST. LEWIS</v>
          </cell>
          <cell r="C165" t="str">
            <v>D</v>
          </cell>
          <cell r="D165" t="str">
            <v>N/A</v>
          </cell>
          <cell r="E165" t="str">
            <v>ROLLING STONE DISCONTINUED</v>
          </cell>
          <cell r="F165" t="str">
            <v>MAGAZINE</v>
          </cell>
          <cell r="G165">
            <v>34790</v>
          </cell>
          <cell r="H165" t="str">
            <v>ROLLING STONE</v>
          </cell>
          <cell r="I165">
            <v>4.4000000000000004</v>
          </cell>
        </row>
        <row r="166">
          <cell r="A166" t="str">
            <v>19-00165</v>
          </cell>
          <cell r="B166" t="str">
            <v>DIST. LEWIS</v>
          </cell>
          <cell r="C166" t="str">
            <v>D</v>
          </cell>
          <cell r="D166" t="str">
            <v>N/A</v>
          </cell>
          <cell r="E166" t="str">
            <v>SEARCH-A-WORD PUZLLE DISCONTINUED</v>
          </cell>
          <cell r="F166" t="str">
            <v>MAGAZINE</v>
          </cell>
          <cell r="H166" t="str">
            <v>SEARCH-A-WORD PUZLLE</v>
          </cell>
          <cell r="I166">
            <v>21.95</v>
          </cell>
        </row>
        <row r="167">
          <cell r="A167" t="str">
            <v>19-00166</v>
          </cell>
          <cell r="B167" t="str">
            <v>DIST. LEWIS</v>
          </cell>
          <cell r="C167" t="str">
            <v>D</v>
          </cell>
          <cell r="D167" t="str">
            <v>N/A</v>
          </cell>
          <cell r="E167" t="str">
            <v>SELF DISCONTINUED</v>
          </cell>
          <cell r="F167" t="str">
            <v>MAGAZINE</v>
          </cell>
          <cell r="H167" t="str">
            <v>SELF</v>
          </cell>
          <cell r="I167">
            <v>0</v>
          </cell>
        </row>
        <row r="168">
          <cell r="A168" t="str">
            <v>19-00167</v>
          </cell>
          <cell r="B168" t="str">
            <v>DIST. LEWIS</v>
          </cell>
          <cell r="C168" t="str">
            <v>D</v>
          </cell>
          <cell r="D168" t="str">
            <v>N/A</v>
          </cell>
          <cell r="E168" t="str">
            <v>SEVENTEEN</v>
          </cell>
          <cell r="F168" t="str">
            <v>MAGAZINE</v>
          </cell>
          <cell r="G168">
            <v>8176</v>
          </cell>
          <cell r="H168" t="str">
            <v>SEVENTEEN</v>
          </cell>
          <cell r="I168">
            <v>3.6</v>
          </cell>
        </row>
        <row r="169">
          <cell r="A169" t="str">
            <v>19-00168</v>
          </cell>
          <cell r="B169" t="str">
            <v>DIST. LEWIS</v>
          </cell>
          <cell r="C169" t="str">
            <v>A</v>
          </cell>
          <cell r="D169" t="str">
            <v>SI</v>
          </cell>
          <cell r="E169" t="str">
            <v>SHAPE</v>
          </cell>
          <cell r="F169" t="str">
            <v>MAGAZINE</v>
          </cell>
          <cell r="G169">
            <v>51078</v>
          </cell>
          <cell r="H169" t="str">
            <v>DIST. LEWIS</v>
          </cell>
          <cell r="I169">
            <v>4.4000000000000004</v>
          </cell>
        </row>
        <row r="170">
          <cell r="A170" t="str">
            <v>19-00169</v>
          </cell>
          <cell r="B170" t="str">
            <v>DIST. LEWIS</v>
          </cell>
          <cell r="C170" t="str">
            <v>D</v>
          </cell>
          <cell r="D170" t="str">
            <v>N/A</v>
          </cell>
          <cell r="E170" t="str">
            <v>SIMPSONS COMICS DISCONTINUED</v>
          </cell>
          <cell r="F170" t="str">
            <v>MAGAZINE</v>
          </cell>
          <cell r="H170" t="str">
            <v>SIMPSONS COMICS</v>
          </cell>
          <cell r="I170">
            <v>0</v>
          </cell>
        </row>
        <row r="171">
          <cell r="A171" t="str">
            <v>19-00170</v>
          </cell>
          <cell r="B171" t="str">
            <v>DIST. LEWIS</v>
          </cell>
          <cell r="C171" t="str">
            <v>D</v>
          </cell>
          <cell r="D171" t="str">
            <v>N/A</v>
          </cell>
          <cell r="E171" t="str">
            <v>SIMPSONS TREEHOUS DISCONTINUED</v>
          </cell>
          <cell r="F171" t="str">
            <v>MAGAZINE</v>
          </cell>
          <cell r="H171" t="str">
            <v>SIMPSONS TREEHOUS</v>
          </cell>
          <cell r="I171">
            <v>0</v>
          </cell>
        </row>
        <row r="172">
          <cell r="A172" t="str">
            <v>19-00171</v>
          </cell>
          <cell r="B172" t="str">
            <v>DIST. LEWIS</v>
          </cell>
          <cell r="C172" t="str">
            <v>D</v>
          </cell>
          <cell r="D172" t="str">
            <v>N/A</v>
          </cell>
          <cell r="E172" t="str">
            <v>SLAM DISCONTINUED</v>
          </cell>
          <cell r="F172" t="str">
            <v>MAGAZINE</v>
          </cell>
          <cell r="G172">
            <v>34914</v>
          </cell>
          <cell r="H172" t="str">
            <v>SLAM</v>
          </cell>
          <cell r="I172">
            <v>0</v>
          </cell>
        </row>
        <row r="173">
          <cell r="A173" t="str">
            <v>19-00172</v>
          </cell>
          <cell r="B173" t="str">
            <v>DIST. LEWIS</v>
          </cell>
          <cell r="C173" t="str">
            <v>D</v>
          </cell>
          <cell r="D173" t="str">
            <v>N/A</v>
          </cell>
          <cell r="E173" t="str">
            <v>SLAM JORDAN DISCONTINUED</v>
          </cell>
          <cell r="F173" t="str">
            <v>MAGAZINE</v>
          </cell>
          <cell r="H173" t="str">
            <v>SLAM JORDAN</v>
          </cell>
          <cell r="I173">
            <v>0</v>
          </cell>
        </row>
        <row r="174">
          <cell r="A174" t="str">
            <v>19-00173</v>
          </cell>
          <cell r="B174" t="str">
            <v>DIST. LEWIS</v>
          </cell>
          <cell r="C174" t="str">
            <v>D</v>
          </cell>
          <cell r="D174" t="str">
            <v>N/A</v>
          </cell>
          <cell r="E174" t="str">
            <v>SUPER SEARCH AWORD DISCONTINUED</v>
          </cell>
          <cell r="F174" t="str">
            <v>MAGAZINE</v>
          </cell>
          <cell r="H174" t="str">
            <v>SUPER SEARCH AWORD</v>
          </cell>
          <cell r="I174">
            <v>0</v>
          </cell>
        </row>
        <row r="175">
          <cell r="A175" t="str">
            <v>19-00174</v>
          </cell>
          <cell r="B175" t="str">
            <v>DIST. LEWIS</v>
          </cell>
          <cell r="C175" t="str">
            <v>D</v>
          </cell>
          <cell r="D175" t="str">
            <v>N/A</v>
          </cell>
          <cell r="E175" t="str">
            <v>SUPER WORD FIND DISCONTINUED</v>
          </cell>
          <cell r="F175" t="str">
            <v>MAGAZINE</v>
          </cell>
          <cell r="H175" t="str">
            <v>SUPER WORD FIND</v>
          </cell>
          <cell r="I175">
            <v>0</v>
          </cell>
        </row>
        <row r="176">
          <cell r="A176" t="str">
            <v>19-00175</v>
          </cell>
          <cell r="B176" t="str">
            <v>DIST. LEWIS</v>
          </cell>
          <cell r="C176" t="str">
            <v>A</v>
          </cell>
          <cell r="D176" t="str">
            <v>SI</v>
          </cell>
          <cell r="E176" t="str">
            <v>SURFING</v>
          </cell>
          <cell r="F176" t="str">
            <v>MAGAZINE</v>
          </cell>
          <cell r="G176">
            <v>30280</v>
          </cell>
          <cell r="H176" t="str">
            <v>DIST. LEWIS</v>
          </cell>
          <cell r="I176">
            <v>6.36</v>
          </cell>
        </row>
        <row r="177">
          <cell r="A177" t="str">
            <v>19-00176</v>
          </cell>
          <cell r="B177" t="str">
            <v>DIST. LEWIS</v>
          </cell>
          <cell r="C177" t="str">
            <v>D</v>
          </cell>
          <cell r="D177" t="str">
            <v>N/A</v>
          </cell>
          <cell r="E177" t="str">
            <v>TATTOO ENERGY DISCONTINUED</v>
          </cell>
          <cell r="F177" t="str">
            <v>MAGAZINE</v>
          </cell>
          <cell r="H177" t="str">
            <v>TATTOO ENERGY</v>
          </cell>
          <cell r="I177">
            <v>0</v>
          </cell>
        </row>
        <row r="178">
          <cell r="A178" t="str">
            <v>19-00177</v>
          </cell>
          <cell r="B178" t="str">
            <v>DIST. LEWIS</v>
          </cell>
          <cell r="C178" t="str">
            <v>D</v>
          </cell>
          <cell r="D178" t="str">
            <v>N/A</v>
          </cell>
          <cell r="E178" t="str">
            <v>TEEN VOGUE DISCONTINUED</v>
          </cell>
          <cell r="F178" t="str">
            <v>MAGAZINE</v>
          </cell>
          <cell r="G178">
            <v>8455</v>
          </cell>
          <cell r="H178" t="str">
            <v>TEEN VOGUE</v>
          </cell>
          <cell r="I178">
            <v>3.6</v>
          </cell>
        </row>
        <row r="179">
          <cell r="A179" t="str">
            <v>19-00178</v>
          </cell>
          <cell r="B179" t="str">
            <v>DIST. LEWIS</v>
          </cell>
          <cell r="C179" t="str">
            <v>D</v>
          </cell>
          <cell r="D179" t="str">
            <v>N/A</v>
          </cell>
          <cell r="E179" t="str">
            <v>TENNIS DISCONTINUED</v>
          </cell>
          <cell r="F179" t="str">
            <v>MAGAZINE</v>
          </cell>
          <cell r="H179" t="str">
            <v>TENNIS</v>
          </cell>
          <cell r="I179">
            <v>0</v>
          </cell>
        </row>
        <row r="180">
          <cell r="A180" t="str">
            <v>19-00179</v>
          </cell>
          <cell r="B180" t="str">
            <v>N/A</v>
          </cell>
          <cell r="C180" t="str">
            <v>D</v>
          </cell>
          <cell r="D180" t="str">
            <v>N/A</v>
          </cell>
          <cell r="E180" t="str">
            <v>TIGER BEAT DISCONTINUED</v>
          </cell>
          <cell r="F180" t="str">
            <v>MAGAZINE</v>
          </cell>
          <cell r="H180" t="str">
            <v>TIGER BEAT</v>
          </cell>
          <cell r="I180">
            <v>4.4000000000000004</v>
          </cell>
        </row>
        <row r="181">
          <cell r="A181" t="str">
            <v>19-00180</v>
          </cell>
          <cell r="B181" t="str">
            <v>DIST. LEWIS</v>
          </cell>
          <cell r="C181" t="str">
            <v>A</v>
          </cell>
          <cell r="D181" t="str">
            <v>SI</v>
          </cell>
          <cell r="E181" t="str">
            <v>TRAVEL &amp; LEISURE</v>
          </cell>
          <cell r="F181" t="str">
            <v>MAGAZINE</v>
          </cell>
          <cell r="G181">
            <v>36076</v>
          </cell>
          <cell r="H181" t="str">
            <v>DIST. LEWIS</v>
          </cell>
          <cell r="I181">
            <v>5.56</v>
          </cell>
        </row>
        <row r="182">
          <cell r="A182" t="str">
            <v>19-00181</v>
          </cell>
          <cell r="B182" t="str">
            <v>DIST. LEWIS</v>
          </cell>
          <cell r="C182" t="str">
            <v>D</v>
          </cell>
          <cell r="D182" t="str">
            <v>N/A</v>
          </cell>
          <cell r="E182" t="str">
            <v>TWON &amp; COUNTRY DISCONTINUED</v>
          </cell>
          <cell r="F182" t="str">
            <v>MAGAZINE</v>
          </cell>
          <cell r="H182" t="str">
            <v>TWON &amp; COUNTRY</v>
          </cell>
          <cell r="I182">
            <v>0</v>
          </cell>
        </row>
        <row r="183">
          <cell r="A183" t="str">
            <v>19-00182</v>
          </cell>
          <cell r="B183" t="str">
            <v>DIST. LEWIS</v>
          </cell>
          <cell r="C183" t="str">
            <v>A</v>
          </cell>
          <cell r="D183" t="str">
            <v>SI</v>
          </cell>
          <cell r="E183" t="str">
            <v>VANITY FAIR</v>
          </cell>
          <cell r="F183" t="str">
            <v>MAGAZINE</v>
          </cell>
          <cell r="G183">
            <v>8443</v>
          </cell>
          <cell r="H183" t="str">
            <v>DIST. LEWIS</v>
          </cell>
          <cell r="I183">
            <v>6.36</v>
          </cell>
        </row>
        <row r="184">
          <cell r="A184" t="str">
            <v>19-00183</v>
          </cell>
          <cell r="B184" t="str">
            <v>DIST. LEWIS</v>
          </cell>
          <cell r="C184" t="str">
            <v>A</v>
          </cell>
          <cell r="D184" t="str">
            <v>SI</v>
          </cell>
          <cell r="E184" t="str">
            <v>VOGUE</v>
          </cell>
          <cell r="F184" t="str">
            <v>MAGAZINE</v>
          </cell>
          <cell r="G184">
            <v>8449</v>
          </cell>
          <cell r="H184" t="str">
            <v>DIST. LEWIS</v>
          </cell>
          <cell r="I184">
            <v>5.56</v>
          </cell>
        </row>
        <row r="185">
          <cell r="A185" t="str">
            <v>19-00184</v>
          </cell>
          <cell r="B185" t="str">
            <v>DIST. LEWIS</v>
          </cell>
          <cell r="C185" t="str">
            <v>D</v>
          </cell>
          <cell r="D185" t="str">
            <v>N/A</v>
          </cell>
          <cell r="E185" t="str">
            <v>W MAGAZINE DISCONTINUED</v>
          </cell>
          <cell r="F185" t="str">
            <v>MAGAZINE</v>
          </cell>
          <cell r="H185" t="str">
            <v>W MAGAZINE</v>
          </cell>
          <cell r="I185">
            <v>0</v>
          </cell>
        </row>
        <row r="186">
          <cell r="A186" t="str">
            <v>19-00185</v>
          </cell>
          <cell r="B186" t="str">
            <v>DIST. LEWIS</v>
          </cell>
          <cell r="C186" t="str">
            <v>D</v>
          </cell>
          <cell r="D186" t="str">
            <v>N/A</v>
          </cell>
          <cell r="E186" t="str">
            <v>WINE SPECTATOR DISCONTINUED</v>
          </cell>
          <cell r="F186" t="str">
            <v>MAGAZINE</v>
          </cell>
          <cell r="H186" t="str">
            <v>WINE SPECTATOR</v>
          </cell>
          <cell r="I186">
            <v>0</v>
          </cell>
        </row>
        <row r="187">
          <cell r="A187" t="str">
            <v>19-00186</v>
          </cell>
          <cell r="B187" t="str">
            <v>DIST. LEWIS</v>
          </cell>
          <cell r="C187" t="str">
            <v>D</v>
          </cell>
          <cell r="D187" t="str">
            <v>N/A</v>
          </cell>
          <cell r="E187" t="str">
            <v>WOMEN"S HEALTH DISCONTINUED</v>
          </cell>
          <cell r="F187" t="str">
            <v>MAGAZINE</v>
          </cell>
          <cell r="H187" t="str">
            <v>WOMEN"S HEALTH</v>
          </cell>
          <cell r="I187">
            <v>0</v>
          </cell>
        </row>
        <row r="188">
          <cell r="A188" t="str">
            <v>19-00187</v>
          </cell>
          <cell r="B188" t="str">
            <v>N/A</v>
          </cell>
          <cell r="C188" t="str">
            <v>D</v>
          </cell>
          <cell r="D188" t="str">
            <v>N/A</v>
          </cell>
          <cell r="E188" t="str">
            <v>X MEN LEGACY DISCONTINUED</v>
          </cell>
          <cell r="F188" t="str">
            <v>MAGAZINE</v>
          </cell>
          <cell r="H188" t="str">
            <v>X MEN LEGACY</v>
          </cell>
          <cell r="I188">
            <v>0</v>
          </cell>
        </row>
        <row r="189">
          <cell r="A189" t="str">
            <v>19-00188</v>
          </cell>
          <cell r="B189" t="str">
            <v>DIST. LEWIS</v>
          </cell>
          <cell r="C189" t="str">
            <v>D</v>
          </cell>
          <cell r="D189" t="str">
            <v>N/A</v>
          </cell>
          <cell r="E189" t="str">
            <v>G. Q. STYLE DISCONTINUED</v>
          </cell>
          <cell r="F189" t="str">
            <v>MAGAZINE</v>
          </cell>
          <cell r="H189" t="str">
            <v>G. Q. STYLE</v>
          </cell>
          <cell r="I189">
            <v>0</v>
          </cell>
        </row>
        <row r="190">
          <cell r="A190" t="str">
            <v>19-00189</v>
          </cell>
          <cell r="B190" t="str">
            <v>DIST. LEWIS</v>
          </cell>
          <cell r="C190" t="str">
            <v>D</v>
          </cell>
          <cell r="D190" t="str">
            <v>N/A</v>
          </cell>
          <cell r="E190" t="str">
            <v>GLAMOUR ESPANA</v>
          </cell>
          <cell r="F190" t="str">
            <v>MAGAZINE</v>
          </cell>
          <cell r="H190" t="str">
            <v>GLAMOUR ESPAÑA</v>
          </cell>
          <cell r="I190">
            <v>0</v>
          </cell>
        </row>
        <row r="191">
          <cell r="A191" t="str">
            <v>19-00190</v>
          </cell>
          <cell r="B191" t="str">
            <v>DIST. LEWIS</v>
          </cell>
          <cell r="C191" t="str">
            <v>A</v>
          </cell>
          <cell r="D191" t="str">
            <v>SI</v>
          </cell>
          <cell r="E191" t="str">
            <v>VOGUE EN ESPANOL</v>
          </cell>
          <cell r="F191" t="str">
            <v>MAGAZINE</v>
          </cell>
          <cell r="G191">
            <v>20932</v>
          </cell>
          <cell r="H191" t="str">
            <v>DIST. LEWIS</v>
          </cell>
          <cell r="I191">
            <v>2.8</v>
          </cell>
        </row>
        <row r="192">
          <cell r="A192" t="str">
            <v>19-00191</v>
          </cell>
          <cell r="B192" t="str">
            <v>DIST. LEWIS</v>
          </cell>
          <cell r="C192" t="str">
            <v>D</v>
          </cell>
          <cell r="D192" t="str">
            <v>N/A</v>
          </cell>
          <cell r="E192" t="str">
            <v>ARCHITECTURAR DIGEST ESANA DISCONTINUED</v>
          </cell>
          <cell r="F192" t="str">
            <v>MAGAZINE</v>
          </cell>
          <cell r="H192" t="str">
            <v>ARCHITECTURAR DIGEST</v>
          </cell>
          <cell r="I192">
            <v>0</v>
          </cell>
        </row>
        <row r="193">
          <cell r="A193" t="str">
            <v>19-00192</v>
          </cell>
          <cell r="B193" t="str">
            <v>DIST. LEWIS</v>
          </cell>
          <cell r="C193" t="str">
            <v>D</v>
          </cell>
          <cell r="D193" t="str">
            <v>N/A</v>
          </cell>
          <cell r="E193" t="str">
            <v>CASA VIVA DISCONTINUED</v>
          </cell>
          <cell r="F193" t="str">
            <v>MAGAZINE</v>
          </cell>
          <cell r="H193" t="str">
            <v>CASA VIVA</v>
          </cell>
          <cell r="I193">
            <v>0</v>
          </cell>
        </row>
        <row r="194">
          <cell r="A194" t="str">
            <v>19-00193</v>
          </cell>
          <cell r="B194" t="str">
            <v>DIST. LEWIS</v>
          </cell>
          <cell r="C194" t="str">
            <v>D</v>
          </cell>
          <cell r="D194" t="str">
            <v>N/A</v>
          </cell>
          <cell r="E194" t="str">
            <v>MI CASA DISCONTINUED</v>
          </cell>
          <cell r="F194" t="str">
            <v>MAGAZINE</v>
          </cell>
          <cell r="H194" t="str">
            <v>MI CASA</v>
          </cell>
          <cell r="I194">
            <v>0</v>
          </cell>
        </row>
        <row r="195">
          <cell r="A195" t="str">
            <v>19-00194</v>
          </cell>
          <cell r="B195" t="str">
            <v>DIST. LEWIS</v>
          </cell>
          <cell r="C195" t="str">
            <v>D</v>
          </cell>
          <cell r="D195" t="str">
            <v>N/A</v>
          </cell>
          <cell r="E195" t="str">
            <v>VOGUE COLECCION DISCONTINUED</v>
          </cell>
          <cell r="F195" t="str">
            <v>MAGAZINE</v>
          </cell>
          <cell r="H195" t="str">
            <v>VOGUE COLECCIÓN</v>
          </cell>
          <cell r="I195">
            <v>0</v>
          </cell>
        </row>
        <row r="196">
          <cell r="A196" t="str">
            <v>19-00195</v>
          </cell>
          <cell r="B196" t="str">
            <v>DIST. LEWIS</v>
          </cell>
          <cell r="C196" t="str">
            <v>D</v>
          </cell>
          <cell r="D196" t="str">
            <v>N/A</v>
          </cell>
          <cell r="E196" t="str">
            <v>G.Q. ESPANA DISCONTINUED</v>
          </cell>
          <cell r="F196" t="str">
            <v>MAGAZINE</v>
          </cell>
          <cell r="H196" t="str">
            <v>G.Q. ESPAÑA</v>
          </cell>
          <cell r="I196">
            <v>0</v>
          </cell>
        </row>
        <row r="197">
          <cell r="A197" t="str">
            <v>19-00196</v>
          </cell>
          <cell r="B197" t="str">
            <v>DIST. LEWIS</v>
          </cell>
          <cell r="C197" t="str">
            <v>D</v>
          </cell>
          <cell r="D197" t="str">
            <v>N/A</v>
          </cell>
          <cell r="E197" t="str">
            <v>ELLE ESPANA DISCONTINUED</v>
          </cell>
          <cell r="F197" t="str">
            <v>MAGAZINE</v>
          </cell>
          <cell r="H197" t="str">
            <v>ELLE ESPAÑA</v>
          </cell>
          <cell r="I197">
            <v>0</v>
          </cell>
        </row>
        <row r="198">
          <cell r="A198" t="str">
            <v>19-00197</v>
          </cell>
          <cell r="B198" t="str">
            <v>DIST. LEWIS</v>
          </cell>
          <cell r="C198" t="str">
            <v>D</v>
          </cell>
          <cell r="D198" t="str">
            <v>N/A</v>
          </cell>
          <cell r="E198" t="str">
            <v>CASA Y CAMPO VIVIR DISCONTINUED</v>
          </cell>
          <cell r="F198" t="str">
            <v>MAGAZINE</v>
          </cell>
          <cell r="H198" t="str">
            <v>CASA Y CAMPO VIVIR</v>
          </cell>
          <cell r="I198">
            <v>0</v>
          </cell>
        </row>
        <row r="199">
          <cell r="A199" t="str">
            <v>19-00198</v>
          </cell>
          <cell r="B199" t="str">
            <v>DIST. LEWIS</v>
          </cell>
          <cell r="C199" t="str">
            <v>D</v>
          </cell>
          <cell r="D199" t="str">
            <v>N/A</v>
          </cell>
          <cell r="E199" t="str">
            <v>NOVIAS DE ESPANA DISCONTINUED</v>
          </cell>
          <cell r="F199" t="str">
            <v>MAGAZINE</v>
          </cell>
          <cell r="H199" t="str">
            <v>NOVIAS DE ESPAÑA</v>
          </cell>
          <cell r="I199">
            <v>0</v>
          </cell>
        </row>
        <row r="200">
          <cell r="A200" t="str">
            <v>19-00199</v>
          </cell>
          <cell r="B200" t="str">
            <v>DIST. LEWIS</v>
          </cell>
          <cell r="C200" t="str">
            <v>D</v>
          </cell>
          <cell r="D200" t="str">
            <v>N/A</v>
          </cell>
          <cell r="E200" t="str">
            <v>COLECCION PEGACUENTOS DISCONTINUED</v>
          </cell>
          <cell r="F200" t="str">
            <v>MAGAZINE</v>
          </cell>
          <cell r="H200" t="str">
            <v>COLECCIÓN PEGACUENTO</v>
          </cell>
          <cell r="I200">
            <v>0</v>
          </cell>
        </row>
        <row r="201">
          <cell r="A201" t="str">
            <v>19-00200</v>
          </cell>
          <cell r="B201" t="str">
            <v>DIST. LEWIS</v>
          </cell>
          <cell r="C201" t="str">
            <v>D</v>
          </cell>
          <cell r="D201" t="str">
            <v>N/A</v>
          </cell>
          <cell r="E201" t="str">
            <v>COLECCION JUEGA Y DESCUBRE DISCONTINUED</v>
          </cell>
          <cell r="F201" t="str">
            <v>MAGAZINE</v>
          </cell>
          <cell r="H201" t="str">
            <v>COLECCIÓN JUEGA Y DE</v>
          </cell>
          <cell r="I201">
            <v>0</v>
          </cell>
        </row>
        <row r="202">
          <cell r="A202" t="str">
            <v>19-00201</v>
          </cell>
          <cell r="B202" t="str">
            <v>DIST. LEWIS</v>
          </cell>
          <cell r="C202" t="str">
            <v>D</v>
          </cell>
          <cell r="D202" t="str">
            <v>N/A</v>
          </cell>
          <cell r="E202" t="str">
            <v>CRUSILETRAS DISCONTINUED</v>
          </cell>
          <cell r="F202" t="str">
            <v>MAGAZINE</v>
          </cell>
          <cell r="H202" t="str">
            <v>CRUSILETRAS</v>
          </cell>
          <cell r="I202">
            <v>0</v>
          </cell>
        </row>
        <row r="203">
          <cell r="A203" t="str">
            <v>19-00202</v>
          </cell>
          <cell r="B203" t="str">
            <v>DIST. LEWIS</v>
          </cell>
          <cell r="C203" t="str">
            <v>D</v>
          </cell>
          <cell r="D203" t="str">
            <v>N/A</v>
          </cell>
          <cell r="E203" t="str">
            <v>VANITY FAIR ESPANA DISCONTINUED</v>
          </cell>
          <cell r="F203" t="str">
            <v>MAGAZINE</v>
          </cell>
          <cell r="H203" t="str">
            <v>VANITY FAIR ESPAÑA</v>
          </cell>
          <cell r="I203">
            <v>0</v>
          </cell>
        </row>
        <row r="204">
          <cell r="A204" t="str">
            <v>19-00203</v>
          </cell>
          <cell r="B204" t="str">
            <v>DIST. LEWIS</v>
          </cell>
          <cell r="C204" t="str">
            <v>D</v>
          </cell>
          <cell r="D204" t="str">
            <v>N/A</v>
          </cell>
          <cell r="E204" t="str">
            <v>MOTOR RACING DISCONTINUED</v>
          </cell>
          <cell r="F204" t="str">
            <v>MAGAZINE</v>
          </cell>
          <cell r="H204" t="str">
            <v>MOTOR RACING</v>
          </cell>
          <cell r="I204">
            <v>0</v>
          </cell>
        </row>
        <row r="205">
          <cell r="A205" t="str">
            <v>19-00204</v>
          </cell>
          <cell r="B205" t="str">
            <v>DIST. LEWIS</v>
          </cell>
          <cell r="C205" t="str">
            <v>D</v>
          </cell>
          <cell r="D205" t="str">
            <v>N/A</v>
          </cell>
          <cell r="E205" t="str">
            <v>CONDE NAST TRAVELER DISCONTINUED</v>
          </cell>
          <cell r="F205" t="str">
            <v>MAGAZINE</v>
          </cell>
          <cell r="H205" t="str">
            <v>CONDE NAST TRAVELER</v>
          </cell>
          <cell r="I205">
            <v>0</v>
          </cell>
        </row>
        <row r="206">
          <cell r="A206" t="str">
            <v>19-00205</v>
          </cell>
          <cell r="B206" t="str">
            <v>DIST. LEWIS</v>
          </cell>
          <cell r="C206" t="str">
            <v>D</v>
          </cell>
          <cell r="D206" t="str">
            <v>N/A</v>
          </cell>
          <cell r="E206" t="str">
            <v>HOLA ESPECIAL VIAJES DISCONTINUED</v>
          </cell>
          <cell r="F206" t="str">
            <v>MAGAZINE</v>
          </cell>
          <cell r="H206" t="str">
            <v>HOLA ESPECIAL VIAJES</v>
          </cell>
          <cell r="I206">
            <v>0</v>
          </cell>
        </row>
        <row r="207">
          <cell r="A207" t="str">
            <v>19-00206</v>
          </cell>
          <cell r="B207" t="str">
            <v>DIST. LEWIS</v>
          </cell>
          <cell r="C207" t="str">
            <v>D</v>
          </cell>
          <cell r="D207" t="str">
            <v>N/A</v>
          </cell>
          <cell r="E207" t="str">
            <v>HOLA ESPECIAL DECORACION DISCONTINUED</v>
          </cell>
          <cell r="F207" t="str">
            <v>MAGAZINE</v>
          </cell>
          <cell r="H207" t="str">
            <v>HOLA ESPECIAL DECORA</v>
          </cell>
          <cell r="I207">
            <v>0</v>
          </cell>
        </row>
        <row r="208">
          <cell r="A208" t="str">
            <v>19-00207</v>
          </cell>
          <cell r="B208" t="str">
            <v>DIST. LEWIS</v>
          </cell>
          <cell r="C208" t="str">
            <v>D</v>
          </cell>
          <cell r="D208" t="str">
            <v>N/A</v>
          </cell>
          <cell r="E208" t="str">
            <v>HOLA ESPECIAL ALTA COSTURA DISCONTINUED</v>
          </cell>
          <cell r="F208" t="str">
            <v>MAGAZINE</v>
          </cell>
          <cell r="H208" t="str">
            <v>HOLA ESPECIAL ALTA C</v>
          </cell>
          <cell r="I208">
            <v>0</v>
          </cell>
        </row>
        <row r="209">
          <cell r="A209" t="str">
            <v>19-00208</v>
          </cell>
          <cell r="B209" t="str">
            <v>DIST. LEWIS</v>
          </cell>
          <cell r="C209" t="str">
            <v>D</v>
          </cell>
          <cell r="D209" t="str">
            <v>N/A</v>
          </cell>
          <cell r="E209" t="str">
            <v>BRAVO COMO TU DISCONTINUED</v>
          </cell>
          <cell r="F209" t="str">
            <v>MAGAZINE</v>
          </cell>
          <cell r="H209" t="str">
            <v>BRAVO COMO TU</v>
          </cell>
          <cell r="I209">
            <v>0</v>
          </cell>
        </row>
        <row r="210">
          <cell r="A210" t="str">
            <v>19-00209</v>
          </cell>
          <cell r="B210" t="str">
            <v>DIST. LEWIS</v>
          </cell>
          <cell r="C210" t="str">
            <v>D</v>
          </cell>
          <cell r="D210" t="str">
            <v>N/A</v>
          </cell>
          <cell r="E210" t="str">
            <v>CRAF SATAMPER DISCONTINUED</v>
          </cell>
          <cell r="F210" t="str">
            <v>MAGAZINE</v>
          </cell>
          <cell r="H210" t="str">
            <v>CRAF SATAMPER</v>
          </cell>
          <cell r="I210">
            <v>0</v>
          </cell>
        </row>
        <row r="211">
          <cell r="A211" t="str">
            <v>19-00210</v>
          </cell>
          <cell r="B211" t="str">
            <v>DIST. LEWIS</v>
          </cell>
          <cell r="C211" t="str">
            <v>D</v>
          </cell>
          <cell r="D211" t="str">
            <v>N/A</v>
          </cell>
          <cell r="E211" t="str">
            <v>BBC WILD LIFE DISCONTINUED</v>
          </cell>
          <cell r="F211" t="str">
            <v>MAGAZINE</v>
          </cell>
          <cell r="H211" t="str">
            <v>BBC WILD LIFE</v>
          </cell>
          <cell r="I211">
            <v>0</v>
          </cell>
        </row>
        <row r="212">
          <cell r="A212" t="str">
            <v>19-00211</v>
          </cell>
          <cell r="B212" t="str">
            <v>DIST. LEWIS</v>
          </cell>
          <cell r="C212" t="str">
            <v>D</v>
          </cell>
          <cell r="D212" t="str">
            <v>N/A</v>
          </cell>
          <cell r="E212" t="str">
            <v>MONOCLE DISCONTINUED</v>
          </cell>
          <cell r="F212" t="str">
            <v>MAGAZINE</v>
          </cell>
          <cell r="H212" t="str">
            <v>MONOCLE</v>
          </cell>
          <cell r="I212">
            <v>10.95</v>
          </cell>
        </row>
        <row r="213">
          <cell r="A213" t="str">
            <v>19-00212</v>
          </cell>
          <cell r="B213" t="str">
            <v>DIST. LEWIS</v>
          </cell>
          <cell r="C213" t="str">
            <v>D</v>
          </cell>
          <cell r="D213" t="str">
            <v>N/A</v>
          </cell>
          <cell r="E213" t="str">
            <v>CROSS STITCH GOLD DISCONTINUED</v>
          </cell>
          <cell r="F213" t="str">
            <v>MAGAZINE</v>
          </cell>
          <cell r="H213" t="str">
            <v>CROSS STITCH GOLD</v>
          </cell>
          <cell r="I213">
            <v>0</v>
          </cell>
        </row>
        <row r="214">
          <cell r="A214" t="str">
            <v>19-00213</v>
          </cell>
          <cell r="B214" t="str">
            <v>DIST. LEWIS</v>
          </cell>
          <cell r="C214" t="str">
            <v>D</v>
          </cell>
          <cell r="D214" t="str">
            <v>N/A</v>
          </cell>
          <cell r="E214" t="str">
            <v>BBC HISTORY DISCONTINUED</v>
          </cell>
          <cell r="F214" t="str">
            <v>MAGAZINE</v>
          </cell>
          <cell r="H214" t="str">
            <v>BBC HISTORY</v>
          </cell>
          <cell r="I214">
            <v>0</v>
          </cell>
        </row>
        <row r="215">
          <cell r="A215" t="str">
            <v>19-00214</v>
          </cell>
          <cell r="B215" t="str">
            <v>DIST. LEWIS</v>
          </cell>
          <cell r="C215" t="str">
            <v>D</v>
          </cell>
          <cell r="D215" t="str">
            <v>N/A</v>
          </cell>
          <cell r="E215" t="str">
            <v>BBC OLIVE DISCONTINUED</v>
          </cell>
          <cell r="F215" t="str">
            <v>MAGAZINE</v>
          </cell>
          <cell r="H215" t="str">
            <v>BBC OLIVE</v>
          </cell>
          <cell r="I215">
            <v>0</v>
          </cell>
        </row>
        <row r="216">
          <cell r="A216" t="str">
            <v>19-00215</v>
          </cell>
          <cell r="B216" t="str">
            <v>DIST. LEWIS</v>
          </cell>
          <cell r="C216" t="str">
            <v>D</v>
          </cell>
          <cell r="D216" t="str">
            <v>N/A</v>
          </cell>
          <cell r="E216" t="str">
            <v>BBC GARDENS DISCONTINUED</v>
          </cell>
          <cell r="F216" t="str">
            <v>MAGAZINE</v>
          </cell>
          <cell r="H216" t="str">
            <v>BBC GARDENS</v>
          </cell>
          <cell r="I216">
            <v>0</v>
          </cell>
        </row>
        <row r="217">
          <cell r="A217" t="str">
            <v>19-00216</v>
          </cell>
          <cell r="B217" t="str">
            <v>DIST. LEWIS</v>
          </cell>
          <cell r="C217" t="str">
            <v>D</v>
          </cell>
          <cell r="D217" t="str">
            <v>N/A</v>
          </cell>
          <cell r="E217" t="str">
            <v>BBC FOCUS DISCONTINUED</v>
          </cell>
          <cell r="F217" t="str">
            <v>MAGAZINE</v>
          </cell>
          <cell r="H217" t="str">
            <v>BBC FOCUS</v>
          </cell>
          <cell r="I217">
            <v>0</v>
          </cell>
        </row>
        <row r="218">
          <cell r="A218" t="str">
            <v>19-00217</v>
          </cell>
          <cell r="B218" t="str">
            <v>DIST. LEWIS</v>
          </cell>
          <cell r="C218" t="str">
            <v>D</v>
          </cell>
          <cell r="D218" t="str">
            <v>N/A</v>
          </cell>
          <cell r="E218" t="str">
            <v>BBC GOOD FOOD DISCONTINUED</v>
          </cell>
          <cell r="F218" t="str">
            <v>MAGAZINE</v>
          </cell>
          <cell r="H218" t="str">
            <v>BBC GOOD FOOD</v>
          </cell>
          <cell r="I218">
            <v>0</v>
          </cell>
        </row>
        <row r="219">
          <cell r="A219" t="str">
            <v>19-00218</v>
          </cell>
          <cell r="B219" t="str">
            <v>DIST. LEWIS</v>
          </cell>
          <cell r="C219" t="str">
            <v>D</v>
          </cell>
          <cell r="D219" t="str">
            <v>N/A</v>
          </cell>
          <cell r="E219" t="str">
            <v>CROSS STITCH CRAZY DISCONTINUED</v>
          </cell>
          <cell r="F219" t="str">
            <v>MAGAZINE</v>
          </cell>
          <cell r="H219" t="str">
            <v>CROSS STITCH CRAZY</v>
          </cell>
          <cell r="I219">
            <v>0</v>
          </cell>
        </row>
        <row r="220">
          <cell r="A220" t="str">
            <v>19-00219</v>
          </cell>
          <cell r="B220" t="str">
            <v>DIST. LEWIS</v>
          </cell>
          <cell r="C220" t="str">
            <v>D</v>
          </cell>
          <cell r="D220" t="str">
            <v>N/A</v>
          </cell>
          <cell r="E220" t="str">
            <v>MT TRUCK AND TREND DISCONTINUED</v>
          </cell>
          <cell r="F220" t="str">
            <v>MAGAZINE</v>
          </cell>
          <cell r="H220" t="str">
            <v>MT TRUCK AND TREND</v>
          </cell>
          <cell r="I220">
            <v>0</v>
          </cell>
        </row>
        <row r="221">
          <cell r="A221" t="str">
            <v>19-00220</v>
          </cell>
          <cell r="B221" t="str">
            <v>DIST. LEWIS</v>
          </cell>
          <cell r="C221" t="str">
            <v>D</v>
          </cell>
          <cell r="D221" t="str">
            <v>N/A</v>
          </cell>
          <cell r="E221" t="str">
            <v>LA CUCINA ITALIANA DISCONTINUED</v>
          </cell>
          <cell r="F221" t="str">
            <v>MAGAZINE</v>
          </cell>
          <cell r="G221">
            <v>8975</v>
          </cell>
          <cell r="H221" t="str">
            <v>LA CUCINA ITALIANA</v>
          </cell>
          <cell r="I221">
            <v>0</v>
          </cell>
        </row>
        <row r="222">
          <cell r="A222" t="str">
            <v>19-00221</v>
          </cell>
          <cell r="B222" t="str">
            <v>DIST. LEWIS</v>
          </cell>
          <cell r="C222" t="str">
            <v>D</v>
          </cell>
          <cell r="D222" t="str">
            <v>N/A</v>
          </cell>
          <cell r="E222" t="str">
            <v>PENTHOUSE DISCONTINUED</v>
          </cell>
          <cell r="F222" t="str">
            <v>MAGAZINE</v>
          </cell>
          <cell r="G222">
            <v>2242</v>
          </cell>
          <cell r="H222" t="str">
            <v>PENTHOUSE</v>
          </cell>
          <cell r="I222">
            <v>0</v>
          </cell>
        </row>
        <row r="223">
          <cell r="A223" t="str">
            <v>19-00222</v>
          </cell>
          <cell r="B223" t="str">
            <v>DIST. LEWIS</v>
          </cell>
          <cell r="C223" t="str">
            <v>A</v>
          </cell>
          <cell r="D223" t="str">
            <v>SI</v>
          </cell>
          <cell r="E223" t="str">
            <v>CIGAR AFICIONADO</v>
          </cell>
          <cell r="F223" t="str">
            <v>MAGAZINE</v>
          </cell>
          <cell r="G223">
            <v>1713</v>
          </cell>
          <cell r="H223" t="str">
            <v>DIST. LEWIS</v>
          </cell>
          <cell r="I223">
            <v>6.36</v>
          </cell>
        </row>
        <row r="224">
          <cell r="A224" t="str">
            <v>19-00223</v>
          </cell>
          <cell r="B224" t="str">
            <v>DIST. LEWIS</v>
          </cell>
          <cell r="C224" t="str">
            <v>D</v>
          </cell>
          <cell r="D224" t="str">
            <v>N/A</v>
          </cell>
          <cell r="E224" t="str">
            <v>AMAZING SPAIDERMAN DISCONTINUED</v>
          </cell>
          <cell r="F224" t="str">
            <v>MAGAZINE</v>
          </cell>
          <cell r="H224" t="str">
            <v>AMAZING SPAIDERMAN</v>
          </cell>
          <cell r="I224">
            <v>0</v>
          </cell>
        </row>
        <row r="225">
          <cell r="A225" t="str">
            <v>19-00224</v>
          </cell>
          <cell r="B225" t="str">
            <v>DIST. LEWIS</v>
          </cell>
          <cell r="C225" t="str">
            <v>D</v>
          </cell>
          <cell r="D225" t="str">
            <v>N/A</v>
          </cell>
          <cell r="E225" t="str">
            <v>BOOK OBAMA´S WARS DISCONTINUED</v>
          </cell>
          <cell r="F225" t="str">
            <v>LIBRO</v>
          </cell>
          <cell r="H225" t="str">
            <v>BOOK OBAMA´S WARS</v>
          </cell>
          <cell r="I225">
            <v>0</v>
          </cell>
        </row>
        <row r="226">
          <cell r="A226" t="str">
            <v>19-00225</v>
          </cell>
          <cell r="B226" t="str">
            <v>DIST. LEWIS</v>
          </cell>
          <cell r="C226" t="str">
            <v>D</v>
          </cell>
          <cell r="D226" t="str">
            <v>N/A</v>
          </cell>
          <cell r="E226" t="str">
            <v>BOOK ACCIDENTAL BILLIONAIRES DISCONTINUED</v>
          </cell>
          <cell r="F226" t="str">
            <v>LIBRO</v>
          </cell>
          <cell r="H226" t="str">
            <v>BOOK ACCIDENTAL BILL</v>
          </cell>
          <cell r="I226">
            <v>0</v>
          </cell>
        </row>
        <row r="227">
          <cell r="A227" t="str">
            <v>19-00226</v>
          </cell>
          <cell r="B227" t="str">
            <v>DIST. LEWIS</v>
          </cell>
          <cell r="C227" t="str">
            <v>D</v>
          </cell>
          <cell r="D227" t="str">
            <v>N/A</v>
          </cell>
          <cell r="E227" t="str">
            <v>BOOK COMING ECONOMIC ARMAGEDDON DISCONTINUED</v>
          </cell>
          <cell r="F227" t="str">
            <v>LIBRO</v>
          </cell>
          <cell r="H227" t="str">
            <v>BOOK COMING ECONOMIC</v>
          </cell>
          <cell r="I227">
            <v>0</v>
          </cell>
        </row>
        <row r="228">
          <cell r="A228" t="str">
            <v>19-00227</v>
          </cell>
          <cell r="B228" t="str">
            <v>DIST. LEWIS</v>
          </cell>
          <cell r="C228" t="str">
            <v>D</v>
          </cell>
          <cell r="D228" t="str">
            <v>N/A</v>
          </cell>
          <cell r="E228" t="str">
            <v>BOOK FALL OF GIANTS DISCONTINUED</v>
          </cell>
          <cell r="F228" t="str">
            <v>LIBRO</v>
          </cell>
          <cell r="H228" t="str">
            <v>BOOK FALL OF GIANTS</v>
          </cell>
          <cell r="I228">
            <v>0</v>
          </cell>
        </row>
        <row r="229">
          <cell r="A229" t="str">
            <v>19-00228</v>
          </cell>
          <cell r="B229" t="str">
            <v>DIST. LEWIS</v>
          </cell>
          <cell r="C229" t="str">
            <v>D</v>
          </cell>
          <cell r="D229" t="str">
            <v>N/A</v>
          </cell>
          <cell r="E229" t="str">
            <v>BOOK THE GLASS CASTLE DISCONTINUED</v>
          </cell>
          <cell r="F229" t="str">
            <v>LIBRO</v>
          </cell>
          <cell r="H229" t="str">
            <v>BOOK THE GLASS CASTL</v>
          </cell>
          <cell r="I229">
            <v>0</v>
          </cell>
        </row>
        <row r="230">
          <cell r="A230" t="str">
            <v>19-00229</v>
          </cell>
          <cell r="B230" t="str">
            <v>DIST. LEWIS</v>
          </cell>
          <cell r="C230" t="str">
            <v>D</v>
          </cell>
          <cell r="D230" t="str">
            <v>N/A</v>
          </cell>
          <cell r="E230" t="str">
            <v>BOOK THE RESERVAL DISCONTINUED</v>
          </cell>
          <cell r="F230" t="str">
            <v>LIBRO</v>
          </cell>
          <cell r="H230" t="str">
            <v>BOOK THE RESERVAL</v>
          </cell>
          <cell r="I230">
            <v>0</v>
          </cell>
        </row>
        <row r="231">
          <cell r="A231" t="str">
            <v>19-00230</v>
          </cell>
          <cell r="B231" t="str">
            <v>DIST. LEWIS</v>
          </cell>
          <cell r="C231" t="str">
            <v>D</v>
          </cell>
          <cell r="D231" t="str">
            <v>N/A</v>
          </cell>
          <cell r="E231" t="str">
            <v>BOOK SAFE HAVEN DISCONTINUED</v>
          </cell>
          <cell r="F231" t="str">
            <v>LIBRO</v>
          </cell>
          <cell r="H231" t="str">
            <v>BOOK SAFE HAVEN</v>
          </cell>
          <cell r="I231">
            <v>0</v>
          </cell>
        </row>
        <row r="232">
          <cell r="A232" t="str">
            <v>19-00231</v>
          </cell>
          <cell r="B232" t="str">
            <v>DIST. LEWIS</v>
          </cell>
          <cell r="C232" t="str">
            <v>D</v>
          </cell>
          <cell r="D232" t="str">
            <v>N/A</v>
          </cell>
          <cell r="E232" t="str">
            <v>REVISTA DT DISCONTINUED</v>
          </cell>
          <cell r="F232" t="str">
            <v>MAGAZINE</v>
          </cell>
          <cell r="H232" t="str">
            <v>REVISTA DT</v>
          </cell>
          <cell r="I232">
            <v>0</v>
          </cell>
        </row>
        <row r="233">
          <cell r="A233" t="str">
            <v>19-00232</v>
          </cell>
          <cell r="B233" t="str">
            <v>DIST. LEWIS</v>
          </cell>
          <cell r="C233" t="str">
            <v>D</v>
          </cell>
          <cell r="D233" t="str">
            <v>N/A</v>
          </cell>
          <cell r="E233" t="str">
            <v>REVISTA TELVA DISCONTINUED</v>
          </cell>
          <cell r="F233" t="str">
            <v>MAGAZINE</v>
          </cell>
          <cell r="H233" t="str">
            <v>REVISTA TELVA</v>
          </cell>
          <cell r="I233">
            <v>0</v>
          </cell>
        </row>
        <row r="234">
          <cell r="A234" t="str">
            <v>19-00233</v>
          </cell>
          <cell r="B234" t="str">
            <v>DIST. LEWIS</v>
          </cell>
          <cell r="C234" t="str">
            <v>D</v>
          </cell>
          <cell r="D234" t="str">
            <v>N/A</v>
          </cell>
          <cell r="E234" t="str">
            <v>LIBROS BIBLIOTECA DE AYUDA PERSONAL DISCONTINUED</v>
          </cell>
          <cell r="F234" t="str">
            <v>BOOKS</v>
          </cell>
          <cell r="H234" t="str">
            <v>LIBROS</v>
          </cell>
          <cell r="I234">
            <v>0</v>
          </cell>
        </row>
        <row r="235">
          <cell r="A235" t="str">
            <v>19-00234</v>
          </cell>
          <cell r="B235" t="str">
            <v>DIST. LEWIS</v>
          </cell>
          <cell r="C235" t="str">
            <v>D</v>
          </cell>
          <cell r="D235" t="str">
            <v>N/A</v>
          </cell>
          <cell r="E235" t="str">
            <v>LIBROS  BEST SELLING ESPANOL DISCONTINUED</v>
          </cell>
          <cell r="F235" t="str">
            <v>BOOKS</v>
          </cell>
          <cell r="H235" t="str">
            <v>LIBROS</v>
          </cell>
          <cell r="I235">
            <v>0</v>
          </cell>
        </row>
        <row r="236">
          <cell r="A236" t="str">
            <v>19-00235</v>
          </cell>
          <cell r="B236" t="str">
            <v>DIST. LEWIS</v>
          </cell>
          <cell r="C236" t="str">
            <v>D</v>
          </cell>
          <cell r="D236" t="str">
            <v>N/A</v>
          </cell>
          <cell r="E236" t="str">
            <v>LIBROS INFANTILES DORA DISCONTINUED</v>
          </cell>
          <cell r="F236" t="str">
            <v>BOOKS</v>
          </cell>
          <cell r="H236" t="str">
            <v>LIBROS INFANTILES</v>
          </cell>
          <cell r="I236">
            <v>0</v>
          </cell>
        </row>
        <row r="237">
          <cell r="A237" t="str">
            <v>19-00236</v>
          </cell>
          <cell r="B237" t="str">
            <v>DIST. LEWIS</v>
          </cell>
          <cell r="C237" t="str">
            <v>D</v>
          </cell>
          <cell r="D237" t="str">
            <v>N/A</v>
          </cell>
          <cell r="E237" t="str">
            <v>VANIDADES DISCONTINUED</v>
          </cell>
          <cell r="F237" t="str">
            <v>MAGAZINE</v>
          </cell>
          <cell r="H237" t="str">
            <v>VANIDADES</v>
          </cell>
          <cell r="I237">
            <v>0</v>
          </cell>
        </row>
        <row r="238">
          <cell r="A238" t="str">
            <v>19-00237</v>
          </cell>
          <cell r="B238" t="str">
            <v>DIST. LEWIS</v>
          </cell>
          <cell r="C238" t="str">
            <v>D</v>
          </cell>
          <cell r="D238" t="str">
            <v>N/A</v>
          </cell>
          <cell r="E238" t="str">
            <v>COSMOPOLITAN EN ESPANOL DISCONTINUED</v>
          </cell>
          <cell r="F238" t="str">
            <v>MAGAZINE</v>
          </cell>
          <cell r="H238" t="str">
            <v>COSMOPOLITAN EN ESPA</v>
          </cell>
          <cell r="I238">
            <v>0</v>
          </cell>
        </row>
        <row r="239">
          <cell r="A239" t="str">
            <v>19-00238</v>
          </cell>
          <cell r="B239" t="str">
            <v>DIST. LEWIS</v>
          </cell>
          <cell r="C239" t="str">
            <v>D</v>
          </cell>
          <cell r="D239" t="str">
            <v>N/A</v>
          </cell>
          <cell r="E239" t="str">
            <v>NATIONAL GEOGRAPHIC ESPANOL DISCONTINUED</v>
          </cell>
          <cell r="F239" t="str">
            <v>MAGAZINE</v>
          </cell>
          <cell r="H239" t="str">
            <v>NATIONAL GEOGRAPHIC</v>
          </cell>
          <cell r="I239">
            <v>0</v>
          </cell>
        </row>
        <row r="240">
          <cell r="A240" t="str">
            <v>19-00239</v>
          </cell>
          <cell r="B240" t="str">
            <v>DIST. LEWIS</v>
          </cell>
          <cell r="C240" t="str">
            <v>D</v>
          </cell>
          <cell r="D240" t="str">
            <v>N/A</v>
          </cell>
          <cell r="E240" t="str">
            <v>TV NOVELAS DISCONTINUED</v>
          </cell>
          <cell r="F240" t="str">
            <v>MAGAZINE</v>
          </cell>
          <cell r="H240" t="str">
            <v>TV NOVELAS</v>
          </cell>
          <cell r="I240">
            <v>0</v>
          </cell>
        </row>
        <row r="241">
          <cell r="A241" t="str">
            <v>19-00240</v>
          </cell>
          <cell r="B241" t="str">
            <v>DIST. LEWIS</v>
          </cell>
          <cell r="C241" t="str">
            <v>D</v>
          </cell>
          <cell r="D241" t="str">
            <v>N/A</v>
          </cell>
          <cell r="E241" t="str">
            <v>MENS HEALTH EN ESPANOL DISCONTINUED</v>
          </cell>
          <cell r="F241" t="str">
            <v>MAGAZINE</v>
          </cell>
          <cell r="H241" t="str">
            <v>MENS HEALTH EN ESPAÑ</v>
          </cell>
          <cell r="I241">
            <v>0</v>
          </cell>
        </row>
        <row r="242">
          <cell r="A242" t="str">
            <v>19-00241</v>
          </cell>
          <cell r="B242" t="str">
            <v>DIST. LEWIS</v>
          </cell>
          <cell r="C242" t="str">
            <v>D</v>
          </cell>
          <cell r="D242" t="str">
            <v>N/A</v>
          </cell>
          <cell r="E242" t="str">
            <v>WOMENS HEALTH EN ESPANOL DISCONTINUED</v>
          </cell>
          <cell r="F242" t="str">
            <v>MAGAZINE</v>
          </cell>
          <cell r="H242" t="str">
            <v>WOMENS HEALTH EN ESP</v>
          </cell>
          <cell r="I242">
            <v>0</v>
          </cell>
        </row>
        <row r="243">
          <cell r="A243" t="str">
            <v>19-00242</v>
          </cell>
          <cell r="B243" t="str">
            <v>DIST. LEWIS</v>
          </cell>
          <cell r="C243" t="str">
            <v>D</v>
          </cell>
          <cell r="D243" t="str">
            <v>N/A</v>
          </cell>
          <cell r="E243" t="str">
            <v>MAXIN EN ESPANOL DISCONTINUED</v>
          </cell>
          <cell r="F243" t="str">
            <v>MAGAZINE</v>
          </cell>
          <cell r="H243" t="str">
            <v>MAXIN EN ESPAÑOL</v>
          </cell>
          <cell r="I243">
            <v>0</v>
          </cell>
        </row>
        <row r="244">
          <cell r="A244" t="str">
            <v>19-00243</v>
          </cell>
          <cell r="B244" t="str">
            <v>DIST. LEWIS</v>
          </cell>
          <cell r="C244" t="str">
            <v>D</v>
          </cell>
          <cell r="D244" t="str">
            <v>N/A</v>
          </cell>
          <cell r="E244" t="str">
            <v>MUY INTERESANTE DISCONTINUED</v>
          </cell>
          <cell r="F244" t="str">
            <v>MAGAZINE</v>
          </cell>
          <cell r="H244" t="str">
            <v>MUY INTERESANTE</v>
          </cell>
          <cell r="I244">
            <v>0</v>
          </cell>
        </row>
        <row r="245">
          <cell r="A245" t="str">
            <v>19-00244</v>
          </cell>
          <cell r="B245" t="str">
            <v>DESIGN GO</v>
          </cell>
          <cell r="C245" t="str">
            <v>D</v>
          </cell>
          <cell r="D245" t="str">
            <v>N/A</v>
          </cell>
          <cell r="E245" t="str">
            <v>225 DESIGN GO 2 LUGGAGE STRAP DISCONTINUED</v>
          </cell>
          <cell r="F245" t="str">
            <v>TRAVEL ACCESSORIES</v>
          </cell>
          <cell r="G245">
            <v>225</v>
          </cell>
          <cell r="H245" t="str">
            <v>DESIGN GO</v>
          </cell>
          <cell r="I245">
            <v>3.15</v>
          </cell>
        </row>
        <row r="246">
          <cell r="A246" t="str">
            <v>19-00245</v>
          </cell>
          <cell r="B246" t="str">
            <v>DESIGN GO</v>
          </cell>
          <cell r="C246" t="str">
            <v>D</v>
          </cell>
          <cell r="D246" t="str">
            <v>N/A</v>
          </cell>
          <cell r="E246" t="str">
            <v>223 DESIGN GO 2 WAY STRAP DISCONTINUED</v>
          </cell>
          <cell r="F246" t="str">
            <v>TRAVEL ACCESSORIES</v>
          </cell>
          <cell r="G246">
            <v>223</v>
          </cell>
          <cell r="H246" t="str">
            <v>DESIGN GO</v>
          </cell>
          <cell r="I246">
            <v>5.95</v>
          </cell>
        </row>
        <row r="247">
          <cell r="A247" t="str">
            <v>19-00246</v>
          </cell>
          <cell r="B247" t="str">
            <v>DESIGN GO</v>
          </cell>
          <cell r="C247" t="str">
            <v>D</v>
          </cell>
          <cell r="D247" t="str">
            <v>N/A</v>
          </cell>
          <cell r="E247" t="str">
            <v>850 DESIGN GO ADVENTURE BAG (L) DISCONTINUED</v>
          </cell>
          <cell r="F247" t="str">
            <v>TRAVEL ACCESSORIES</v>
          </cell>
          <cell r="G247">
            <v>850</v>
          </cell>
          <cell r="H247" t="str">
            <v>DESIGN GO</v>
          </cell>
          <cell r="I247">
            <v>10.5</v>
          </cell>
        </row>
        <row r="248">
          <cell r="A248" t="str">
            <v>19-00247</v>
          </cell>
          <cell r="B248" t="str">
            <v>DESIGN GO</v>
          </cell>
          <cell r="C248" t="str">
            <v>D</v>
          </cell>
          <cell r="D248" t="str">
            <v>N/A</v>
          </cell>
          <cell r="E248" t="str">
            <v>852 DESIGN GO ADVENTURE BAG (XL) DISCONTINUED</v>
          </cell>
          <cell r="F248" t="str">
            <v>TRAVEL ACCESSORIES</v>
          </cell>
          <cell r="G248">
            <v>852</v>
          </cell>
          <cell r="H248" t="str">
            <v>DESIGN GO</v>
          </cell>
          <cell r="I248">
            <v>12.25</v>
          </cell>
        </row>
        <row r="249">
          <cell r="A249" t="str">
            <v>19-00248</v>
          </cell>
          <cell r="B249" t="str">
            <v>DESIGN GO</v>
          </cell>
          <cell r="C249" t="str">
            <v>D</v>
          </cell>
          <cell r="D249" t="str">
            <v>N/A</v>
          </cell>
          <cell r="E249" t="str">
            <v>506 DESIGN GO AQUA FAN DISCONTINUED</v>
          </cell>
          <cell r="F249" t="str">
            <v>TRAVEL ACCESSORIES</v>
          </cell>
          <cell r="G249">
            <v>506</v>
          </cell>
          <cell r="H249" t="str">
            <v>DESIGN GO</v>
          </cell>
          <cell r="I249">
            <v>29.98</v>
          </cell>
        </row>
        <row r="250">
          <cell r="A250" t="str">
            <v>19-00249</v>
          </cell>
          <cell r="B250" t="str">
            <v>DESIGN GO</v>
          </cell>
          <cell r="C250" t="str">
            <v>P</v>
          </cell>
          <cell r="D250" t="str">
            <v>N/A</v>
          </cell>
          <cell r="E250" t="str">
            <v>325 GO TRAVEL BAG LOCK</v>
          </cell>
          <cell r="F250" t="str">
            <v>TRAVEL ACCESSORIES</v>
          </cell>
          <cell r="G250">
            <v>325</v>
          </cell>
          <cell r="H250" t="str">
            <v>GO TRAVEL</v>
          </cell>
          <cell r="I250">
            <v>1.65</v>
          </cell>
        </row>
        <row r="251">
          <cell r="A251" t="str">
            <v>19-00250</v>
          </cell>
          <cell r="B251" t="str">
            <v>DESIGN GO</v>
          </cell>
          <cell r="C251" t="str">
            <v>D</v>
          </cell>
          <cell r="D251" t="str">
            <v>N/A</v>
          </cell>
          <cell r="E251" t="str">
            <v>600 DESIGN GO BODY POUCH DISCONTINUED</v>
          </cell>
          <cell r="F251" t="str">
            <v>TRAVEL ACCESSORIES</v>
          </cell>
          <cell r="G251">
            <v>600</v>
          </cell>
          <cell r="H251" t="str">
            <v>DESIGN GO</v>
          </cell>
          <cell r="I251">
            <v>5.95</v>
          </cell>
        </row>
        <row r="252">
          <cell r="A252" t="str">
            <v>19-00251</v>
          </cell>
          <cell r="B252" t="str">
            <v>DESIGN GO</v>
          </cell>
          <cell r="C252" t="str">
            <v>D</v>
          </cell>
          <cell r="D252" t="str">
            <v>N/A</v>
          </cell>
          <cell r="E252" t="str">
            <v>626 DESIGN GO BODY SAFE DISCONTINUED</v>
          </cell>
          <cell r="F252" t="str">
            <v>TRAVEL ACCESSORIES</v>
          </cell>
          <cell r="G252">
            <v>626</v>
          </cell>
          <cell r="H252" t="str">
            <v>DESIGN GO</v>
          </cell>
          <cell r="I252">
            <v>29.98</v>
          </cell>
        </row>
        <row r="253">
          <cell r="A253" t="str">
            <v>19-00252</v>
          </cell>
          <cell r="B253" t="str">
            <v>DESIGN GO</v>
          </cell>
          <cell r="C253" t="str">
            <v>D</v>
          </cell>
          <cell r="D253" t="str">
            <v>N/A</v>
          </cell>
          <cell r="E253" t="str">
            <v>786 DESIGN GO BODYPAC DISCONTINUED</v>
          </cell>
          <cell r="F253" t="str">
            <v>TRAVEL ACCESSORIES</v>
          </cell>
          <cell r="G253">
            <v>786</v>
          </cell>
          <cell r="H253" t="str">
            <v>DESIGN GO</v>
          </cell>
          <cell r="I253">
            <v>0</v>
          </cell>
        </row>
        <row r="254">
          <cell r="A254" t="str">
            <v>19-00253</v>
          </cell>
          <cell r="B254" t="str">
            <v>DESIGN GO</v>
          </cell>
          <cell r="C254" t="str">
            <v>D</v>
          </cell>
          <cell r="D254" t="str">
            <v>N/A</v>
          </cell>
          <cell r="E254" t="str">
            <v>200 DESIGN GO CAMERA CASE DISCONTINUED</v>
          </cell>
          <cell r="F254" t="str">
            <v>TRAVEL ACCESSORIES</v>
          </cell>
          <cell r="G254">
            <v>200</v>
          </cell>
          <cell r="H254" t="str">
            <v>DESIGN GO</v>
          </cell>
          <cell r="I254">
            <v>5.25</v>
          </cell>
        </row>
        <row r="255">
          <cell r="A255" t="str">
            <v>19-00254</v>
          </cell>
          <cell r="B255" t="str">
            <v>DESIGN GO</v>
          </cell>
          <cell r="C255" t="str">
            <v>D</v>
          </cell>
          <cell r="D255" t="str">
            <v>N/A</v>
          </cell>
          <cell r="E255" t="str">
            <v>170 DESIGN GO CASE LOCK DISCONTINUED</v>
          </cell>
          <cell r="F255" t="str">
            <v>TRAVEL ACCESSORIES</v>
          </cell>
          <cell r="G255">
            <v>170</v>
          </cell>
          <cell r="H255" t="str">
            <v>DESIGN GO</v>
          </cell>
          <cell r="I255">
            <v>1.4</v>
          </cell>
        </row>
        <row r="256">
          <cell r="A256" t="str">
            <v>19-00255</v>
          </cell>
          <cell r="B256" t="str">
            <v>DESIGN GO</v>
          </cell>
          <cell r="C256" t="str">
            <v>D</v>
          </cell>
          <cell r="D256" t="str">
            <v>N/A</v>
          </cell>
          <cell r="E256" t="str">
            <v>171 DESIGN GO CASE LOCK (X 2) DISCONTINUED</v>
          </cell>
          <cell r="F256" t="str">
            <v>TRAVEL ACCESSORIES</v>
          </cell>
          <cell r="G256">
            <v>171</v>
          </cell>
          <cell r="H256" t="str">
            <v>DESIGN GO</v>
          </cell>
          <cell r="I256">
            <v>15.98</v>
          </cell>
        </row>
        <row r="257">
          <cell r="A257" t="str">
            <v>19-00256</v>
          </cell>
          <cell r="B257" t="str">
            <v>DESIGN GO</v>
          </cell>
          <cell r="C257" t="str">
            <v>D</v>
          </cell>
          <cell r="D257" t="str">
            <v>N/A</v>
          </cell>
          <cell r="E257" t="str">
            <v>557 DESIGN GO CASH CARRIER DISCONTINUED</v>
          </cell>
          <cell r="F257" t="str">
            <v>TRAVEL ACCESSORIES</v>
          </cell>
          <cell r="G257">
            <v>557</v>
          </cell>
          <cell r="H257" t="str">
            <v>DESIGN GO</v>
          </cell>
          <cell r="I257">
            <v>29.98</v>
          </cell>
        </row>
        <row r="258">
          <cell r="A258" t="str">
            <v>19-00257</v>
          </cell>
          <cell r="B258" t="str">
            <v>DESIGN GO</v>
          </cell>
          <cell r="C258" t="str">
            <v>D</v>
          </cell>
          <cell r="D258" t="str">
            <v>N/A</v>
          </cell>
          <cell r="E258" t="str">
            <v>221 DESIGN GO CHECK STRAP DISCONTINUED</v>
          </cell>
          <cell r="F258" t="str">
            <v>TRAVEL ACCESSORIES</v>
          </cell>
          <cell r="G258">
            <v>221</v>
          </cell>
          <cell r="H258" t="str">
            <v>DESIGN GO</v>
          </cell>
          <cell r="I258">
            <v>21.98</v>
          </cell>
        </row>
        <row r="259">
          <cell r="A259" t="str">
            <v>19-00258</v>
          </cell>
          <cell r="B259" t="str">
            <v>DESIGN GO</v>
          </cell>
          <cell r="C259" t="str">
            <v>D</v>
          </cell>
          <cell r="D259" t="str">
            <v>N/A</v>
          </cell>
          <cell r="E259" t="str">
            <v>887 DESIGN GO CLIP POUCH DISCONTINUED</v>
          </cell>
          <cell r="F259" t="str">
            <v>TRAVEL ACCESSORIES</v>
          </cell>
          <cell r="G259">
            <v>887</v>
          </cell>
          <cell r="H259" t="str">
            <v>DESIGN GO</v>
          </cell>
          <cell r="I259">
            <v>25.98</v>
          </cell>
        </row>
        <row r="260">
          <cell r="A260" t="str">
            <v>19-00259</v>
          </cell>
          <cell r="B260" t="str">
            <v>DESIGN GO</v>
          </cell>
          <cell r="C260" t="str">
            <v>D</v>
          </cell>
          <cell r="D260" t="str">
            <v>N/A</v>
          </cell>
          <cell r="E260" t="str">
            <v>912 DESIGN GO CRYSTAL-SONICS DISCONTINUED</v>
          </cell>
          <cell r="F260" t="str">
            <v>TRAVEL ACCESSORIES</v>
          </cell>
          <cell r="G260">
            <v>912</v>
          </cell>
          <cell r="H260" t="str">
            <v>DESIGN GO</v>
          </cell>
          <cell r="I260">
            <v>59.98</v>
          </cell>
        </row>
        <row r="261">
          <cell r="A261" t="str">
            <v>19-00260</v>
          </cell>
          <cell r="B261" t="str">
            <v>DESIGN GO</v>
          </cell>
          <cell r="C261" t="str">
            <v>D</v>
          </cell>
          <cell r="D261" t="str">
            <v>N/A</v>
          </cell>
          <cell r="E261" t="str">
            <v>738 DESIGN GO DYNAMO TORCH DISCONTINUED</v>
          </cell>
          <cell r="F261" t="str">
            <v>TRAVEL ACCESSORIES</v>
          </cell>
          <cell r="G261">
            <v>738</v>
          </cell>
          <cell r="H261" t="str">
            <v>DESIGN GO</v>
          </cell>
          <cell r="I261">
            <v>6.79</v>
          </cell>
        </row>
        <row r="262">
          <cell r="A262" t="str">
            <v>19-00261</v>
          </cell>
          <cell r="B262" t="str">
            <v>DESIGN GO</v>
          </cell>
          <cell r="C262" t="str">
            <v>A</v>
          </cell>
          <cell r="D262" t="str">
            <v>NO</v>
          </cell>
          <cell r="E262" t="str">
            <v>427 GO TRAVEL EAR PLUGS</v>
          </cell>
          <cell r="F262" t="str">
            <v>TRAVEL ACCESSORIES</v>
          </cell>
          <cell r="G262">
            <v>427</v>
          </cell>
          <cell r="H262" t="str">
            <v>GO TRAVEL</v>
          </cell>
          <cell r="I262">
            <v>1.94</v>
          </cell>
        </row>
        <row r="263">
          <cell r="A263" t="str">
            <v>19-00262</v>
          </cell>
          <cell r="B263" t="str">
            <v>DESIGN GO</v>
          </cell>
          <cell r="C263" t="str">
            <v>A</v>
          </cell>
          <cell r="D263" t="str">
            <v>NO</v>
          </cell>
          <cell r="E263" t="str">
            <v>281 GO TRAVEL EYE MASK</v>
          </cell>
          <cell r="F263" t="str">
            <v>TRAVEL ACCESSORIES</v>
          </cell>
          <cell r="G263">
            <v>281</v>
          </cell>
          <cell r="H263" t="str">
            <v>GO TRAVEL</v>
          </cell>
          <cell r="I263">
            <v>1.9410000000000001</v>
          </cell>
        </row>
        <row r="264">
          <cell r="A264" t="str">
            <v>19-00263</v>
          </cell>
          <cell r="B264" t="str">
            <v>DESIGN GO</v>
          </cell>
          <cell r="C264" t="str">
            <v>D</v>
          </cell>
          <cell r="D264" t="str">
            <v>N/A</v>
          </cell>
          <cell r="E264" t="str">
            <v>178 DESIGN GO FAB STRAP DISCONTINUED</v>
          </cell>
          <cell r="F264" t="str">
            <v>TRAVEL ACCESSORIES</v>
          </cell>
          <cell r="G264">
            <v>178</v>
          </cell>
          <cell r="H264" t="str">
            <v>DESIGN GO</v>
          </cell>
          <cell r="I264">
            <v>29.98</v>
          </cell>
        </row>
        <row r="265">
          <cell r="A265" t="str">
            <v>19-00264</v>
          </cell>
          <cell r="B265" t="str">
            <v>DESIGN GO</v>
          </cell>
          <cell r="C265" t="str">
            <v>D</v>
          </cell>
          <cell r="D265" t="str">
            <v>N/A</v>
          </cell>
          <cell r="E265" t="str">
            <v>802 DESIGN GO FLIGHT SUPPORT (L) DISCONTINUED</v>
          </cell>
          <cell r="F265" t="str">
            <v>TRAVEL ACCESSORIES</v>
          </cell>
          <cell r="G265">
            <v>802</v>
          </cell>
          <cell r="H265" t="str">
            <v>DESIGN GO</v>
          </cell>
          <cell r="I265">
            <v>53.98</v>
          </cell>
        </row>
        <row r="266">
          <cell r="A266" t="str">
            <v>19-00265</v>
          </cell>
          <cell r="B266" t="str">
            <v>DESIGN GO</v>
          </cell>
          <cell r="C266" t="str">
            <v>D</v>
          </cell>
          <cell r="D266" t="str">
            <v>N/A</v>
          </cell>
          <cell r="E266" t="str">
            <v>899 DESIGN GO FLIGHT SUPPORT (M) DISCONTINUED</v>
          </cell>
          <cell r="F266" t="str">
            <v>TRAVEL ACCESSORIES</v>
          </cell>
          <cell r="G266">
            <v>899</v>
          </cell>
          <cell r="H266" t="str">
            <v>DESIGN GO</v>
          </cell>
          <cell r="I266">
            <v>10.5</v>
          </cell>
        </row>
        <row r="267">
          <cell r="A267" t="str">
            <v>19-00266</v>
          </cell>
          <cell r="B267" t="str">
            <v>DESIGN GO</v>
          </cell>
          <cell r="C267" t="str">
            <v>A</v>
          </cell>
          <cell r="D267" t="str">
            <v>NO</v>
          </cell>
          <cell r="E267" t="str">
            <v>801 GO TRAVEL FLIGHT SUPPORT (S)</v>
          </cell>
          <cell r="F267" t="str">
            <v>TRAVEL ACCESSORIES</v>
          </cell>
          <cell r="G267">
            <v>801</v>
          </cell>
          <cell r="H267" t="str">
            <v>GO TRAVEL</v>
          </cell>
          <cell r="I267">
            <v>9.702</v>
          </cell>
        </row>
        <row r="268">
          <cell r="A268" t="str">
            <v>19-00267</v>
          </cell>
          <cell r="B268" t="str">
            <v>DESIGN GO</v>
          </cell>
          <cell r="C268" t="str">
            <v>D</v>
          </cell>
          <cell r="D268" t="str">
            <v>N/A</v>
          </cell>
          <cell r="E268" t="str">
            <v>475 DESIGN GO FOOT REST DISCONTINUED</v>
          </cell>
          <cell r="F268" t="str">
            <v>TRAVEL ACCESSORIES</v>
          </cell>
          <cell r="G268">
            <v>475</v>
          </cell>
          <cell r="H268" t="str">
            <v>DESIGN GO</v>
          </cell>
          <cell r="I268">
            <v>5.25</v>
          </cell>
        </row>
        <row r="269">
          <cell r="A269" t="str">
            <v>19-00268</v>
          </cell>
          <cell r="B269" t="str">
            <v>DESIGN GO</v>
          </cell>
          <cell r="C269" t="str">
            <v>A</v>
          </cell>
          <cell r="D269" t="str">
            <v>NO</v>
          </cell>
          <cell r="E269" t="str">
            <v>707 GO TRAVEL GLO LOCKS (TWIN PACKS)</v>
          </cell>
          <cell r="F269" t="str">
            <v>TRAVEL ACCESSORIES</v>
          </cell>
          <cell r="G269">
            <v>707</v>
          </cell>
          <cell r="H269" t="str">
            <v>GO TRAVEL</v>
          </cell>
          <cell r="I269">
            <v>3.234</v>
          </cell>
        </row>
        <row r="270">
          <cell r="A270" t="str">
            <v>19-00269</v>
          </cell>
          <cell r="B270" t="str">
            <v>DESIGN GO</v>
          </cell>
          <cell r="C270" t="str">
            <v>D</v>
          </cell>
          <cell r="D270" t="str">
            <v>N/A</v>
          </cell>
          <cell r="E270" t="str">
            <v>568 DESIGN GO GLO LUGGAGE I.D. DISCONTINUED</v>
          </cell>
          <cell r="F270" t="str">
            <v>TRAVEL ACCESSORIES</v>
          </cell>
          <cell r="G270">
            <v>568</v>
          </cell>
          <cell r="H270" t="str">
            <v>DESIGN GO</v>
          </cell>
          <cell r="I270">
            <v>13.98</v>
          </cell>
        </row>
        <row r="271">
          <cell r="A271" t="str">
            <v>19-00270</v>
          </cell>
          <cell r="B271" t="str">
            <v>DESIGN GO</v>
          </cell>
          <cell r="C271" t="str">
            <v>D</v>
          </cell>
          <cell r="D271" t="str">
            <v>N/A</v>
          </cell>
          <cell r="E271" t="str">
            <v>889 DESIGN GO GLO STRAP DISCONTINUED</v>
          </cell>
          <cell r="F271" t="str">
            <v>TRAVEL ACCESSORIES</v>
          </cell>
          <cell r="G271">
            <v>889</v>
          </cell>
          <cell r="H271" t="str">
            <v>DESIGN GO</v>
          </cell>
          <cell r="I271">
            <v>19.98</v>
          </cell>
        </row>
        <row r="272">
          <cell r="A272" t="str">
            <v>19-00271</v>
          </cell>
          <cell r="B272" t="str">
            <v>DESIGN GO</v>
          </cell>
          <cell r="C272" t="str">
            <v>A</v>
          </cell>
          <cell r="D272" t="str">
            <v>NO</v>
          </cell>
          <cell r="E272" t="str">
            <v>338 DESIGN GO GLO TRAVEL SENTRY®</v>
          </cell>
          <cell r="F272" t="str">
            <v>TRAVEL ACCESSORIES</v>
          </cell>
          <cell r="G272">
            <v>338</v>
          </cell>
          <cell r="H272" t="str">
            <v>DESIGN GO</v>
          </cell>
          <cell r="I272">
            <v>3.5</v>
          </cell>
        </row>
        <row r="273">
          <cell r="A273" t="str">
            <v>19-00272</v>
          </cell>
          <cell r="B273" t="str">
            <v>DESIGN GO</v>
          </cell>
          <cell r="C273" t="str">
            <v>D</v>
          </cell>
          <cell r="D273" t="str">
            <v>N/A</v>
          </cell>
          <cell r="E273" t="str">
            <v>654 DESIGN GO HANG-UP WASH BAG DISCONTINUED</v>
          </cell>
          <cell r="F273" t="str">
            <v>TRAVEL ACCESSORIES</v>
          </cell>
          <cell r="G273">
            <v>654</v>
          </cell>
          <cell r="H273" t="str">
            <v>DESIGN GO</v>
          </cell>
          <cell r="I273">
            <v>0</v>
          </cell>
        </row>
        <row r="274">
          <cell r="A274" t="str">
            <v>19-00273</v>
          </cell>
          <cell r="B274" t="str">
            <v>DESIGN GO</v>
          </cell>
          <cell r="C274" t="str">
            <v>D</v>
          </cell>
          <cell r="D274" t="str">
            <v>N/A</v>
          </cell>
          <cell r="E274" t="str">
            <v>201 DESIGN GO LAPTOP SLEEVE 11" DISCONTINUED</v>
          </cell>
          <cell r="F274" t="str">
            <v>TRAVEL ACCESSORIES</v>
          </cell>
          <cell r="G274">
            <v>201</v>
          </cell>
          <cell r="H274" t="str">
            <v>DESIGN GO</v>
          </cell>
          <cell r="I274">
            <v>6.79</v>
          </cell>
        </row>
        <row r="275">
          <cell r="A275" t="str">
            <v>19-00274</v>
          </cell>
          <cell r="B275" t="str">
            <v>DESIGN GO</v>
          </cell>
          <cell r="C275" t="str">
            <v>D</v>
          </cell>
          <cell r="D275" t="str">
            <v>N/A</v>
          </cell>
          <cell r="E275" t="str">
            <v>202 DESIGN GO LAPTOP SLEEVE 15" DISCONTINUED</v>
          </cell>
          <cell r="F275" t="str">
            <v>TRAVEL ACCESSORIES</v>
          </cell>
          <cell r="G275">
            <v>202</v>
          </cell>
          <cell r="H275" t="str">
            <v>DESIGN GO</v>
          </cell>
          <cell r="I275">
            <v>9.1660000000000004</v>
          </cell>
        </row>
        <row r="276">
          <cell r="A276" t="str">
            <v>19-00275</v>
          </cell>
          <cell r="B276" t="str">
            <v>DESIGN GO</v>
          </cell>
          <cell r="C276" t="str">
            <v>D</v>
          </cell>
          <cell r="D276" t="str">
            <v>N/A</v>
          </cell>
          <cell r="E276" t="str">
            <v>451 DESIGN GO LUMBAR SUPPORT DISCONTINUED</v>
          </cell>
          <cell r="F276" t="str">
            <v>TRAVEL ACCESSORIES</v>
          </cell>
          <cell r="G276">
            <v>451</v>
          </cell>
          <cell r="H276" t="str">
            <v>DESIGN GO</v>
          </cell>
          <cell r="I276">
            <v>5.25</v>
          </cell>
        </row>
        <row r="277">
          <cell r="A277" t="str">
            <v>19-00276</v>
          </cell>
          <cell r="B277" t="str">
            <v>DESIGN GO</v>
          </cell>
          <cell r="C277" t="str">
            <v>D</v>
          </cell>
          <cell r="D277" t="str">
            <v>N/A</v>
          </cell>
          <cell r="E277" t="str">
            <v>505 DESIGN GO MICRO FAN DISCONTINUED</v>
          </cell>
          <cell r="F277" t="str">
            <v>TRAVEL ACCESSORIES</v>
          </cell>
          <cell r="G277">
            <v>505</v>
          </cell>
          <cell r="H277" t="str">
            <v>DESIGN GO</v>
          </cell>
          <cell r="I277">
            <v>5.25</v>
          </cell>
        </row>
        <row r="278">
          <cell r="A278" t="str">
            <v>19-00277</v>
          </cell>
          <cell r="B278" t="str">
            <v>DESIGN GO</v>
          </cell>
          <cell r="C278" t="str">
            <v>D</v>
          </cell>
          <cell r="D278" t="str">
            <v>N/A</v>
          </cell>
          <cell r="E278" t="str">
            <v>916 DESIGN GO MICRO MOUSE DISCONTINUED</v>
          </cell>
          <cell r="F278" t="str">
            <v>TRAVEL ACCESSORIES</v>
          </cell>
          <cell r="G278">
            <v>916</v>
          </cell>
          <cell r="H278" t="str">
            <v>DESIGN GO</v>
          </cell>
          <cell r="I278">
            <v>53.98</v>
          </cell>
        </row>
        <row r="279">
          <cell r="A279" t="str">
            <v>19-00278</v>
          </cell>
          <cell r="B279" t="str">
            <v>DESIGN GO</v>
          </cell>
          <cell r="C279" t="str">
            <v>P</v>
          </cell>
          <cell r="D279" t="str">
            <v>N/A</v>
          </cell>
          <cell r="E279" t="str">
            <v>339 GO TRAVEL MINI GLO TRAVEL SENTRY</v>
          </cell>
          <cell r="F279" t="str">
            <v>TRAVEL ACCESSORIES</v>
          </cell>
          <cell r="G279">
            <v>339</v>
          </cell>
          <cell r="H279" t="str">
            <v>GO TRAVEL</v>
          </cell>
          <cell r="I279">
            <v>4.29</v>
          </cell>
        </row>
        <row r="280">
          <cell r="A280" t="str">
            <v>19-00279</v>
          </cell>
          <cell r="B280" t="str">
            <v>DESIGN GO</v>
          </cell>
          <cell r="C280" t="str">
            <v>D</v>
          </cell>
          <cell r="D280" t="str">
            <v>N/A</v>
          </cell>
          <cell r="E280" t="str">
            <v>886 DESIGN GO MINI-STASH DISCONTINUED</v>
          </cell>
          <cell r="F280" t="str">
            <v>TRAVEL ACCESSORIES</v>
          </cell>
          <cell r="G280">
            <v>886</v>
          </cell>
          <cell r="H280" t="str">
            <v>DESIGN GO</v>
          </cell>
          <cell r="I280">
            <v>5.0940000000000003</v>
          </cell>
        </row>
        <row r="281">
          <cell r="A281" t="str">
            <v>19-00280</v>
          </cell>
          <cell r="B281" t="str">
            <v>DESIGN GO</v>
          </cell>
          <cell r="C281" t="str">
            <v>D</v>
          </cell>
          <cell r="D281" t="str">
            <v>N/A</v>
          </cell>
          <cell r="E281" t="str">
            <v>175 DESIGN GO MONEY BELT DISCONTINUED</v>
          </cell>
          <cell r="F281" t="str">
            <v>TRAVEL ACCESSORIES</v>
          </cell>
          <cell r="G281">
            <v>175</v>
          </cell>
          <cell r="H281" t="str">
            <v>DESIGN GO</v>
          </cell>
          <cell r="I281">
            <v>3.15</v>
          </cell>
        </row>
        <row r="282">
          <cell r="A282" t="str">
            <v>19-00281</v>
          </cell>
          <cell r="B282" t="str">
            <v>DESIGN GO</v>
          </cell>
          <cell r="C282" t="str">
            <v>D</v>
          </cell>
          <cell r="D282" t="str">
            <v>N/A</v>
          </cell>
          <cell r="E282" t="str">
            <v>602 DESIGN GO MONEY MINDER DISCONTINUED</v>
          </cell>
          <cell r="F282" t="str">
            <v>TRAVEL ACCESSORIES</v>
          </cell>
          <cell r="G282">
            <v>602</v>
          </cell>
          <cell r="H282" t="str">
            <v>DESIGN GO</v>
          </cell>
          <cell r="I282">
            <v>25.98</v>
          </cell>
        </row>
        <row r="283">
          <cell r="A283" t="str">
            <v>19-00282</v>
          </cell>
          <cell r="B283" t="str">
            <v>DESIGN GO</v>
          </cell>
          <cell r="C283" t="str">
            <v>D</v>
          </cell>
          <cell r="D283" t="str">
            <v>N/A</v>
          </cell>
          <cell r="E283" t="str">
            <v>214 DESIGN GO MY PASSPORT DISCONTINUED</v>
          </cell>
          <cell r="F283" t="str">
            <v>TRAVEL ACCESSORIES</v>
          </cell>
          <cell r="G283">
            <v>214</v>
          </cell>
          <cell r="H283" t="str">
            <v>DESIGN GO</v>
          </cell>
          <cell r="I283">
            <v>39.979999999999997</v>
          </cell>
        </row>
        <row r="284">
          <cell r="A284" t="str">
            <v>19-00283</v>
          </cell>
          <cell r="B284" t="str">
            <v>DESIGN GO</v>
          </cell>
          <cell r="C284" t="str">
            <v>D</v>
          </cell>
          <cell r="D284" t="str">
            <v>N/A</v>
          </cell>
          <cell r="E284" t="str">
            <v>449 DESIGN GO ONE TOUCH DISCONTINUED</v>
          </cell>
          <cell r="F284" t="str">
            <v>TRAVEL ACCESSORIES</v>
          </cell>
          <cell r="G284">
            <v>449</v>
          </cell>
          <cell r="H284" t="str">
            <v>DESIGN GO</v>
          </cell>
          <cell r="I284">
            <v>27.98</v>
          </cell>
        </row>
        <row r="285">
          <cell r="A285" t="str">
            <v>19-00284</v>
          </cell>
          <cell r="B285" t="str">
            <v>DESIGN GO</v>
          </cell>
          <cell r="C285" t="str">
            <v>D</v>
          </cell>
          <cell r="D285" t="str">
            <v>N/A</v>
          </cell>
          <cell r="E285" t="str">
            <v>298 DESIGN GO PACKER 1 DISCONTINUED</v>
          </cell>
          <cell r="F285" t="str">
            <v>TRAVEL ACCESSORIES</v>
          </cell>
          <cell r="G285">
            <v>298</v>
          </cell>
          <cell r="H285" t="str">
            <v>DESIGN GO</v>
          </cell>
          <cell r="I285">
            <v>19.98</v>
          </cell>
        </row>
        <row r="286">
          <cell r="A286" t="str">
            <v>19-00285</v>
          </cell>
          <cell r="B286" t="str">
            <v>DESIGN GO</v>
          </cell>
          <cell r="C286" t="str">
            <v>D</v>
          </cell>
          <cell r="D286" t="str">
            <v>N/A</v>
          </cell>
          <cell r="E286" t="str">
            <v>294 DESIGN GO PACKER 1 (BLACK) DISCONTINUED</v>
          </cell>
          <cell r="F286" t="str">
            <v>TRAVEL ACCESSORIES</v>
          </cell>
          <cell r="G286">
            <v>294</v>
          </cell>
          <cell r="H286" t="str">
            <v>DESIGN GO</v>
          </cell>
          <cell r="I286">
            <v>19.98</v>
          </cell>
        </row>
        <row r="287">
          <cell r="A287" t="str">
            <v>19-00286</v>
          </cell>
          <cell r="B287" t="str">
            <v>DESIGN GO</v>
          </cell>
          <cell r="C287" t="str">
            <v>D</v>
          </cell>
          <cell r="D287" t="str">
            <v>N/A</v>
          </cell>
          <cell r="E287" t="str">
            <v>297 DESIGN GO PACKER 2 DISCONTINUED</v>
          </cell>
          <cell r="F287" t="str">
            <v>TRAVEL ACCESSORIES</v>
          </cell>
          <cell r="G287">
            <v>297</v>
          </cell>
          <cell r="H287" t="str">
            <v>DESIGN GO</v>
          </cell>
          <cell r="I287">
            <v>4.55</v>
          </cell>
        </row>
        <row r="288">
          <cell r="A288" t="str">
            <v>19-00287</v>
          </cell>
          <cell r="B288" t="str">
            <v>DESIGN GO</v>
          </cell>
          <cell r="C288" t="str">
            <v>D</v>
          </cell>
          <cell r="D288" t="str">
            <v>N/A</v>
          </cell>
          <cell r="E288" t="str">
            <v>293 DESIGN GO PACKER 2 (BLACK) DISCONTINUED</v>
          </cell>
          <cell r="F288" t="str">
            <v>TRAVEL ACCESSORIES</v>
          </cell>
          <cell r="G288">
            <v>293</v>
          </cell>
          <cell r="H288" t="str">
            <v>DESIGN GO</v>
          </cell>
          <cell r="I288">
            <v>4.55</v>
          </cell>
        </row>
        <row r="289">
          <cell r="A289" t="str">
            <v>19-00288</v>
          </cell>
          <cell r="B289" t="str">
            <v>DESIGN GO</v>
          </cell>
          <cell r="C289" t="str">
            <v>D</v>
          </cell>
          <cell r="D289" t="str">
            <v>N/A</v>
          </cell>
          <cell r="E289" t="str">
            <v>296 DESIGN GO PACKER 3 DISCONTINUED</v>
          </cell>
          <cell r="F289" t="str">
            <v>TRAVEL ACCESSORIES</v>
          </cell>
          <cell r="G289">
            <v>296</v>
          </cell>
          <cell r="H289" t="str">
            <v>DESIGN GO</v>
          </cell>
          <cell r="I289">
            <v>5.25</v>
          </cell>
        </row>
        <row r="290">
          <cell r="A290" t="str">
            <v>19-00289</v>
          </cell>
          <cell r="B290" t="str">
            <v>DESIGN GO</v>
          </cell>
          <cell r="C290" t="str">
            <v>D</v>
          </cell>
          <cell r="D290" t="str">
            <v>N/A</v>
          </cell>
          <cell r="E290" t="str">
            <v>292 DESIGN GO PACKER 3 (BLACK) DISCONTINUED</v>
          </cell>
          <cell r="F290" t="str">
            <v>TRAVEL ACCESSORIES</v>
          </cell>
          <cell r="G290">
            <v>292</v>
          </cell>
          <cell r="H290" t="str">
            <v>DESIGN GO</v>
          </cell>
          <cell r="I290">
            <v>5.25</v>
          </cell>
        </row>
        <row r="291">
          <cell r="A291" t="str">
            <v>19-00290</v>
          </cell>
          <cell r="B291" t="str">
            <v>DESIGN GO</v>
          </cell>
          <cell r="C291" t="str">
            <v>D</v>
          </cell>
          <cell r="D291" t="str">
            <v>N/A</v>
          </cell>
          <cell r="E291" t="str">
            <v>295 DESIGN GO PACKER 4 DISCONTINUED</v>
          </cell>
          <cell r="F291" t="str">
            <v>TRAVEL ACCESSORIES</v>
          </cell>
          <cell r="G291">
            <v>295</v>
          </cell>
          <cell r="H291" t="str">
            <v>DESIGN GO</v>
          </cell>
          <cell r="I291">
            <v>5.95</v>
          </cell>
        </row>
        <row r="292">
          <cell r="A292" t="str">
            <v>19-00291</v>
          </cell>
          <cell r="B292" t="str">
            <v>DESIGN GO</v>
          </cell>
          <cell r="C292" t="str">
            <v>D</v>
          </cell>
          <cell r="D292" t="str">
            <v>N/A</v>
          </cell>
          <cell r="E292" t="str">
            <v>291 DESIGN GO PACKER 4 (BLACK) DISCONTINUED</v>
          </cell>
          <cell r="F292" t="str">
            <v>TRAVEL ACCESSORIES</v>
          </cell>
          <cell r="G292">
            <v>291</v>
          </cell>
          <cell r="H292" t="str">
            <v>DESIGN GO</v>
          </cell>
          <cell r="I292">
            <v>33.979999999999997</v>
          </cell>
        </row>
        <row r="293">
          <cell r="A293" t="str">
            <v>19-00292</v>
          </cell>
          <cell r="B293" t="str">
            <v>DESIGN GO</v>
          </cell>
          <cell r="C293" t="str">
            <v>D</v>
          </cell>
          <cell r="D293" t="str">
            <v>N/A</v>
          </cell>
          <cell r="E293" t="str">
            <v>311 DESIGN GO PASSPORT CONTROL DISCONTINUED</v>
          </cell>
          <cell r="F293" t="str">
            <v>TRAVEL ACCESSORIES</v>
          </cell>
          <cell r="G293">
            <v>311</v>
          </cell>
          <cell r="H293" t="str">
            <v>DESIGN GO</v>
          </cell>
          <cell r="I293">
            <v>27.98</v>
          </cell>
        </row>
        <row r="294">
          <cell r="A294" t="str">
            <v>19-00293</v>
          </cell>
          <cell r="B294" t="str">
            <v>DESIGN GO</v>
          </cell>
          <cell r="C294" t="str">
            <v>D</v>
          </cell>
          <cell r="D294" t="str">
            <v>N/A</v>
          </cell>
          <cell r="E294" t="str">
            <v>312 DESIGN GO PASSPORT COVER DISCONTINUED</v>
          </cell>
          <cell r="F294" t="str">
            <v>TRAVEL ACCESSORIES</v>
          </cell>
          <cell r="G294">
            <v>312</v>
          </cell>
          <cell r="H294" t="str">
            <v>DESIGN GO</v>
          </cell>
          <cell r="I294">
            <v>37.979999999999997</v>
          </cell>
        </row>
        <row r="295">
          <cell r="A295" t="str">
            <v>19-00294</v>
          </cell>
          <cell r="B295" t="str">
            <v>DESIGN GO</v>
          </cell>
          <cell r="C295" t="str">
            <v>P</v>
          </cell>
          <cell r="D295" t="str">
            <v>N/A</v>
          </cell>
          <cell r="E295" t="str">
            <v>604 GO TRAVEL PASSPORT POUCH</v>
          </cell>
          <cell r="F295" t="str">
            <v>ORGANIZADOR</v>
          </cell>
          <cell r="G295">
            <v>604</v>
          </cell>
          <cell r="H295" t="str">
            <v>GO TRAVEL</v>
          </cell>
          <cell r="I295">
            <v>5.28</v>
          </cell>
        </row>
        <row r="296">
          <cell r="A296" t="str">
            <v>19-00295</v>
          </cell>
          <cell r="B296" t="str">
            <v>DESIGN GO</v>
          </cell>
          <cell r="C296" t="str">
            <v>D</v>
          </cell>
          <cell r="D296" t="str">
            <v>N/A</v>
          </cell>
          <cell r="E296" t="str">
            <v>415 DESIGN GO PERSONAL PILLOW DISCONTINUED</v>
          </cell>
          <cell r="F296" t="str">
            <v>TRAVEL ACCESSORIES</v>
          </cell>
          <cell r="G296">
            <v>415</v>
          </cell>
          <cell r="H296" t="str">
            <v>DESIGN GO</v>
          </cell>
          <cell r="I296">
            <v>0</v>
          </cell>
        </row>
        <row r="297">
          <cell r="A297" t="str">
            <v>19-00296</v>
          </cell>
          <cell r="B297" t="str">
            <v>DESIGN GO</v>
          </cell>
          <cell r="C297" t="str">
            <v>D</v>
          </cell>
          <cell r="D297" t="str">
            <v>N/A</v>
          </cell>
          <cell r="E297" t="str">
            <v>906 DESIGN GO POCKET SHAVER DISCONTINUED</v>
          </cell>
          <cell r="F297" t="str">
            <v>TRAVEL ACCESSORIES</v>
          </cell>
          <cell r="G297">
            <v>906</v>
          </cell>
          <cell r="H297" t="str">
            <v>DESIGN GO</v>
          </cell>
          <cell r="I297">
            <v>0</v>
          </cell>
        </row>
        <row r="298">
          <cell r="A298" t="str">
            <v>19-00297</v>
          </cell>
          <cell r="B298" t="str">
            <v>DESIGN GO</v>
          </cell>
          <cell r="C298" t="str">
            <v>D</v>
          </cell>
          <cell r="D298" t="str">
            <v>N/A</v>
          </cell>
          <cell r="E298" t="str">
            <v>740 DESIGN GO POCKET TORCH DISCONTINUED</v>
          </cell>
          <cell r="F298" t="str">
            <v>TRAVEL ACCESSORIES</v>
          </cell>
          <cell r="G298">
            <v>740</v>
          </cell>
          <cell r="H298" t="str">
            <v>DESIGN GO</v>
          </cell>
          <cell r="I298">
            <v>37.979999999999997</v>
          </cell>
        </row>
        <row r="299">
          <cell r="A299" t="str">
            <v>19-00298</v>
          </cell>
          <cell r="B299" t="str">
            <v>DESIGN GO</v>
          </cell>
          <cell r="C299" t="str">
            <v>D</v>
          </cell>
          <cell r="D299" t="str">
            <v>N/A</v>
          </cell>
          <cell r="E299" t="str">
            <v>341 DESIGN GO QUATRO TAVEL SENTRY DISCONTINUED</v>
          </cell>
          <cell r="F299" t="str">
            <v>TRAVEL ACCESSORIES</v>
          </cell>
          <cell r="G299">
            <v>341</v>
          </cell>
          <cell r="H299" t="str">
            <v>DESIGN GO</v>
          </cell>
          <cell r="I299">
            <v>33.979999999999997</v>
          </cell>
        </row>
        <row r="300">
          <cell r="A300" t="str">
            <v>19-00299</v>
          </cell>
          <cell r="B300" t="str">
            <v>DESIGN GO</v>
          </cell>
          <cell r="C300" t="str">
            <v>D</v>
          </cell>
          <cell r="D300" t="str">
            <v>N/A</v>
          </cell>
          <cell r="E300" t="str">
            <v>894 DESIGN GO QUIET ZONE DISCONTINUED</v>
          </cell>
          <cell r="F300" t="str">
            <v>TRAVEL ACCESSORIES</v>
          </cell>
          <cell r="G300">
            <v>894</v>
          </cell>
          <cell r="H300" t="str">
            <v>DESIGN GO</v>
          </cell>
          <cell r="I300">
            <v>5.25</v>
          </cell>
        </row>
        <row r="301">
          <cell r="A301" t="str">
            <v>19-00300</v>
          </cell>
          <cell r="B301" t="str">
            <v>DESIGN GO</v>
          </cell>
          <cell r="C301" t="str">
            <v>D</v>
          </cell>
          <cell r="D301" t="str">
            <v>N/A</v>
          </cell>
          <cell r="E301" t="str">
            <v>911 DESIGN GO RETRACTOR PHONES DISCONTINUED</v>
          </cell>
          <cell r="F301" t="str">
            <v>TRAVEL ACCESSORIES</v>
          </cell>
          <cell r="G301">
            <v>911</v>
          </cell>
          <cell r="H301" t="str">
            <v>DESIGN GO</v>
          </cell>
          <cell r="I301">
            <v>7</v>
          </cell>
        </row>
        <row r="302">
          <cell r="A302" t="str">
            <v>19-00301</v>
          </cell>
          <cell r="B302" t="str">
            <v>DESIGN GO</v>
          </cell>
          <cell r="C302" t="str">
            <v>D</v>
          </cell>
          <cell r="D302" t="str">
            <v>N/A</v>
          </cell>
          <cell r="E302" t="str">
            <v>914 DESIGN GO SHARE ADAPTOR DISCONTINUED</v>
          </cell>
          <cell r="F302" t="str">
            <v>TRAVEL ACCESSORIES</v>
          </cell>
          <cell r="G302">
            <v>914</v>
          </cell>
          <cell r="H302" t="str">
            <v>DESIGN GO</v>
          </cell>
          <cell r="I302">
            <v>0</v>
          </cell>
        </row>
        <row r="303">
          <cell r="A303" t="str">
            <v>19-00302</v>
          </cell>
          <cell r="B303" t="str">
            <v>DESIGN GO</v>
          </cell>
          <cell r="C303" t="str">
            <v>D</v>
          </cell>
          <cell r="D303" t="str">
            <v>N/A</v>
          </cell>
          <cell r="E303" t="str">
            <v>915 DESIGN GO SHARE SOUNDS DISCONTINUED</v>
          </cell>
          <cell r="F303" t="str">
            <v>TRAVEL ACCESSORIES</v>
          </cell>
          <cell r="G303">
            <v>915</v>
          </cell>
          <cell r="H303" t="str">
            <v>DESIGN GO</v>
          </cell>
          <cell r="I303">
            <v>6.3</v>
          </cell>
        </row>
        <row r="304">
          <cell r="A304" t="str">
            <v>19-00303</v>
          </cell>
          <cell r="B304" t="str">
            <v>DESIGN GO</v>
          </cell>
          <cell r="C304" t="str">
            <v>D</v>
          </cell>
          <cell r="D304" t="str">
            <v>N/A</v>
          </cell>
          <cell r="E304" t="str">
            <v>302 DESIGN GO SHOE PACKERS DISCONTINUED</v>
          </cell>
          <cell r="F304" t="str">
            <v>TRAVEL ACCESSORIES</v>
          </cell>
          <cell r="G304">
            <v>302</v>
          </cell>
          <cell r="H304" t="str">
            <v>DESIGN GO</v>
          </cell>
          <cell r="I304">
            <v>15.98</v>
          </cell>
        </row>
        <row r="305">
          <cell r="A305" t="str">
            <v>19-00304</v>
          </cell>
          <cell r="B305" t="str">
            <v>DESIGN GO</v>
          </cell>
          <cell r="C305" t="str">
            <v>D</v>
          </cell>
          <cell r="D305" t="str">
            <v>N/A</v>
          </cell>
          <cell r="E305" t="str">
            <v>616 DESIGN GO SHOULDER WALLET DISCONTINUED</v>
          </cell>
          <cell r="F305" t="str">
            <v>TRAVEL ACCESSORIES</v>
          </cell>
          <cell r="G305">
            <v>616</v>
          </cell>
          <cell r="H305" t="str">
            <v>DESIGN GO</v>
          </cell>
          <cell r="I305">
            <v>31.98</v>
          </cell>
        </row>
        <row r="306">
          <cell r="A306" t="str">
            <v>19-00305</v>
          </cell>
          <cell r="B306" t="str">
            <v>DESIGN GO</v>
          </cell>
          <cell r="C306" t="str">
            <v>D</v>
          </cell>
          <cell r="D306" t="str">
            <v>N/A</v>
          </cell>
          <cell r="E306" t="str">
            <v>830 DESIGN GO SLIMLITE DISCONTINUED</v>
          </cell>
          <cell r="F306" t="str">
            <v>TRAVEL ACCESSORIES</v>
          </cell>
          <cell r="G306">
            <v>830</v>
          </cell>
          <cell r="H306" t="str">
            <v>DESIGN GO</v>
          </cell>
          <cell r="I306">
            <v>37.979999999999997</v>
          </cell>
        </row>
        <row r="307">
          <cell r="A307" t="str">
            <v>19-00306</v>
          </cell>
          <cell r="B307" t="str">
            <v>DESIGN GO</v>
          </cell>
          <cell r="C307" t="str">
            <v>D</v>
          </cell>
          <cell r="D307" t="str">
            <v>N/A</v>
          </cell>
          <cell r="E307" t="str">
            <v>416 DESIGN GO SNUGGY PILLOW DISCONTINUED</v>
          </cell>
          <cell r="F307" t="str">
            <v>TRAVEL ACCESSORIES</v>
          </cell>
          <cell r="G307">
            <v>416</v>
          </cell>
          <cell r="H307" t="str">
            <v>DESIGN GO</v>
          </cell>
          <cell r="I307">
            <v>5.95</v>
          </cell>
        </row>
        <row r="308">
          <cell r="A308" t="str">
            <v>19-00307</v>
          </cell>
          <cell r="B308" t="str">
            <v>DESIGN GO</v>
          </cell>
          <cell r="C308" t="str">
            <v>A</v>
          </cell>
          <cell r="D308" t="str">
            <v>NO</v>
          </cell>
          <cell r="E308" t="str">
            <v>491 GO TRAVEL STRAP N’ LOCK</v>
          </cell>
          <cell r="F308" t="str">
            <v>TRAVEL ACCESSORIES</v>
          </cell>
          <cell r="G308">
            <v>491</v>
          </cell>
          <cell r="H308" t="str">
            <v>GO TRAVEL</v>
          </cell>
          <cell r="I308">
            <v>5.1740000000000004</v>
          </cell>
        </row>
        <row r="309">
          <cell r="A309" t="str">
            <v>19-00308</v>
          </cell>
          <cell r="B309" t="str">
            <v>DESIGN GO</v>
          </cell>
          <cell r="C309" t="str">
            <v>D</v>
          </cell>
          <cell r="D309" t="str">
            <v>N/A</v>
          </cell>
          <cell r="E309" t="str">
            <v>450 DESIGN GO SUPER SNOOZER DISCONTINUED</v>
          </cell>
          <cell r="F309" t="str">
            <v>TRAVEL ACCESSORIES</v>
          </cell>
          <cell r="G309">
            <v>450</v>
          </cell>
          <cell r="H309" t="str">
            <v>DESIGN GO</v>
          </cell>
          <cell r="I309">
            <v>4.9000000000000004</v>
          </cell>
        </row>
        <row r="310">
          <cell r="A310" t="str">
            <v>19-00309</v>
          </cell>
          <cell r="B310" t="str">
            <v>DESIGN GO</v>
          </cell>
          <cell r="C310" t="str">
            <v>D</v>
          </cell>
          <cell r="D310" t="str">
            <v>N/A</v>
          </cell>
          <cell r="E310" t="str">
            <v>329 DESIGN GO THE QUATRO DISCONTINUED</v>
          </cell>
          <cell r="F310" t="str">
            <v>TRAVEL ACCESSORIES</v>
          </cell>
          <cell r="G310">
            <v>329</v>
          </cell>
          <cell r="H310" t="str">
            <v>DESIGN GO</v>
          </cell>
          <cell r="I310">
            <v>0</v>
          </cell>
        </row>
        <row r="311">
          <cell r="A311" t="str">
            <v>19-00310</v>
          </cell>
          <cell r="B311" t="str">
            <v>DESIGN GO</v>
          </cell>
          <cell r="C311" t="str">
            <v>D</v>
          </cell>
          <cell r="D311" t="str">
            <v>N/A</v>
          </cell>
          <cell r="E311" t="str">
            <v>452 DESIGN GO THE SLEEPER DISCONTINUED</v>
          </cell>
          <cell r="F311" t="str">
            <v>TRAVEL ACCESSORIES</v>
          </cell>
          <cell r="G311">
            <v>452</v>
          </cell>
          <cell r="H311" t="str">
            <v>DESIGN GO</v>
          </cell>
          <cell r="I311">
            <v>31.48</v>
          </cell>
        </row>
        <row r="312">
          <cell r="A312" t="str">
            <v>19-00311</v>
          </cell>
          <cell r="B312" t="str">
            <v>DESIGN GO</v>
          </cell>
          <cell r="C312" t="str">
            <v>D</v>
          </cell>
          <cell r="D312" t="str">
            <v>N/A</v>
          </cell>
          <cell r="E312" t="str">
            <v>447 DESIGN GO THE SNOOZER DISCONTINUED</v>
          </cell>
          <cell r="F312" t="str">
            <v>TRAVEL ACCESSORIES</v>
          </cell>
          <cell r="G312">
            <v>447</v>
          </cell>
          <cell r="H312" t="str">
            <v>DESIGN GO</v>
          </cell>
          <cell r="I312">
            <v>3.85</v>
          </cell>
        </row>
        <row r="313">
          <cell r="A313" t="str">
            <v>19-00312</v>
          </cell>
          <cell r="B313" t="str">
            <v>DESIGN GO</v>
          </cell>
          <cell r="C313" t="str">
            <v>D</v>
          </cell>
          <cell r="D313" t="str">
            <v>N/A</v>
          </cell>
          <cell r="E313" t="str">
            <v>299 DESIGN GO THE SUITER DISCONTINUED</v>
          </cell>
          <cell r="F313" t="str">
            <v>TRAVEL ACCESSORIES</v>
          </cell>
          <cell r="G313">
            <v>299</v>
          </cell>
          <cell r="H313" t="str">
            <v>DESIGN GO</v>
          </cell>
          <cell r="I313">
            <v>29.98</v>
          </cell>
        </row>
        <row r="314">
          <cell r="A314" t="str">
            <v>19-00313</v>
          </cell>
          <cell r="B314" t="str">
            <v>DESIGN GO</v>
          </cell>
          <cell r="C314" t="str">
            <v>D</v>
          </cell>
          <cell r="D314" t="str">
            <v>N/A</v>
          </cell>
          <cell r="E314" t="str">
            <v>244 DESIGN GO TRANSWORLD ADAPTOR (X 2) (NON GROUNDED) DISCONTINUED</v>
          </cell>
          <cell r="F314" t="str">
            <v>TRAVEL ACCESSORIES</v>
          </cell>
          <cell r="G314">
            <v>244</v>
          </cell>
          <cell r="H314" t="str">
            <v>DESIGN GO</v>
          </cell>
          <cell r="I314">
            <v>0</v>
          </cell>
        </row>
        <row r="315">
          <cell r="A315" t="str">
            <v>19-00314</v>
          </cell>
          <cell r="B315" t="str">
            <v>DESIGN GO</v>
          </cell>
          <cell r="C315" t="str">
            <v>D</v>
          </cell>
          <cell r="D315" t="str">
            <v>N/A</v>
          </cell>
          <cell r="E315" t="str">
            <v>908 DESIGN GO TRAVEL EARPHONES DISCONTINUED</v>
          </cell>
          <cell r="F315" t="str">
            <v>TRAVEL ACCESSORIES</v>
          </cell>
          <cell r="G315">
            <v>908</v>
          </cell>
          <cell r="H315" t="str">
            <v>DESIGN GO</v>
          </cell>
          <cell r="I315">
            <v>0</v>
          </cell>
        </row>
        <row r="316">
          <cell r="A316" t="str">
            <v>19-00315</v>
          </cell>
          <cell r="B316" t="str">
            <v>DESIGN GO</v>
          </cell>
          <cell r="C316" t="str">
            <v>D</v>
          </cell>
          <cell r="D316" t="str">
            <v>N/A</v>
          </cell>
          <cell r="E316" t="str">
            <v>709 DESIGN GO TRAVEL LOCKS DISCONTINUED</v>
          </cell>
          <cell r="F316" t="str">
            <v>TRAVEL ACCESSORIES</v>
          </cell>
          <cell r="G316">
            <v>709</v>
          </cell>
          <cell r="H316" t="str">
            <v>DESIGN GO</v>
          </cell>
          <cell r="I316">
            <v>15.98</v>
          </cell>
        </row>
        <row r="317">
          <cell r="A317" t="str">
            <v>19-00316</v>
          </cell>
          <cell r="B317" t="str">
            <v>DESIGN GO</v>
          </cell>
          <cell r="C317" t="str">
            <v>D</v>
          </cell>
          <cell r="D317" t="str">
            <v>N/A</v>
          </cell>
          <cell r="E317" t="str">
            <v>255 DESIGN GO TRAVEL PILLOW DISCONTINUED</v>
          </cell>
          <cell r="F317" t="str">
            <v>TRAVEL ACCESSORIES</v>
          </cell>
          <cell r="G317">
            <v>255</v>
          </cell>
          <cell r="H317" t="str">
            <v>DESIGN GO</v>
          </cell>
          <cell r="I317">
            <v>0</v>
          </cell>
        </row>
        <row r="318">
          <cell r="A318" t="str">
            <v>19-00317</v>
          </cell>
          <cell r="B318" t="str">
            <v>DESIGN GO</v>
          </cell>
          <cell r="C318" t="str">
            <v>A</v>
          </cell>
          <cell r="D318" t="str">
            <v>NO</v>
          </cell>
          <cell r="E318" t="str">
            <v>936 GO TRAVEL PLAYING CARDS</v>
          </cell>
          <cell r="F318" t="str">
            <v>TRAVEL ACCESSORIES</v>
          </cell>
          <cell r="G318">
            <v>936</v>
          </cell>
          <cell r="H318" t="str">
            <v>GO TRAVEL</v>
          </cell>
          <cell r="I318">
            <v>3.234</v>
          </cell>
        </row>
        <row r="319">
          <cell r="A319" t="str">
            <v>19-00318</v>
          </cell>
          <cell r="B319" t="str">
            <v>DESIGN GO</v>
          </cell>
          <cell r="C319" t="str">
            <v>D</v>
          </cell>
          <cell r="D319" t="str">
            <v>N/A</v>
          </cell>
          <cell r="E319" t="str">
            <v>336 DESIGN GO TRAVEL SENTRY® DISCONTINUED</v>
          </cell>
          <cell r="F319" t="str">
            <v>TRAVEL ACCESSORIES</v>
          </cell>
          <cell r="G319">
            <v>336</v>
          </cell>
          <cell r="H319" t="str">
            <v>DESIGN GO</v>
          </cell>
          <cell r="I319">
            <v>21.98</v>
          </cell>
        </row>
        <row r="320">
          <cell r="A320" t="str">
            <v>19-00319</v>
          </cell>
          <cell r="B320" t="str">
            <v>DESIGN GO</v>
          </cell>
          <cell r="C320" t="str">
            <v>D</v>
          </cell>
          <cell r="D320" t="str">
            <v>N/A</v>
          </cell>
          <cell r="E320" t="str">
            <v>335 DESIGN GO TRAVEL SENTRY® ALERT DISCONTINUED</v>
          </cell>
          <cell r="F320" t="str">
            <v>TRAVEL ACCESSORIES</v>
          </cell>
          <cell r="G320">
            <v>335</v>
          </cell>
          <cell r="H320" t="str">
            <v>DESIGN GO</v>
          </cell>
          <cell r="I320">
            <v>3.5</v>
          </cell>
        </row>
        <row r="321">
          <cell r="A321" t="str">
            <v>19-00320</v>
          </cell>
          <cell r="B321" t="str">
            <v>DESIGN GO</v>
          </cell>
          <cell r="C321" t="str">
            <v>D</v>
          </cell>
          <cell r="D321" t="str">
            <v>N/A</v>
          </cell>
          <cell r="E321" t="str">
            <v>932 DESIGN GO TRAVEL TROLLEY DISCONTINUED</v>
          </cell>
          <cell r="F321" t="str">
            <v>TRAVEL ACCESSORIES</v>
          </cell>
          <cell r="G321">
            <v>932</v>
          </cell>
          <cell r="H321" t="str">
            <v>DESIGN GO</v>
          </cell>
          <cell r="I321">
            <v>12</v>
          </cell>
        </row>
        <row r="322">
          <cell r="A322" t="str">
            <v>19-00321</v>
          </cell>
          <cell r="B322" t="str">
            <v>DESIGN GO</v>
          </cell>
          <cell r="C322" t="str">
            <v>A</v>
          </cell>
          <cell r="D322" t="str">
            <v>NO</v>
          </cell>
          <cell r="E322" t="str">
            <v>314 GO TRAVEL WALLET</v>
          </cell>
          <cell r="F322" t="str">
            <v>CARTERA</v>
          </cell>
          <cell r="G322">
            <v>314</v>
          </cell>
          <cell r="H322" t="str">
            <v>GO TRAVEL</v>
          </cell>
          <cell r="I322">
            <v>8.0839999999999996</v>
          </cell>
        </row>
        <row r="323">
          <cell r="A323" t="str">
            <v>19-00322</v>
          </cell>
          <cell r="B323" t="str">
            <v>DESIGN GO</v>
          </cell>
          <cell r="C323" t="str">
            <v>D</v>
          </cell>
          <cell r="D323" t="str">
            <v>N/A</v>
          </cell>
          <cell r="E323" t="str">
            <v>245 DESIGN GO TTANSWORLD ADAPTOR (NON GROUNDED) DISCONTINUED</v>
          </cell>
          <cell r="F323" t="str">
            <v>TRAVEL ACCESSORIES</v>
          </cell>
          <cell r="G323">
            <v>245</v>
          </cell>
          <cell r="H323" t="str">
            <v>DESIGN GO</v>
          </cell>
          <cell r="I323">
            <v>0</v>
          </cell>
        </row>
        <row r="324">
          <cell r="A324" t="str">
            <v>19-00323</v>
          </cell>
          <cell r="B324" t="str">
            <v>DESIGN GO</v>
          </cell>
          <cell r="C324" t="str">
            <v>D</v>
          </cell>
          <cell r="D324" t="str">
            <v>N/A</v>
          </cell>
          <cell r="E324" t="str">
            <v>252 DESIGN GO WAIST BAG DISCONTINUED</v>
          </cell>
          <cell r="F324" t="str">
            <v>TRAVEL ACCESSORIES</v>
          </cell>
          <cell r="G324">
            <v>252</v>
          </cell>
          <cell r="H324" t="str">
            <v>DESIGN GO</v>
          </cell>
          <cell r="I324">
            <v>4.7530000000000001</v>
          </cell>
        </row>
        <row r="325">
          <cell r="A325" t="str">
            <v>19-00324</v>
          </cell>
          <cell r="B325" t="str">
            <v>DESIGN GO</v>
          </cell>
          <cell r="C325" t="str">
            <v>D</v>
          </cell>
          <cell r="D325" t="str">
            <v>N/A</v>
          </cell>
          <cell r="E325" t="str">
            <v>235 DESIGN GO WAIST WALLET DISCONTINUED</v>
          </cell>
          <cell r="F325" t="str">
            <v>TRAVEL ACCESSORIES</v>
          </cell>
          <cell r="G325">
            <v>235</v>
          </cell>
          <cell r="H325" t="str">
            <v>DESIGN GO</v>
          </cell>
          <cell r="I325">
            <v>0</v>
          </cell>
        </row>
        <row r="326">
          <cell r="A326" t="str">
            <v>19-00325</v>
          </cell>
          <cell r="B326" t="str">
            <v>DESIGN GO</v>
          </cell>
          <cell r="C326" t="str">
            <v>D</v>
          </cell>
          <cell r="D326" t="str">
            <v>N/A</v>
          </cell>
          <cell r="E326" t="str">
            <v>678 DESIGN GO WALLET DISCONTINUED</v>
          </cell>
          <cell r="F326" t="str">
            <v>TRAVEL ACCESSORIES</v>
          </cell>
          <cell r="G326">
            <v>678</v>
          </cell>
          <cell r="H326" t="str">
            <v>DESIGN GO</v>
          </cell>
          <cell r="I326">
            <v>29.98</v>
          </cell>
        </row>
        <row r="327">
          <cell r="A327" t="str">
            <v>19-00326</v>
          </cell>
          <cell r="B327" t="str">
            <v>DESIGN GO</v>
          </cell>
          <cell r="C327" t="str">
            <v>D</v>
          </cell>
          <cell r="D327" t="str">
            <v>N/A</v>
          </cell>
          <cell r="E327" t="str">
            <v>380 DESIGN GO WORLDWIDE ADAPTOR KIT DISCONTINUED</v>
          </cell>
          <cell r="F327" t="str">
            <v>TRAVEL ACCESSORIES</v>
          </cell>
          <cell r="G327">
            <v>380</v>
          </cell>
          <cell r="H327" t="str">
            <v>DESIGN GO</v>
          </cell>
          <cell r="I327">
            <v>5.25</v>
          </cell>
        </row>
        <row r="328">
          <cell r="A328" t="str">
            <v>19-00327</v>
          </cell>
          <cell r="B328" t="str">
            <v>DESIGN GO</v>
          </cell>
          <cell r="C328" t="str">
            <v>A</v>
          </cell>
          <cell r="D328" t="str">
            <v>NO</v>
          </cell>
          <cell r="E328" t="str">
            <v>430 GO TRAVEL Z ZONE EAR PLUGS</v>
          </cell>
          <cell r="F328" t="str">
            <v>TAPONES OIDO</v>
          </cell>
          <cell r="G328">
            <v>430</v>
          </cell>
          <cell r="H328" t="str">
            <v>GO TRAVEL</v>
          </cell>
          <cell r="I328">
            <v>4.851</v>
          </cell>
        </row>
        <row r="329">
          <cell r="A329" t="str">
            <v>19-00328</v>
          </cell>
          <cell r="B329" t="str">
            <v>DIST. LEWIS</v>
          </cell>
          <cell r="C329" t="str">
            <v>D</v>
          </cell>
          <cell r="D329" t="str">
            <v>N/A</v>
          </cell>
          <cell r="E329" t="str">
            <v>REVISTA ESQUIRE EN ESPANOL DISCONTINUED</v>
          </cell>
          <cell r="F329" t="str">
            <v>MAGAZINE</v>
          </cell>
          <cell r="H329" t="str">
            <v>REVISTA DT</v>
          </cell>
          <cell r="I329">
            <v>0</v>
          </cell>
        </row>
        <row r="330">
          <cell r="A330" t="str">
            <v>19-00329</v>
          </cell>
          <cell r="B330" t="str">
            <v>DIST. LEWIS</v>
          </cell>
          <cell r="C330" t="str">
            <v>D</v>
          </cell>
          <cell r="D330" t="str">
            <v>N/A</v>
          </cell>
          <cell r="E330" t="str">
            <v>REVISTAS AVION REVUE DISCONTINUED</v>
          </cell>
          <cell r="F330" t="str">
            <v>MAGAZINE</v>
          </cell>
          <cell r="H330" t="str">
            <v>REVISTAS AVION REVUE</v>
          </cell>
          <cell r="I330">
            <v>0</v>
          </cell>
        </row>
        <row r="331">
          <cell r="A331" t="str">
            <v>19-00330</v>
          </cell>
          <cell r="B331" t="str">
            <v>DIST. LEWIS</v>
          </cell>
          <cell r="C331" t="str">
            <v>D</v>
          </cell>
          <cell r="D331" t="str">
            <v>N/A</v>
          </cell>
          <cell r="E331" t="str">
            <v>REVISTA GTI MAG TUNING DISCONTINUED</v>
          </cell>
          <cell r="F331" t="str">
            <v>MAGAZINE</v>
          </cell>
          <cell r="H331" t="str">
            <v>REVISTA GTI MAG TUNI</v>
          </cell>
          <cell r="I331">
            <v>0</v>
          </cell>
        </row>
        <row r="332">
          <cell r="A332" t="str">
            <v>19-00331</v>
          </cell>
          <cell r="B332" t="str">
            <v>DIST. LEWIS</v>
          </cell>
          <cell r="C332" t="str">
            <v>D</v>
          </cell>
          <cell r="D332" t="str">
            <v>N/A</v>
          </cell>
          <cell r="E332" t="str">
            <v>REVISTA CASA Y JARDIN DISCONTINUED</v>
          </cell>
          <cell r="F332" t="str">
            <v>MAGAZINE</v>
          </cell>
          <cell r="H332" t="str">
            <v>REVISTA CASA Y JARDI</v>
          </cell>
          <cell r="I332">
            <v>0</v>
          </cell>
        </row>
        <row r="333">
          <cell r="A333" t="str">
            <v>19-00332</v>
          </cell>
          <cell r="B333" t="str">
            <v>DIST. LEWIS</v>
          </cell>
          <cell r="C333" t="str">
            <v>D</v>
          </cell>
          <cell r="D333" t="str">
            <v>N/A</v>
          </cell>
          <cell r="E333" t="str">
            <v>REVISTA PERSONAL COMPUTER DISCONTINUED</v>
          </cell>
          <cell r="F333" t="str">
            <v>MAGAZINE</v>
          </cell>
          <cell r="H333" t="str">
            <v>REV. PERSONAL COMPUT</v>
          </cell>
          <cell r="I333">
            <v>0</v>
          </cell>
        </row>
        <row r="334">
          <cell r="A334" t="str">
            <v>19-00333</v>
          </cell>
          <cell r="B334" t="str">
            <v>DIST. LEWIS</v>
          </cell>
          <cell r="C334" t="str">
            <v>D</v>
          </cell>
          <cell r="D334" t="str">
            <v>N/A</v>
          </cell>
          <cell r="E334" t="str">
            <v>REVITA PC ACTUAL DISCONTINUED</v>
          </cell>
          <cell r="F334" t="str">
            <v>MAGAZINE</v>
          </cell>
          <cell r="H334" t="str">
            <v>REVITA PC ACTUAL</v>
          </cell>
          <cell r="I334">
            <v>0</v>
          </cell>
        </row>
        <row r="335">
          <cell r="A335" t="str">
            <v>19-00334</v>
          </cell>
          <cell r="B335" t="str">
            <v>DIST. LEWIS</v>
          </cell>
          <cell r="C335" t="str">
            <v>D</v>
          </cell>
          <cell r="D335" t="str">
            <v>N/A</v>
          </cell>
          <cell r="E335" t="str">
            <v>REVISTA PELO PERFECTO DISCONTINUED</v>
          </cell>
          <cell r="F335" t="str">
            <v>MAGAZINE</v>
          </cell>
          <cell r="H335" t="str">
            <v>REVIST PELO PERFECTO</v>
          </cell>
          <cell r="I335">
            <v>0</v>
          </cell>
        </row>
        <row r="336">
          <cell r="A336" t="str">
            <v>19-00335</v>
          </cell>
          <cell r="B336" t="str">
            <v>DIST. LEWIS</v>
          </cell>
          <cell r="C336" t="str">
            <v>D</v>
          </cell>
          <cell r="D336" t="str">
            <v>N/A</v>
          </cell>
          <cell r="E336" t="str">
            <v>REVISTA FHM DISCONTINUED</v>
          </cell>
          <cell r="F336" t="str">
            <v>MAGAZINE</v>
          </cell>
          <cell r="H336" t="str">
            <v>REVISTA FHM</v>
          </cell>
          <cell r="I336">
            <v>0</v>
          </cell>
        </row>
        <row r="337">
          <cell r="A337" t="str">
            <v>19-00336</v>
          </cell>
          <cell r="B337" t="str">
            <v>DIST. LEWIS</v>
          </cell>
          <cell r="C337" t="str">
            <v>D</v>
          </cell>
          <cell r="D337" t="str">
            <v>N/A</v>
          </cell>
          <cell r="E337" t="str">
            <v>REVISTA STUFF DISCONTINUED</v>
          </cell>
          <cell r="F337" t="str">
            <v>MAGAZINE</v>
          </cell>
          <cell r="H337" t="str">
            <v>REVISTA STUFF</v>
          </cell>
          <cell r="I337">
            <v>0</v>
          </cell>
        </row>
        <row r="338">
          <cell r="A338" t="str">
            <v>19-00337</v>
          </cell>
          <cell r="B338" t="str">
            <v>DIST. LEWIS</v>
          </cell>
          <cell r="C338" t="str">
            <v>D</v>
          </cell>
          <cell r="D338" t="str">
            <v>N/A</v>
          </cell>
          <cell r="E338" t="str">
            <v>REVISTA IRON MAN DISCONTINUED</v>
          </cell>
          <cell r="F338" t="str">
            <v>MAGAZINE</v>
          </cell>
          <cell r="H338" t="str">
            <v>REVISTA IRON MAN</v>
          </cell>
          <cell r="I338">
            <v>0</v>
          </cell>
        </row>
        <row r="339">
          <cell r="A339" t="str">
            <v>19-00338</v>
          </cell>
          <cell r="B339" t="str">
            <v>DIST. LEWIS</v>
          </cell>
          <cell r="C339" t="str">
            <v>D</v>
          </cell>
          <cell r="D339" t="str">
            <v>N/A</v>
          </cell>
          <cell r="E339" t="str">
            <v>PLAY BOY WALL CALENDAR DISCONTINUED</v>
          </cell>
          <cell r="F339" t="str">
            <v>MAGAZINE</v>
          </cell>
          <cell r="H339" t="str">
            <v>PLAY BOY WALL CALEND</v>
          </cell>
          <cell r="I339">
            <v>0</v>
          </cell>
        </row>
        <row r="340">
          <cell r="A340" t="str">
            <v>19-00339</v>
          </cell>
          <cell r="B340" t="str">
            <v>DIST. LEWIS</v>
          </cell>
          <cell r="C340" t="str">
            <v>D</v>
          </cell>
          <cell r="D340" t="str">
            <v>N/A</v>
          </cell>
          <cell r="E340" t="str">
            <v>ENTERTEINMENT WEEKLY DISCONTINUED</v>
          </cell>
          <cell r="F340" t="str">
            <v>MAGAZINE</v>
          </cell>
          <cell r="H340" t="str">
            <v>ENTERTEINMENT WEEKLY</v>
          </cell>
          <cell r="I340">
            <v>3.68</v>
          </cell>
        </row>
        <row r="341">
          <cell r="A341" t="str">
            <v>19-00340</v>
          </cell>
          <cell r="B341" t="str">
            <v>DIST. LEWIS</v>
          </cell>
          <cell r="C341" t="str">
            <v>A</v>
          </cell>
          <cell r="D341" t="str">
            <v>SI</v>
          </cell>
          <cell r="E341" t="str">
            <v>FLORIDA DESIGN</v>
          </cell>
          <cell r="F341" t="str">
            <v>MAGAZINE</v>
          </cell>
          <cell r="G341">
            <v>36913</v>
          </cell>
          <cell r="H341" t="str">
            <v>DIST. LEWIS</v>
          </cell>
          <cell r="I341">
            <v>6.36</v>
          </cell>
        </row>
        <row r="342">
          <cell r="A342" t="str">
            <v>19-00341</v>
          </cell>
          <cell r="B342" t="str">
            <v>DIST. LEWIS</v>
          </cell>
          <cell r="C342" t="str">
            <v>D</v>
          </cell>
          <cell r="D342" t="str">
            <v>N/A</v>
          </cell>
          <cell r="E342" t="str">
            <v>HOME TEATHER DISCONTINUED</v>
          </cell>
          <cell r="F342" t="str">
            <v>MAGAZINE</v>
          </cell>
          <cell r="H342" t="str">
            <v>HOME TEATHER</v>
          </cell>
          <cell r="I342">
            <v>0</v>
          </cell>
        </row>
        <row r="343">
          <cell r="A343" t="str">
            <v>19-00342</v>
          </cell>
          <cell r="B343" t="str">
            <v>DIST. LEWIS</v>
          </cell>
          <cell r="C343" t="str">
            <v>D</v>
          </cell>
          <cell r="D343" t="str">
            <v>N/A</v>
          </cell>
          <cell r="E343" t="str">
            <v>SCUBA DIVING DISCONTINUED</v>
          </cell>
          <cell r="F343" t="str">
            <v>MAGAZINE</v>
          </cell>
          <cell r="H343" t="str">
            <v>SCUBA DIVING</v>
          </cell>
          <cell r="I343">
            <v>0</v>
          </cell>
        </row>
        <row r="344">
          <cell r="A344" t="str">
            <v>19-00343</v>
          </cell>
          <cell r="B344" t="str">
            <v>DIST. LEWIS</v>
          </cell>
          <cell r="C344" t="str">
            <v>D</v>
          </cell>
          <cell r="D344" t="str">
            <v>N/A</v>
          </cell>
          <cell r="E344" t="str">
            <v>LA CUCONA ITALIANA DISCONTINUED</v>
          </cell>
          <cell r="F344" t="str">
            <v>MAGAZINE</v>
          </cell>
          <cell r="H344" t="str">
            <v>LA CUCONA ITALIANA</v>
          </cell>
          <cell r="I344">
            <v>0</v>
          </cell>
        </row>
        <row r="345">
          <cell r="A345" t="str">
            <v>19-00344</v>
          </cell>
          <cell r="B345" t="str">
            <v>DIST. LEWIS</v>
          </cell>
          <cell r="C345" t="str">
            <v>D</v>
          </cell>
          <cell r="D345" t="str">
            <v>N/A</v>
          </cell>
          <cell r="E345" t="str">
            <v>SUDOKU PASION DISCONTINUED</v>
          </cell>
          <cell r="F345" t="str">
            <v>MATATIEMPO</v>
          </cell>
          <cell r="H345" t="str">
            <v>SUDOKU PASION</v>
          </cell>
          <cell r="I345">
            <v>0</v>
          </cell>
        </row>
        <row r="346">
          <cell r="A346" t="str">
            <v>19-00345</v>
          </cell>
          <cell r="B346" t="str">
            <v>DIST. LEWIS</v>
          </cell>
          <cell r="C346" t="str">
            <v>D</v>
          </cell>
          <cell r="D346" t="str">
            <v>N/A</v>
          </cell>
          <cell r="E346" t="str">
            <v>SOPAS RELAX DISCONTINUED</v>
          </cell>
          <cell r="F346" t="str">
            <v>MATATIEMPO</v>
          </cell>
          <cell r="H346" t="str">
            <v>SOPAS RELAX</v>
          </cell>
          <cell r="I346">
            <v>0</v>
          </cell>
        </row>
        <row r="347">
          <cell r="A347" t="str">
            <v>19-00346</v>
          </cell>
          <cell r="B347" t="str">
            <v>DIST. LEWIS</v>
          </cell>
          <cell r="C347" t="str">
            <v>D</v>
          </cell>
          <cell r="D347" t="str">
            <v>N/A</v>
          </cell>
          <cell r="E347" t="str">
            <v>PALABRAS 3000 DISCONTINUED</v>
          </cell>
          <cell r="F347" t="str">
            <v>MATATIEMPO</v>
          </cell>
          <cell r="H347" t="str">
            <v>PALABRAS 3000</v>
          </cell>
          <cell r="I347">
            <v>0</v>
          </cell>
        </row>
        <row r="348">
          <cell r="A348" t="str">
            <v>19-00347</v>
          </cell>
          <cell r="B348" t="str">
            <v>DIST. LEWIS</v>
          </cell>
          <cell r="C348" t="str">
            <v>D</v>
          </cell>
          <cell r="D348" t="str">
            <v>N/A</v>
          </cell>
          <cell r="E348" t="str">
            <v>SUDOKU OCIOS DISCONTINUED</v>
          </cell>
          <cell r="F348" t="str">
            <v>MATATIEMPO</v>
          </cell>
          <cell r="H348" t="str">
            <v>SUDOKU OCIOS</v>
          </cell>
          <cell r="I348">
            <v>0</v>
          </cell>
        </row>
        <row r="349">
          <cell r="A349" t="str">
            <v>19-00348</v>
          </cell>
          <cell r="B349" t="str">
            <v>DIST. LEWIS</v>
          </cell>
          <cell r="C349" t="str">
            <v>D</v>
          </cell>
          <cell r="D349" t="str">
            <v>N/A</v>
          </cell>
          <cell r="E349" t="str">
            <v>MULTI SOPAS DISCONTINUED</v>
          </cell>
          <cell r="F349" t="str">
            <v>MATATIEMPO</v>
          </cell>
          <cell r="H349" t="str">
            <v>MULTI SOPAS</v>
          </cell>
          <cell r="I349">
            <v>0</v>
          </cell>
        </row>
        <row r="350">
          <cell r="A350" t="str">
            <v>19-00349</v>
          </cell>
          <cell r="B350" t="str">
            <v>DIST. LEWIS</v>
          </cell>
          <cell r="C350" t="str">
            <v>D</v>
          </cell>
          <cell r="D350" t="str">
            <v>N/A</v>
          </cell>
          <cell r="E350" t="str">
            <v>QUIZ CRUCIGRAMA ESPECIAL DISCONTINUED</v>
          </cell>
          <cell r="F350" t="str">
            <v>MATATIEMPO</v>
          </cell>
          <cell r="H350" t="str">
            <v>QUIZ CRUCIGRAMA ESPE</v>
          </cell>
          <cell r="I350">
            <v>0</v>
          </cell>
        </row>
        <row r="351">
          <cell r="A351" t="str">
            <v>19-00350</v>
          </cell>
          <cell r="B351" t="str">
            <v>DIST. LEWIS</v>
          </cell>
          <cell r="C351" t="str">
            <v>D</v>
          </cell>
          <cell r="D351" t="str">
            <v>N/A</v>
          </cell>
          <cell r="E351" t="str">
            <v>GANATIEMPOS DISCONTINUED</v>
          </cell>
          <cell r="F351" t="str">
            <v>MATATIEMPO</v>
          </cell>
          <cell r="H351" t="str">
            <v>GANATIEMPOS</v>
          </cell>
          <cell r="I351">
            <v>0</v>
          </cell>
        </row>
        <row r="352">
          <cell r="A352" t="str">
            <v>19-00351</v>
          </cell>
          <cell r="B352" t="str">
            <v>N/A</v>
          </cell>
          <cell r="C352" t="str">
            <v>D</v>
          </cell>
          <cell r="D352" t="str">
            <v>N/A</v>
          </cell>
          <cell r="E352" t="str">
            <v>S6AGCZ-031 SKULLCANDY AGENT MIXER DISCONTINUED</v>
          </cell>
          <cell r="F352" t="str">
            <v>HEADPHONES</v>
          </cell>
          <cell r="G352" t="str">
            <v>S6AGCZ-031</v>
          </cell>
          <cell r="H352" t="str">
            <v>SKULLCANDY</v>
          </cell>
          <cell r="I352">
            <v>24.98</v>
          </cell>
        </row>
        <row r="353">
          <cell r="A353" t="str">
            <v>19-00352</v>
          </cell>
          <cell r="B353" t="str">
            <v>N/A</v>
          </cell>
          <cell r="C353" t="str">
            <v>D</v>
          </cell>
          <cell r="D353" t="str">
            <v>N/A</v>
          </cell>
          <cell r="E353" t="str">
            <v>S6AGBZ-75 SKULLCANDY AGENT ROSKOPP DISCONTINUED</v>
          </cell>
          <cell r="F353" t="str">
            <v>HEADPHONES</v>
          </cell>
          <cell r="G353" t="str">
            <v>S6AGBZ-75</v>
          </cell>
          <cell r="H353" t="str">
            <v>SKULLCANDY</v>
          </cell>
          <cell r="I353">
            <v>29.9</v>
          </cell>
        </row>
        <row r="354">
          <cell r="A354" t="str">
            <v>19-00353</v>
          </cell>
          <cell r="B354" t="str">
            <v>N/A</v>
          </cell>
          <cell r="C354" t="str">
            <v>D</v>
          </cell>
          <cell r="D354" t="str">
            <v>N/A</v>
          </cell>
          <cell r="E354" t="str">
            <v>S6AGCZ-070 SKULLCANDY AGENT THROWBACK DISCONTINUED</v>
          </cell>
          <cell r="F354" t="str">
            <v>HEADPHONES</v>
          </cell>
          <cell r="G354" t="str">
            <v>S6AGCZ-070</v>
          </cell>
          <cell r="H354" t="str">
            <v>SKULLCANDY</v>
          </cell>
          <cell r="I354">
            <v>24.98</v>
          </cell>
        </row>
        <row r="355">
          <cell r="A355" t="str">
            <v>19-00354</v>
          </cell>
          <cell r="B355" t="str">
            <v>N/A</v>
          </cell>
          <cell r="C355" t="str">
            <v>D</v>
          </cell>
          <cell r="D355" t="str">
            <v>N/A</v>
          </cell>
          <cell r="E355" t="str">
            <v>S2FMCY-019 SKULLCANDY FMJ DREAM TEAM W/MIC DISCONTINUED</v>
          </cell>
          <cell r="F355" t="str">
            <v>HEADPHONES</v>
          </cell>
          <cell r="G355" t="str">
            <v>S2FMCY-019</v>
          </cell>
          <cell r="H355" t="str">
            <v>SKULLCANDY</v>
          </cell>
          <cell r="I355">
            <v>34.979999999999997</v>
          </cell>
        </row>
        <row r="356">
          <cell r="A356" t="str">
            <v>19-00355</v>
          </cell>
          <cell r="B356" t="str">
            <v>N/A</v>
          </cell>
          <cell r="C356" t="str">
            <v>D</v>
          </cell>
          <cell r="D356" t="str">
            <v>N/A</v>
          </cell>
          <cell r="E356" t="str">
            <v>S2FMCY-063 SKULLCANDY FMJ SHOE BLUE W/MIC DISCONTINUED</v>
          </cell>
          <cell r="F356" t="str">
            <v>HEADPHONES</v>
          </cell>
          <cell r="G356" t="str">
            <v>S2FMCY-063</v>
          </cell>
          <cell r="H356" t="str">
            <v>SKULLCANDY</v>
          </cell>
          <cell r="I356">
            <v>34.869999999999997</v>
          </cell>
        </row>
        <row r="357">
          <cell r="A357" t="str">
            <v>19-00356</v>
          </cell>
          <cell r="B357" t="str">
            <v>N/A</v>
          </cell>
          <cell r="C357" t="str">
            <v>D</v>
          </cell>
          <cell r="D357" t="str">
            <v>N/A</v>
          </cell>
          <cell r="E357" t="str">
            <v>S6GICY-025 SKULLCANDY GI GRIDLOCK W/MIC DISCONTINUED</v>
          </cell>
          <cell r="F357" t="str">
            <v>HEADPHONES</v>
          </cell>
          <cell r="G357" t="str">
            <v>S6GICY-025</v>
          </cell>
          <cell r="H357" t="str">
            <v>SKULLCANDY</v>
          </cell>
          <cell r="I357">
            <v>0</v>
          </cell>
        </row>
        <row r="358">
          <cell r="A358" t="str">
            <v>19-00357</v>
          </cell>
          <cell r="B358" t="str">
            <v>N/A</v>
          </cell>
          <cell r="C358" t="str">
            <v>D</v>
          </cell>
          <cell r="D358" t="str">
            <v>N/A</v>
          </cell>
          <cell r="E358" t="str">
            <v>S5ITCY-002 SKULLCANDY ICON 2 ABEL HIGH CARD W/MIC DISCONTINUED</v>
          </cell>
          <cell r="F358" t="str">
            <v>HEADPHONES</v>
          </cell>
          <cell r="G358" t="str">
            <v>S5ITCY-002</v>
          </cell>
          <cell r="H358" t="str">
            <v>SKULLCANDY</v>
          </cell>
          <cell r="I358">
            <v>17.5</v>
          </cell>
        </row>
        <row r="359">
          <cell r="A359" t="str">
            <v>19-00358</v>
          </cell>
          <cell r="B359" t="str">
            <v>N/A</v>
          </cell>
          <cell r="C359" t="str">
            <v>D</v>
          </cell>
          <cell r="D359" t="str">
            <v>N/A</v>
          </cell>
          <cell r="E359" t="str">
            <v>S5ITCY-025 SKULLCANDY ICON 2 GRIDLOCK W/MIC DISCONTINUED</v>
          </cell>
          <cell r="F359" t="str">
            <v>HEADPHONES</v>
          </cell>
          <cell r="G359" t="str">
            <v>S5ITCY-025</v>
          </cell>
          <cell r="H359" t="str">
            <v>SKULLCANDY</v>
          </cell>
          <cell r="I359">
            <v>17.5</v>
          </cell>
        </row>
        <row r="360">
          <cell r="A360" t="str">
            <v>19-00359</v>
          </cell>
          <cell r="B360" t="str">
            <v>N/A</v>
          </cell>
          <cell r="C360" t="str">
            <v>D</v>
          </cell>
          <cell r="D360" t="str">
            <v>N/A</v>
          </cell>
          <cell r="E360" t="str">
            <v>S5ITCY-058 SKULLCANDY ICON 2 RASTA W/MIC DISCONTINUED</v>
          </cell>
          <cell r="F360" t="str">
            <v>HEADPHONES</v>
          </cell>
          <cell r="G360" t="str">
            <v>S5ITCY-058</v>
          </cell>
          <cell r="H360" t="str">
            <v>SKULLCANDY</v>
          </cell>
          <cell r="I360">
            <v>16</v>
          </cell>
        </row>
        <row r="361">
          <cell r="A361" t="str">
            <v>19-00360</v>
          </cell>
          <cell r="B361" t="str">
            <v>N/A</v>
          </cell>
          <cell r="C361" t="str">
            <v>D</v>
          </cell>
          <cell r="D361" t="str">
            <v>N/A</v>
          </cell>
          <cell r="E361" t="str">
            <v>S2INCZ-053 SKULLCANDY INK'D PAUL FRANK WHITE/YELLOW DISCONTINUED</v>
          </cell>
          <cell r="F361" t="str">
            <v>HEADPHONES</v>
          </cell>
          <cell r="G361" t="str">
            <v>S2INCZ-053</v>
          </cell>
          <cell r="H361" t="str">
            <v>SKULLCANDY</v>
          </cell>
          <cell r="I361">
            <v>0</v>
          </cell>
        </row>
        <row r="362">
          <cell r="A362" t="str">
            <v>19-00361</v>
          </cell>
          <cell r="B362" t="str">
            <v>N/A</v>
          </cell>
          <cell r="C362" t="str">
            <v>D</v>
          </cell>
          <cell r="D362" t="str">
            <v>N/A</v>
          </cell>
          <cell r="E362" t="str">
            <v>S2INCZ-034 SKULLCANDY INK'D SC BLACK/RED DISCONTINUED</v>
          </cell>
          <cell r="F362" t="str">
            <v>HEADPHONES</v>
          </cell>
          <cell r="G362" t="str">
            <v>S2INCZ-034</v>
          </cell>
          <cell r="H362" t="str">
            <v>SKULLCANDY</v>
          </cell>
          <cell r="I362">
            <v>0</v>
          </cell>
        </row>
        <row r="363">
          <cell r="A363" t="str">
            <v>19-00362</v>
          </cell>
          <cell r="B363" t="str">
            <v>N/A</v>
          </cell>
          <cell r="C363" t="str">
            <v>D</v>
          </cell>
          <cell r="D363" t="str">
            <v>N/A</v>
          </cell>
          <cell r="E363" t="str">
            <v>S2INCZ-036 SKULLCANDY INK'D SC GREEN DISCONTINUED</v>
          </cell>
          <cell r="F363" t="str">
            <v>HEADPHONES</v>
          </cell>
          <cell r="G363" t="str">
            <v>S2INCZ-036</v>
          </cell>
          <cell r="H363" t="str">
            <v>SKULLCANDY</v>
          </cell>
          <cell r="I363">
            <v>8.6300000000000008</v>
          </cell>
        </row>
        <row r="364">
          <cell r="A364" t="str">
            <v>19-00363</v>
          </cell>
          <cell r="B364" t="str">
            <v>N/A</v>
          </cell>
          <cell r="C364" t="str">
            <v>D</v>
          </cell>
          <cell r="D364" t="str">
            <v>N/A</v>
          </cell>
          <cell r="E364" t="str">
            <v>S2INCZ-039 SKULLCANDY INK'D SC ORANGE DISCONTINUED</v>
          </cell>
          <cell r="F364" t="str">
            <v>HEADPHONES</v>
          </cell>
          <cell r="G364" t="str">
            <v>S2INCZ-039</v>
          </cell>
          <cell r="H364" t="str">
            <v>SKULLCANDY</v>
          </cell>
          <cell r="I364">
            <v>9.2799999999999994</v>
          </cell>
        </row>
        <row r="365">
          <cell r="A365" t="str">
            <v>19-00364</v>
          </cell>
          <cell r="B365" t="str">
            <v>N/A</v>
          </cell>
          <cell r="C365" t="str">
            <v>D</v>
          </cell>
          <cell r="D365" t="str">
            <v>N/A</v>
          </cell>
          <cell r="E365" t="str">
            <v>S2INCZ-045 SKULLCANDY INK'D SC SILVER/BLACK DISCONTINUED</v>
          </cell>
          <cell r="F365" t="str">
            <v>HEADPHONES</v>
          </cell>
          <cell r="G365" t="str">
            <v>S2INCZ-045</v>
          </cell>
          <cell r="H365" t="str">
            <v>SKULLCANDY</v>
          </cell>
          <cell r="I365">
            <v>0</v>
          </cell>
        </row>
        <row r="366">
          <cell r="A366" t="str">
            <v>19-00365</v>
          </cell>
          <cell r="B366" t="str">
            <v>N/A</v>
          </cell>
          <cell r="C366" t="str">
            <v>D</v>
          </cell>
          <cell r="D366" t="str">
            <v>N/A</v>
          </cell>
          <cell r="E366" t="str">
            <v>S5LWCY-065 SKULLCANDY LOWRIDER SHOE RED W/MIC DISCONTINUED</v>
          </cell>
          <cell r="F366" t="str">
            <v>HEADPHONES</v>
          </cell>
          <cell r="G366" t="str">
            <v>S5LWCY-065</v>
          </cell>
          <cell r="H366" t="str">
            <v>SKULLCANDY</v>
          </cell>
          <cell r="I366">
            <v>22.5</v>
          </cell>
        </row>
        <row r="367">
          <cell r="A367" t="str">
            <v>19-00366</v>
          </cell>
          <cell r="B367" t="str">
            <v>N/A</v>
          </cell>
          <cell r="C367" t="str">
            <v>D</v>
          </cell>
          <cell r="D367" t="str">
            <v>N/A</v>
          </cell>
          <cell r="E367" t="str">
            <v>S5LWCY-067 SKULLCANDY LOWRIDER SHOE YELLOW W/MIC DISCONTINUED</v>
          </cell>
          <cell r="F367" t="str">
            <v>HEADPHONES</v>
          </cell>
          <cell r="G367" t="str">
            <v>S5LWCY-067</v>
          </cell>
          <cell r="H367" t="str">
            <v>SKULLCANDY</v>
          </cell>
          <cell r="I367">
            <v>20.93</v>
          </cell>
        </row>
        <row r="368">
          <cell r="A368" t="str">
            <v>19-00367</v>
          </cell>
          <cell r="B368" t="str">
            <v>N/A</v>
          </cell>
          <cell r="C368" t="str">
            <v>D</v>
          </cell>
          <cell r="D368" t="str">
            <v>N/A</v>
          </cell>
          <cell r="E368" t="str">
            <v>S2BLBZ-JZ SKULLCANDY RIOT RASTA DISCONTINUED</v>
          </cell>
          <cell r="F368" t="str">
            <v>HEADPHONES</v>
          </cell>
          <cell r="G368" t="str">
            <v>S2BLBZ-JZ</v>
          </cell>
          <cell r="H368" t="str">
            <v>SKULLCANDY</v>
          </cell>
          <cell r="I368">
            <v>9.98</v>
          </cell>
        </row>
        <row r="369">
          <cell r="A369" t="str">
            <v>19-00368</v>
          </cell>
          <cell r="B369" t="str">
            <v>N/A</v>
          </cell>
          <cell r="C369" t="str">
            <v>D</v>
          </cell>
          <cell r="D369" t="str">
            <v>N/A</v>
          </cell>
          <cell r="E369" t="str">
            <v>S2BLCZ-077 SKULLCANDY RIOT WHITE/GREEN/YELLOW DISCONTINUED</v>
          </cell>
          <cell r="F369" t="str">
            <v>HEADPHONES</v>
          </cell>
          <cell r="G369" t="str">
            <v>S2BLCZ-077</v>
          </cell>
          <cell r="H369" t="str">
            <v>SKULLCANDY</v>
          </cell>
          <cell r="I369">
            <v>9.98</v>
          </cell>
        </row>
        <row r="370">
          <cell r="A370" t="str">
            <v>19-00369</v>
          </cell>
          <cell r="B370" t="str">
            <v>N/A</v>
          </cell>
          <cell r="C370" t="str">
            <v>D</v>
          </cell>
          <cell r="D370" t="str">
            <v>N/A</v>
          </cell>
          <cell r="E370" t="str">
            <v>S6SPCZ-014 SKULLCANDY SK PRO CARBON DISCONTINUED</v>
          </cell>
          <cell r="F370" t="str">
            <v>HEADPHONES</v>
          </cell>
          <cell r="G370" t="str">
            <v>S6SPCZ-014</v>
          </cell>
          <cell r="H370" t="str">
            <v>SKULLCANDY</v>
          </cell>
          <cell r="I370">
            <v>69.75</v>
          </cell>
        </row>
        <row r="371">
          <cell r="A371" t="str">
            <v>19-00370</v>
          </cell>
          <cell r="B371" t="str">
            <v>N/A</v>
          </cell>
          <cell r="C371" t="str">
            <v>D</v>
          </cell>
          <cell r="D371" t="str">
            <v>N/A</v>
          </cell>
          <cell r="E371" t="str">
            <v>S6SPCZ-069 SKULLCANDY SK PRO SPARKLE MOTION DISCONTINUED</v>
          </cell>
          <cell r="F371" t="str">
            <v>HEADPHONES</v>
          </cell>
          <cell r="G371" t="str">
            <v>S6SPCZ-069</v>
          </cell>
          <cell r="H371" t="str">
            <v>SKULLCANDY</v>
          </cell>
          <cell r="I371">
            <v>69.75</v>
          </cell>
        </row>
        <row r="372">
          <cell r="A372" t="str">
            <v>19-00371</v>
          </cell>
          <cell r="B372" t="str">
            <v>N/A</v>
          </cell>
          <cell r="C372" t="str">
            <v>D</v>
          </cell>
          <cell r="D372" t="str">
            <v>N/A</v>
          </cell>
          <cell r="E372" t="str">
            <v>S6SPCZ-070 SKULLCANDY SK PRO THROWBACK DISCONTINUED</v>
          </cell>
          <cell r="F372" t="str">
            <v>HEADPHONES</v>
          </cell>
          <cell r="G372" t="str">
            <v>S6SPCZ-070</v>
          </cell>
          <cell r="H372" t="str">
            <v>SKULLCANDY</v>
          </cell>
          <cell r="I372">
            <v>74.98</v>
          </cell>
        </row>
        <row r="373">
          <cell r="A373" t="str">
            <v>19-00372</v>
          </cell>
          <cell r="B373" t="str">
            <v>N/A</v>
          </cell>
          <cell r="C373" t="str">
            <v>D</v>
          </cell>
          <cell r="D373" t="str">
            <v>N/A</v>
          </cell>
          <cell r="E373" t="str">
            <v>S2SBBZ-IB SKULLCANDY SMOKIN BUD IN-EAR BLACK MIC DISCONTINUED</v>
          </cell>
          <cell r="F373" t="str">
            <v>HEADPHONES</v>
          </cell>
          <cell r="G373" t="str">
            <v>S2SBBZ-IB</v>
          </cell>
          <cell r="H373" t="str">
            <v>SKULLCANDY</v>
          </cell>
          <cell r="I373">
            <v>14.98</v>
          </cell>
        </row>
        <row r="374">
          <cell r="A374" t="str">
            <v>19-00373</v>
          </cell>
          <cell r="B374" t="str">
            <v>N/A</v>
          </cell>
          <cell r="C374" t="str">
            <v>D</v>
          </cell>
          <cell r="D374" t="str">
            <v>N/A</v>
          </cell>
          <cell r="E374" t="str">
            <v>S2SBBZ-WB SKULLCANDY SMOKIN BUD IN-EAR PINK MIC DISCONTINUED</v>
          </cell>
          <cell r="F374" t="str">
            <v>HEADPHONES</v>
          </cell>
          <cell r="G374" t="str">
            <v>S2SBBZ-WB</v>
          </cell>
          <cell r="H374" t="str">
            <v>SKULLCANDY</v>
          </cell>
          <cell r="I374">
            <v>17.48</v>
          </cell>
        </row>
        <row r="375">
          <cell r="A375" t="str">
            <v>19-00374</v>
          </cell>
          <cell r="B375" t="str">
            <v>N/A</v>
          </cell>
          <cell r="C375" t="str">
            <v>D</v>
          </cell>
          <cell r="D375" t="str">
            <v>N/A</v>
          </cell>
          <cell r="E375" t="str">
            <v>S2SBCY-027 SKULLCANDY SMOKIN BUDS  AUDIOPHILE GREEN W/MIC DISCONTINUED</v>
          </cell>
          <cell r="F375" t="str">
            <v>HEADPHONES</v>
          </cell>
          <cell r="G375" t="str">
            <v>S2SBCY-027</v>
          </cell>
          <cell r="H375" t="str">
            <v>SKULLCANDY</v>
          </cell>
          <cell r="I375">
            <v>17.48</v>
          </cell>
        </row>
        <row r="376">
          <cell r="A376" t="str">
            <v>19-00375</v>
          </cell>
          <cell r="B376" t="str">
            <v>N/A</v>
          </cell>
          <cell r="C376" t="str">
            <v>D</v>
          </cell>
          <cell r="D376" t="str">
            <v>N/A</v>
          </cell>
          <cell r="E376" t="str">
            <v>S2SBCY-064 SKULLCANDY SMOKIN BUDS  SHOE PURPLE W/MIC DISCONTINUED</v>
          </cell>
          <cell r="F376" t="str">
            <v>HEADPHONES</v>
          </cell>
          <cell r="G376" t="str">
            <v>S2SBCY-064</v>
          </cell>
          <cell r="H376" t="str">
            <v>SKULLCANDY</v>
          </cell>
          <cell r="I376">
            <v>17.48</v>
          </cell>
        </row>
        <row r="377">
          <cell r="A377" t="str">
            <v>19-00376</v>
          </cell>
          <cell r="B377" t="str">
            <v>N/A</v>
          </cell>
          <cell r="C377" t="str">
            <v>D</v>
          </cell>
          <cell r="D377" t="str">
            <v>N/A</v>
          </cell>
          <cell r="E377" t="str">
            <v>S2SBCY-066 SKULLCANDY SMOKIN BUDS  SHOE WHITE W/MIC DISCONTINUED</v>
          </cell>
          <cell r="F377" t="str">
            <v>HEADPHONES</v>
          </cell>
          <cell r="G377" t="str">
            <v>S2SBCY-066</v>
          </cell>
          <cell r="H377" t="str">
            <v>SKULLCANDY</v>
          </cell>
          <cell r="I377">
            <v>17.48</v>
          </cell>
        </row>
        <row r="378">
          <cell r="A378" t="str">
            <v>19-00377</v>
          </cell>
          <cell r="B378" t="str">
            <v>N/A</v>
          </cell>
          <cell r="C378" t="str">
            <v>D</v>
          </cell>
          <cell r="D378" t="str">
            <v>N/A</v>
          </cell>
          <cell r="E378" t="str">
            <v>S2SBBR-BZ SKULLCANDY SMOKIN BUDS BLACK RUBBERIZED DISCONTINUED</v>
          </cell>
          <cell r="F378" t="str">
            <v>HEADPHONES</v>
          </cell>
          <cell r="G378" t="str">
            <v>S2SBBR-BZ</v>
          </cell>
          <cell r="H378" t="str">
            <v>SKULLCANDY</v>
          </cell>
          <cell r="I378">
            <v>17.48</v>
          </cell>
        </row>
        <row r="379">
          <cell r="A379" t="str">
            <v>19-00378</v>
          </cell>
          <cell r="B379" t="str">
            <v>N/A</v>
          </cell>
          <cell r="C379" t="str">
            <v>D</v>
          </cell>
          <cell r="D379" t="str">
            <v>N/A</v>
          </cell>
          <cell r="E379" t="str">
            <v>S2SBBB-BC SKULLCANDY SMOKIN BUDS BLACK/CHROME DISCONTINUED</v>
          </cell>
          <cell r="F379" t="str">
            <v>HEADPHONES</v>
          </cell>
          <cell r="G379" t="str">
            <v>S2SBBB-BC</v>
          </cell>
          <cell r="H379" t="str">
            <v>SKULLCANDY</v>
          </cell>
          <cell r="I379">
            <v>17.48</v>
          </cell>
        </row>
        <row r="380">
          <cell r="A380" t="str">
            <v>19-00379</v>
          </cell>
          <cell r="B380" t="str">
            <v>N/A</v>
          </cell>
          <cell r="C380" t="str">
            <v>D</v>
          </cell>
          <cell r="D380" t="str">
            <v>N/A</v>
          </cell>
          <cell r="E380" t="str">
            <v>S2SBCY-009 SKULLCANDY SMOKIN BUDS BLACK/GOLD W/MIC DISCONTINUED</v>
          </cell>
          <cell r="F380" t="str">
            <v>HEADPHONES</v>
          </cell>
          <cell r="G380" t="str">
            <v>S2SBCY-009</v>
          </cell>
          <cell r="H380" t="str">
            <v>SKULLCANDY</v>
          </cell>
          <cell r="I380">
            <v>18.25</v>
          </cell>
        </row>
        <row r="381">
          <cell r="A381" t="str">
            <v>19-00380</v>
          </cell>
          <cell r="B381" t="str">
            <v>N/A</v>
          </cell>
          <cell r="C381" t="str">
            <v>D</v>
          </cell>
          <cell r="D381" t="str">
            <v>N/A</v>
          </cell>
          <cell r="E381" t="str">
            <v>S2SBCZ-052 SKULLCANDY SMOKIN BUDS PAUL FRANK PINK DISCONTINUED</v>
          </cell>
          <cell r="F381" t="str">
            <v>HEADPHONES</v>
          </cell>
          <cell r="G381" t="str">
            <v>S2SBCZ-052</v>
          </cell>
          <cell r="H381" t="str">
            <v>SKULLCANDY</v>
          </cell>
          <cell r="I381">
            <v>0</v>
          </cell>
        </row>
        <row r="382">
          <cell r="A382" t="str">
            <v>19-00381</v>
          </cell>
          <cell r="B382" t="str">
            <v>N/A</v>
          </cell>
          <cell r="C382" t="str">
            <v>D</v>
          </cell>
          <cell r="D382" t="str">
            <v>N/A</v>
          </cell>
          <cell r="E382" t="str">
            <v>S2SBCZ-036 SKULLCANDY SMOKIN BUDS SC GREEN DISCONTINUED</v>
          </cell>
          <cell r="F382" t="str">
            <v>HEADPHONES</v>
          </cell>
          <cell r="G382" t="str">
            <v>S2SBCZ-036</v>
          </cell>
          <cell r="H382" t="str">
            <v>SKULLCANDY</v>
          </cell>
          <cell r="I382">
            <v>17.48</v>
          </cell>
        </row>
        <row r="383">
          <cell r="A383" t="str">
            <v>19-00382</v>
          </cell>
          <cell r="B383" t="str">
            <v>N/A</v>
          </cell>
          <cell r="C383" t="str">
            <v>D</v>
          </cell>
          <cell r="D383" t="str">
            <v>N/A</v>
          </cell>
          <cell r="E383" t="str">
            <v>S2SBCY-063 SKULLCANDY SMOKIN BUDS SHOE BLUE W/MIC DISCONTINUED</v>
          </cell>
          <cell r="F383" t="str">
            <v>HEADPHONES</v>
          </cell>
          <cell r="G383" t="str">
            <v>S2SBCY-063</v>
          </cell>
          <cell r="H383" t="str">
            <v>SKULLCANDY</v>
          </cell>
          <cell r="I383">
            <v>17.48</v>
          </cell>
        </row>
        <row r="384">
          <cell r="A384" t="str">
            <v>19-00383</v>
          </cell>
          <cell r="B384" t="str">
            <v>N/A</v>
          </cell>
          <cell r="C384" t="str">
            <v>D</v>
          </cell>
          <cell r="D384" t="str">
            <v>N/A</v>
          </cell>
          <cell r="E384" t="str">
            <v>S2TTCZ-003 SKULLCANDY TITAN BLACK DISCONTINUED</v>
          </cell>
          <cell r="F384" t="str">
            <v>HEADPHONES</v>
          </cell>
          <cell r="G384" t="str">
            <v>S2TTCZ-003</v>
          </cell>
          <cell r="H384" t="str">
            <v>SKULLCANDY</v>
          </cell>
          <cell r="I384">
            <v>23.23</v>
          </cell>
        </row>
        <row r="385">
          <cell r="A385" t="str">
            <v>19-00384</v>
          </cell>
          <cell r="B385" t="str">
            <v>N/A</v>
          </cell>
          <cell r="C385" t="str">
            <v>D</v>
          </cell>
          <cell r="D385" t="str">
            <v>N/A</v>
          </cell>
          <cell r="E385" t="str">
            <v>S2TTCZ-058 SKULLCANDY TITAN RASTA DISCONTINUED</v>
          </cell>
          <cell r="F385" t="str">
            <v>HEADPHONES</v>
          </cell>
          <cell r="G385" t="str">
            <v>S2TTCZ-058</v>
          </cell>
          <cell r="H385" t="str">
            <v>SKULLCANDY</v>
          </cell>
          <cell r="I385">
            <v>24.98</v>
          </cell>
        </row>
        <row r="386">
          <cell r="A386" t="str">
            <v>19-00385</v>
          </cell>
          <cell r="B386" t="str">
            <v>N/A</v>
          </cell>
          <cell r="C386" t="str">
            <v>D</v>
          </cell>
          <cell r="D386" t="str">
            <v>N/A</v>
          </cell>
          <cell r="E386" t="str">
            <v>21027 ZIPPO BUTTERFLY-SPECTRUM DISCONTINUED</v>
          </cell>
          <cell r="F386" t="str">
            <v>ENCENDEDORES</v>
          </cell>
          <cell r="G386">
            <v>21027</v>
          </cell>
          <cell r="H386" t="str">
            <v>ZIPPO</v>
          </cell>
          <cell r="I386">
            <v>22.295000000000002</v>
          </cell>
        </row>
        <row r="387">
          <cell r="A387" t="str">
            <v>19-00386</v>
          </cell>
          <cell r="B387" t="str">
            <v>N/A</v>
          </cell>
          <cell r="C387" t="str">
            <v>D</v>
          </cell>
          <cell r="D387" t="str">
            <v>N/A</v>
          </cell>
          <cell r="E387" t="str">
            <v>150 ZIPPO BLACK ICE DISCONTINUED</v>
          </cell>
          <cell r="F387" t="str">
            <v>ENCENDEDORES</v>
          </cell>
          <cell r="G387">
            <v>150</v>
          </cell>
          <cell r="H387" t="str">
            <v>ZIPPO</v>
          </cell>
          <cell r="I387">
            <v>20.58</v>
          </cell>
        </row>
        <row r="388">
          <cell r="A388" t="str">
            <v>19-00387</v>
          </cell>
          <cell r="B388" t="str">
            <v>N/A</v>
          </cell>
          <cell r="C388" t="str">
            <v>D</v>
          </cell>
          <cell r="D388" t="str">
            <v>N/A</v>
          </cell>
          <cell r="E388" t="str">
            <v>150ZL ZIPPO BLACK ICE W/ ZIPPO DISCONTINUED</v>
          </cell>
          <cell r="F388" t="str">
            <v>ENCENDEDORES</v>
          </cell>
          <cell r="G388" t="str">
            <v>150ZL</v>
          </cell>
          <cell r="H388" t="str">
            <v>ZIPPO</v>
          </cell>
          <cell r="I388">
            <v>22.295000000000002</v>
          </cell>
        </row>
        <row r="389">
          <cell r="A389" t="str">
            <v>19-00388</v>
          </cell>
          <cell r="B389" t="str">
            <v>N/A</v>
          </cell>
          <cell r="C389" t="str">
            <v>D</v>
          </cell>
          <cell r="D389" t="str">
            <v>N/A</v>
          </cell>
          <cell r="E389" t="str">
            <v>151 ZIPPO SPECTRUM DISCONTINUED</v>
          </cell>
          <cell r="F389" t="str">
            <v>ENCENDEDORES</v>
          </cell>
          <cell r="G389">
            <v>151</v>
          </cell>
          <cell r="H389" t="str">
            <v>ZIPPO</v>
          </cell>
          <cell r="I389">
            <v>0</v>
          </cell>
        </row>
        <row r="390">
          <cell r="A390" t="str">
            <v>19-00389</v>
          </cell>
          <cell r="B390" t="str">
            <v>N/A</v>
          </cell>
          <cell r="C390" t="str">
            <v>D</v>
          </cell>
          <cell r="D390" t="str">
            <v>N/A</v>
          </cell>
          <cell r="E390" t="str">
            <v>1600 ZIPPO BRUSHED CHROME, SLIM DISCONTINUED</v>
          </cell>
          <cell r="F390" t="str">
            <v>ENCENDEDORES</v>
          </cell>
          <cell r="G390">
            <v>1600</v>
          </cell>
          <cell r="H390" t="str">
            <v>ZIPPO</v>
          </cell>
          <cell r="I390">
            <v>13.035</v>
          </cell>
        </row>
        <row r="391">
          <cell r="A391" t="str">
            <v>19-00390</v>
          </cell>
          <cell r="B391" t="str">
            <v>N/A</v>
          </cell>
          <cell r="C391" t="str">
            <v>D</v>
          </cell>
          <cell r="D391" t="str">
            <v>N/A</v>
          </cell>
          <cell r="E391" t="str">
            <v>1605 ZIPPO SATIN CHROME, SLIM DISCONTINUED</v>
          </cell>
          <cell r="F391" t="str">
            <v>ENCENDEDORES</v>
          </cell>
          <cell r="G391">
            <v>1605</v>
          </cell>
          <cell r="H391" t="str">
            <v>ZIPPO</v>
          </cell>
          <cell r="I391">
            <v>12.348000000000001</v>
          </cell>
        </row>
        <row r="392">
          <cell r="A392" t="str">
            <v>19-00391</v>
          </cell>
          <cell r="B392" t="str">
            <v>N/A</v>
          </cell>
          <cell r="C392" t="str">
            <v>D</v>
          </cell>
          <cell r="D392" t="str">
            <v>N/A</v>
          </cell>
          <cell r="E392" t="str">
            <v>1610 ZIPPO HP CHROME, SLIM DISCONTINUED</v>
          </cell>
          <cell r="F392" t="str">
            <v>ENCENDEDORES</v>
          </cell>
          <cell r="G392">
            <v>1610</v>
          </cell>
          <cell r="H392" t="str">
            <v>ZIPPO</v>
          </cell>
          <cell r="I392">
            <v>15.78</v>
          </cell>
        </row>
        <row r="393">
          <cell r="A393" t="str">
            <v>19-00392</v>
          </cell>
          <cell r="B393" t="str">
            <v>N/A</v>
          </cell>
          <cell r="C393" t="str">
            <v>D</v>
          </cell>
          <cell r="D393" t="str">
            <v>N/A</v>
          </cell>
          <cell r="E393" t="str">
            <v>1618 ZIPPO BLACK MATTE, SLIM DISCONTINUED</v>
          </cell>
          <cell r="F393" t="str">
            <v>ENCENDEDORES</v>
          </cell>
          <cell r="G393">
            <v>1618</v>
          </cell>
          <cell r="H393" t="str">
            <v>ZIPPO</v>
          </cell>
          <cell r="I393">
            <v>15.778</v>
          </cell>
        </row>
        <row r="394">
          <cell r="A394" t="str">
            <v>19-00393</v>
          </cell>
          <cell r="B394" t="str">
            <v>N/A</v>
          </cell>
          <cell r="C394" t="str">
            <v>D</v>
          </cell>
          <cell r="D394" t="str">
            <v>N/A</v>
          </cell>
          <cell r="E394" t="str">
            <v>1652 ZIPPO HP CHROME, VENETIAN, SLIM DISCONTINUED</v>
          </cell>
          <cell r="F394" t="str">
            <v>ENCENDEDORES</v>
          </cell>
          <cell r="G394">
            <v>1652</v>
          </cell>
          <cell r="H394" t="str">
            <v>ZIPPO</v>
          </cell>
          <cell r="I394">
            <v>24.695</v>
          </cell>
        </row>
        <row r="395">
          <cell r="A395" t="str">
            <v>19-00394</v>
          </cell>
          <cell r="B395" t="str">
            <v>N/A</v>
          </cell>
          <cell r="C395" t="str">
            <v>D</v>
          </cell>
          <cell r="D395" t="str">
            <v>N/A</v>
          </cell>
          <cell r="E395" t="str">
            <v>1941 ZIPPO 1941 REPLICA BRUSH CHROME DISCONTINUED</v>
          </cell>
          <cell r="F395" t="str">
            <v>ENCENDEDORES</v>
          </cell>
          <cell r="G395">
            <v>1941</v>
          </cell>
          <cell r="H395" t="str">
            <v>ZIPPO</v>
          </cell>
          <cell r="I395">
            <v>18.18</v>
          </cell>
        </row>
        <row r="396">
          <cell r="A396" t="str">
            <v>19-00395</v>
          </cell>
          <cell r="B396" t="str">
            <v>N/A</v>
          </cell>
          <cell r="C396" t="str">
            <v>D</v>
          </cell>
          <cell r="D396" t="str">
            <v>N/A</v>
          </cell>
          <cell r="E396" t="str">
            <v>1941B ZIPPO 1941 REPLICA BRASS DISCONTINUED</v>
          </cell>
          <cell r="F396" t="str">
            <v>ENCENDEDORES</v>
          </cell>
          <cell r="G396" t="str">
            <v>1941B</v>
          </cell>
          <cell r="H396" t="str">
            <v>ZIPPO</v>
          </cell>
          <cell r="I396">
            <v>22.98</v>
          </cell>
        </row>
        <row r="397">
          <cell r="A397" t="str">
            <v>19-00396</v>
          </cell>
          <cell r="B397" t="str">
            <v>N/A</v>
          </cell>
          <cell r="C397" t="str">
            <v>D</v>
          </cell>
          <cell r="D397" t="str">
            <v>N/A</v>
          </cell>
          <cell r="E397" t="str">
            <v>200 ZIPPO BRUSHED CHROME DISCONTINUED</v>
          </cell>
          <cell r="F397" t="str">
            <v>ENCENDEDORES</v>
          </cell>
          <cell r="G397">
            <v>200</v>
          </cell>
          <cell r="H397" t="str">
            <v>ZIPPO</v>
          </cell>
          <cell r="I397">
            <v>13.034000000000001</v>
          </cell>
        </row>
        <row r="398">
          <cell r="A398" t="str">
            <v>19-00397</v>
          </cell>
          <cell r="B398" t="str">
            <v>N/A</v>
          </cell>
          <cell r="C398" t="str">
            <v>D</v>
          </cell>
          <cell r="D398" t="str">
            <v>N/A</v>
          </cell>
          <cell r="E398" t="str">
            <v>200FL ZIPPO BRUSHED CHROME, FOUNDERS LIGHTER DISCONTINUED</v>
          </cell>
          <cell r="F398" t="str">
            <v>ENCENDEDORES</v>
          </cell>
          <cell r="G398" t="str">
            <v>200FL</v>
          </cell>
          <cell r="H398" t="str">
            <v>ZIPPO</v>
          </cell>
          <cell r="I398">
            <v>18.18</v>
          </cell>
        </row>
        <row r="399">
          <cell r="A399" t="str">
            <v>19-00398</v>
          </cell>
          <cell r="B399" t="str">
            <v>N/A</v>
          </cell>
          <cell r="C399" t="str">
            <v>D</v>
          </cell>
          <cell r="D399" t="str">
            <v>N/A</v>
          </cell>
          <cell r="E399" t="str">
            <v>200HD.H231 ZIPPO HARLEY DAVIDSON EMBLEM DISCONTINUED</v>
          </cell>
          <cell r="F399" t="str">
            <v>ENCENDEDORES</v>
          </cell>
          <cell r="G399" t="str">
            <v>200HD.H231</v>
          </cell>
          <cell r="H399" t="str">
            <v>ZIPPO</v>
          </cell>
          <cell r="I399">
            <v>28.812999999999999</v>
          </cell>
        </row>
        <row r="400">
          <cell r="A400" t="str">
            <v>19-00399</v>
          </cell>
          <cell r="B400" t="str">
            <v>N/A</v>
          </cell>
          <cell r="C400" t="str">
            <v>D</v>
          </cell>
          <cell r="D400" t="str">
            <v>N/A</v>
          </cell>
          <cell r="E400" t="str">
            <v>200HD.H284 ZIPPO HARLEY DAVIDSON EMBLEM DISCONTINUED</v>
          </cell>
          <cell r="F400" t="str">
            <v>ENCENDEDORES</v>
          </cell>
          <cell r="G400" t="str">
            <v>200HD.H284</v>
          </cell>
          <cell r="H400" t="str">
            <v>ZIPPO</v>
          </cell>
          <cell r="I400">
            <v>28.81</v>
          </cell>
        </row>
        <row r="401">
          <cell r="A401" t="str">
            <v>19-00400</v>
          </cell>
          <cell r="B401" t="str">
            <v>N/A</v>
          </cell>
          <cell r="C401" t="str">
            <v>D</v>
          </cell>
          <cell r="D401" t="str">
            <v>N/A</v>
          </cell>
          <cell r="E401" t="str">
            <v>200PL ZIPPO BRUSHED CHROME DISCONTINUED</v>
          </cell>
          <cell r="F401" t="str">
            <v>ENCENDEDORES</v>
          </cell>
          <cell r="G401" t="str">
            <v>200PL</v>
          </cell>
          <cell r="H401" t="str">
            <v>ZIPPO</v>
          </cell>
          <cell r="I401">
            <v>15.778</v>
          </cell>
        </row>
        <row r="402">
          <cell r="A402" t="str">
            <v>19-00401</v>
          </cell>
          <cell r="B402" t="str">
            <v>N/A</v>
          </cell>
          <cell r="C402" t="str">
            <v>D</v>
          </cell>
          <cell r="D402" t="str">
            <v>N/A</v>
          </cell>
          <cell r="E402" t="str">
            <v>204 ZIPPO BRUSHED BRASS W/ SOLID BRASS ENGRAVED DISCONTINUED</v>
          </cell>
          <cell r="F402" t="str">
            <v>ENCENDEDORES</v>
          </cell>
          <cell r="G402">
            <v>204</v>
          </cell>
          <cell r="H402" t="str">
            <v>ZIPPO</v>
          </cell>
          <cell r="I402">
            <v>18.18</v>
          </cell>
        </row>
        <row r="403">
          <cell r="A403" t="str">
            <v>19-00402</v>
          </cell>
          <cell r="B403" t="str">
            <v>N/A</v>
          </cell>
          <cell r="C403" t="str">
            <v>D</v>
          </cell>
          <cell r="D403" t="str">
            <v>N/A</v>
          </cell>
          <cell r="E403" t="str">
            <v>20446 ZIPPO SAPPHIRE DISCONTINUED</v>
          </cell>
          <cell r="F403" t="str">
            <v>ENCENDEDORES</v>
          </cell>
          <cell r="G403">
            <v>20446</v>
          </cell>
          <cell r="H403" t="str">
            <v>ZIPPO</v>
          </cell>
          <cell r="I403">
            <v>0</v>
          </cell>
        </row>
        <row r="404">
          <cell r="A404" t="str">
            <v>19-00403</v>
          </cell>
          <cell r="B404" t="str">
            <v>N/A</v>
          </cell>
          <cell r="C404" t="str">
            <v>D</v>
          </cell>
          <cell r="D404" t="str">
            <v>N/A</v>
          </cell>
          <cell r="E404" t="str">
            <v>20446ZL ZIPPO SAPPHIRE W/ZIPPO DISCONTINUED</v>
          </cell>
          <cell r="F404" t="str">
            <v>ENCENDEDORES</v>
          </cell>
          <cell r="G404" t="str">
            <v>20446ZL</v>
          </cell>
          <cell r="H404" t="str">
            <v>ZIPPO</v>
          </cell>
          <cell r="I404">
            <v>22.295000000000002</v>
          </cell>
        </row>
        <row r="405">
          <cell r="A405" t="str">
            <v>19-00404</v>
          </cell>
          <cell r="B405" t="str">
            <v>N/A</v>
          </cell>
          <cell r="C405" t="str">
            <v>D</v>
          </cell>
          <cell r="D405" t="str">
            <v>N/A</v>
          </cell>
          <cell r="E405" t="str">
            <v>204B ZIPPO BRUSHED BRASS W/O SOLID BRASS ENGRAVED DISCONTINUED</v>
          </cell>
          <cell r="F405" t="str">
            <v>ENCENDEDORES</v>
          </cell>
          <cell r="G405" t="str">
            <v>204B</v>
          </cell>
          <cell r="H405" t="str">
            <v>ZIPPO</v>
          </cell>
          <cell r="I405">
            <v>18.18</v>
          </cell>
        </row>
        <row r="406">
          <cell r="A406" t="str">
            <v>19-00405</v>
          </cell>
          <cell r="B406" t="str">
            <v>N/A</v>
          </cell>
          <cell r="C406" t="str">
            <v>D</v>
          </cell>
          <cell r="D406" t="str">
            <v>N/A</v>
          </cell>
          <cell r="E406" t="str">
            <v>205 ZIPPO SATIN CHROME DISCONTINUED</v>
          </cell>
          <cell r="F406" t="str">
            <v>ENCENDEDORES</v>
          </cell>
          <cell r="G406">
            <v>205</v>
          </cell>
          <cell r="H406" t="str">
            <v>ZIPPO</v>
          </cell>
          <cell r="I406">
            <v>12.348000000000001</v>
          </cell>
        </row>
        <row r="407">
          <cell r="A407" t="str">
            <v>19-00406</v>
          </cell>
          <cell r="B407" t="str">
            <v>N/A</v>
          </cell>
          <cell r="C407" t="str">
            <v>D</v>
          </cell>
          <cell r="D407" t="str">
            <v>N/A</v>
          </cell>
          <cell r="E407" t="str">
            <v>207 ZIPPO STREET CHROME DISCONTINUED</v>
          </cell>
          <cell r="F407" t="str">
            <v>ENCENDEDORES</v>
          </cell>
          <cell r="G407">
            <v>207</v>
          </cell>
          <cell r="H407" t="str">
            <v>ZIPPO</v>
          </cell>
          <cell r="I407">
            <v>12.348000000000001</v>
          </cell>
        </row>
        <row r="408">
          <cell r="A408" t="str">
            <v>19-00407</v>
          </cell>
          <cell r="B408" t="str">
            <v>N/A</v>
          </cell>
          <cell r="C408" t="str">
            <v>D</v>
          </cell>
          <cell r="D408" t="str">
            <v>N/A</v>
          </cell>
          <cell r="E408" t="str">
            <v>20836 ZIPPO FINGER ID DISCONTINUED</v>
          </cell>
          <cell r="F408" t="str">
            <v>ENCENDEDORES</v>
          </cell>
          <cell r="G408">
            <v>20836</v>
          </cell>
          <cell r="H408" t="str">
            <v>ZIPPO</v>
          </cell>
          <cell r="I408">
            <v>18.18</v>
          </cell>
        </row>
        <row r="409">
          <cell r="A409" t="str">
            <v>19-00408</v>
          </cell>
          <cell r="B409" t="str">
            <v>N/A</v>
          </cell>
          <cell r="C409" t="str">
            <v>D</v>
          </cell>
          <cell r="D409" t="str">
            <v>N/A</v>
          </cell>
          <cell r="E409" t="str">
            <v>20854 ZIPPO WHERE EAGLES DARE DISCONTINUED</v>
          </cell>
          <cell r="F409" t="str">
            <v>ENCENDEDORES</v>
          </cell>
          <cell r="G409">
            <v>20854</v>
          </cell>
          <cell r="H409" t="str">
            <v>ZIPPO</v>
          </cell>
          <cell r="I409">
            <v>30.184999999999999</v>
          </cell>
        </row>
        <row r="410">
          <cell r="A410" t="str">
            <v>19-00409</v>
          </cell>
          <cell r="B410" t="str">
            <v>N/A</v>
          </cell>
          <cell r="C410" t="str">
            <v>D</v>
          </cell>
          <cell r="D410" t="str">
            <v>N/A</v>
          </cell>
          <cell r="E410" t="str">
            <v>20855 ZIPPO TIMBERWOLVES DISCONTINUED</v>
          </cell>
          <cell r="F410" t="str">
            <v>ENCENDEDORES</v>
          </cell>
          <cell r="G410">
            <v>20855</v>
          </cell>
          <cell r="H410" t="str">
            <v>ZIPPO</v>
          </cell>
          <cell r="I410">
            <v>30.184999999999999</v>
          </cell>
        </row>
        <row r="411">
          <cell r="A411" t="str">
            <v>19-00410</v>
          </cell>
          <cell r="B411" t="str">
            <v>N/A</v>
          </cell>
          <cell r="C411" t="str">
            <v>D</v>
          </cell>
          <cell r="D411" t="str">
            <v>N/A</v>
          </cell>
          <cell r="E411" t="str">
            <v>20969 ZIPPO UNPARALLED TRADITION DISCONTINUED</v>
          </cell>
          <cell r="F411" t="str">
            <v>ENCENDEDORES</v>
          </cell>
          <cell r="G411">
            <v>20969</v>
          </cell>
          <cell r="H411" t="str">
            <v>ZIPPO</v>
          </cell>
          <cell r="I411">
            <v>26.068000000000001</v>
          </cell>
        </row>
        <row r="412">
          <cell r="A412" t="str">
            <v>19-00411</v>
          </cell>
          <cell r="B412" t="str">
            <v>N/A</v>
          </cell>
          <cell r="C412" t="str">
            <v>D</v>
          </cell>
          <cell r="D412" t="str">
            <v>N/A</v>
          </cell>
          <cell r="E412" t="str">
            <v>21032 ZIPPO 4 LEAF CLOVER DISCONTINUED</v>
          </cell>
          <cell r="F412" t="str">
            <v>ENCENDEDORES</v>
          </cell>
          <cell r="G412">
            <v>21032</v>
          </cell>
          <cell r="H412" t="str">
            <v>ZIPPO</v>
          </cell>
          <cell r="I412">
            <v>18.18</v>
          </cell>
        </row>
        <row r="413">
          <cell r="A413" t="str">
            <v>19-00412</v>
          </cell>
          <cell r="B413" t="str">
            <v>N/A</v>
          </cell>
          <cell r="C413" t="str">
            <v>D</v>
          </cell>
          <cell r="D413" t="str">
            <v>N/A</v>
          </cell>
          <cell r="E413" t="str">
            <v>21063 ZIPPO CANDY APPLE RED DISCONTINUED</v>
          </cell>
          <cell r="F413" t="str">
            <v>ENCENDEDORES</v>
          </cell>
          <cell r="G413">
            <v>21063</v>
          </cell>
          <cell r="H413" t="str">
            <v>ZIPPO</v>
          </cell>
          <cell r="I413">
            <v>18.18</v>
          </cell>
        </row>
        <row r="414">
          <cell r="A414" t="str">
            <v>19-00413</v>
          </cell>
          <cell r="B414" t="str">
            <v>N/A</v>
          </cell>
          <cell r="C414" t="str">
            <v>D</v>
          </cell>
          <cell r="D414" t="str">
            <v>N/A</v>
          </cell>
          <cell r="E414" t="str">
            <v>21088 ZIPPO ZIPPED DISCONTINUED</v>
          </cell>
          <cell r="F414" t="str">
            <v>ENCENDEDORES</v>
          </cell>
          <cell r="G414">
            <v>21088</v>
          </cell>
          <cell r="H414" t="str">
            <v>ZIPPO</v>
          </cell>
          <cell r="I414">
            <v>22.295000000000002</v>
          </cell>
        </row>
        <row r="415">
          <cell r="A415" t="str">
            <v>19-00414</v>
          </cell>
          <cell r="B415" t="str">
            <v>N/A</v>
          </cell>
          <cell r="C415" t="str">
            <v>D</v>
          </cell>
          <cell r="D415" t="str">
            <v>N/A</v>
          </cell>
          <cell r="E415" t="str">
            <v>214 ZIPPO REG WHITE MATTE DISCONTINUED</v>
          </cell>
          <cell r="F415" t="str">
            <v>ENCENDEDORES</v>
          </cell>
          <cell r="G415">
            <v>214</v>
          </cell>
          <cell r="H415" t="str">
            <v>ZIPPO</v>
          </cell>
          <cell r="I415">
            <v>15.778</v>
          </cell>
        </row>
        <row r="416">
          <cell r="A416" t="str">
            <v>19-00415</v>
          </cell>
          <cell r="B416" t="str">
            <v>N/A</v>
          </cell>
          <cell r="C416" t="str">
            <v>D</v>
          </cell>
          <cell r="D416" t="str">
            <v>N/A</v>
          </cell>
          <cell r="E416" t="str">
            <v>218 ZIPPO BLACK MATTE DISCONTINUED</v>
          </cell>
          <cell r="F416" t="str">
            <v>ENCENDEDORES</v>
          </cell>
          <cell r="G416">
            <v>218</v>
          </cell>
          <cell r="H416" t="str">
            <v>ZIPPO</v>
          </cell>
          <cell r="I416">
            <v>15.778</v>
          </cell>
        </row>
        <row r="417">
          <cell r="A417" t="str">
            <v>19-00416</v>
          </cell>
          <cell r="B417" t="str">
            <v>N/A</v>
          </cell>
          <cell r="C417" t="str">
            <v>D</v>
          </cell>
          <cell r="D417" t="str">
            <v>N/A</v>
          </cell>
          <cell r="E417" t="str">
            <v>218PL ZIPPO BLACK MATTE PIPELIGHTER DISCONTINUED</v>
          </cell>
          <cell r="F417" t="str">
            <v>ENCENDEDORES</v>
          </cell>
          <cell r="G417" t="str">
            <v>218PL</v>
          </cell>
          <cell r="H417" t="str">
            <v>ZIPPO</v>
          </cell>
          <cell r="I417">
            <v>18.18</v>
          </cell>
        </row>
        <row r="418">
          <cell r="A418" t="str">
            <v>19-00417</v>
          </cell>
          <cell r="B418" t="str">
            <v>N/A</v>
          </cell>
          <cell r="C418" t="str">
            <v>D</v>
          </cell>
          <cell r="D418" t="str">
            <v>N/A</v>
          </cell>
          <cell r="E418" t="str">
            <v>218ZB ZIPPO BLACK MATTE, W/ZIPPO &amp; BORDER DISCONTINUED</v>
          </cell>
          <cell r="F418" t="str">
            <v>ENCENDEDORES</v>
          </cell>
          <cell r="G418" t="str">
            <v>218ZB</v>
          </cell>
          <cell r="H418" t="str">
            <v>ZIPPO</v>
          </cell>
          <cell r="I418">
            <v>18.18</v>
          </cell>
        </row>
        <row r="419">
          <cell r="A419" t="str">
            <v>19-00418</v>
          </cell>
          <cell r="B419" t="str">
            <v>N/A</v>
          </cell>
          <cell r="C419" t="str">
            <v>D</v>
          </cell>
          <cell r="D419" t="str">
            <v>N/A</v>
          </cell>
          <cell r="E419" t="str">
            <v>218ZL ZIPPO BLACK MATTE W/ZIPPO LOGO DISCONTINUED</v>
          </cell>
          <cell r="F419" t="str">
            <v>ENCENDEDORES</v>
          </cell>
          <cell r="G419" t="str">
            <v>218ZL</v>
          </cell>
          <cell r="H419" t="str">
            <v>ZIPPO</v>
          </cell>
          <cell r="I419">
            <v>18.178000000000001</v>
          </cell>
        </row>
        <row r="420">
          <cell r="A420" t="str">
            <v>19-00419</v>
          </cell>
          <cell r="B420" t="str">
            <v>N/A</v>
          </cell>
          <cell r="C420" t="str">
            <v>D</v>
          </cell>
          <cell r="D420" t="str">
            <v>N/A</v>
          </cell>
          <cell r="E420" t="str">
            <v>221 ZIPPO GREEN MATTE* DISCONTINUED</v>
          </cell>
          <cell r="F420" t="str">
            <v>ENCENDEDORES</v>
          </cell>
          <cell r="G420">
            <v>221</v>
          </cell>
          <cell r="H420" t="str">
            <v>ZIPPO</v>
          </cell>
          <cell r="I420">
            <v>15.778</v>
          </cell>
        </row>
        <row r="421">
          <cell r="A421" t="str">
            <v>19-00420</v>
          </cell>
          <cell r="B421" t="str">
            <v>N/A</v>
          </cell>
          <cell r="C421" t="str">
            <v>D</v>
          </cell>
          <cell r="D421" t="str">
            <v>N/A</v>
          </cell>
          <cell r="E421" t="str">
            <v>221ZL ZIPPO GREEN MATTE W/ZIPPO LOGO DISCONTINUED</v>
          </cell>
          <cell r="F421" t="str">
            <v>ENCENDEDORES</v>
          </cell>
          <cell r="G421" t="str">
            <v>221ZL</v>
          </cell>
          <cell r="H421" t="str">
            <v>ZIPPO</v>
          </cell>
          <cell r="I421">
            <v>18.18</v>
          </cell>
        </row>
        <row r="422">
          <cell r="A422" t="str">
            <v>19-00421</v>
          </cell>
          <cell r="B422" t="str">
            <v>N/A</v>
          </cell>
          <cell r="C422" t="str">
            <v>D</v>
          </cell>
          <cell r="D422" t="str">
            <v>N/A</v>
          </cell>
          <cell r="E422" t="str">
            <v>229ZL ZIPPO ROYAL MATTE W/ZIPPO LOGO DISCONTINUED</v>
          </cell>
          <cell r="F422" t="str">
            <v>ENCENDEDORES</v>
          </cell>
          <cell r="G422" t="str">
            <v>229ZL</v>
          </cell>
          <cell r="H422" t="str">
            <v>ZIPPO</v>
          </cell>
          <cell r="I422">
            <v>18.18</v>
          </cell>
        </row>
        <row r="423">
          <cell r="A423" t="str">
            <v>19-00422</v>
          </cell>
          <cell r="B423" t="str">
            <v>N/A</v>
          </cell>
          <cell r="C423" t="str">
            <v>D</v>
          </cell>
          <cell r="D423" t="str">
            <v>N/A</v>
          </cell>
          <cell r="E423" t="str">
            <v>230 ZIPPO VINTAGE BRUSHED CHROME DISCONTINUED</v>
          </cell>
          <cell r="F423" t="str">
            <v>ENCENDEDORES</v>
          </cell>
          <cell r="G423">
            <v>230</v>
          </cell>
          <cell r="H423" t="str">
            <v>ZIPPO</v>
          </cell>
          <cell r="I423">
            <v>15.778</v>
          </cell>
        </row>
        <row r="424">
          <cell r="A424" t="str">
            <v>19-00423</v>
          </cell>
          <cell r="B424" t="str">
            <v>N/A</v>
          </cell>
          <cell r="C424" t="str">
            <v>D</v>
          </cell>
          <cell r="D424" t="str">
            <v>N/A</v>
          </cell>
          <cell r="E424" t="str">
            <v>233 ZIPPO RED MATTE* DISCONTINUED</v>
          </cell>
          <cell r="F424" t="str">
            <v>ENCENDEDORES</v>
          </cell>
          <cell r="G424">
            <v>233</v>
          </cell>
          <cell r="H424" t="str">
            <v>ZIPPO</v>
          </cell>
          <cell r="I424">
            <v>15.778</v>
          </cell>
        </row>
        <row r="425">
          <cell r="A425" t="str">
            <v>19-00424</v>
          </cell>
          <cell r="B425" t="str">
            <v>N/A</v>
          </cell>
          <cell r="C425" t="str">
            <v>D</v>
          </cell>
          <cell r="D425" t="str">
            <v>N/A</v>
          </cell>
          <cell r="E425" t="str">
            <v>233ZL ZIPPO RED MATTE W/ZIPPO LOGO DISCONTINUED</v>
          </cell>
          <cell r="F425" t="str">
            <v>ENCENDEDORES</v>
          </cell>
          <cell r="G425" t="str">
            <v>233ZL</v>
          </cell>
          <cell r="H425" t="str">
            <v>ZIPPO</v>
          </cell>
          <cell r="I425">
            <v>18.18</v>
          </cell>
        </row>
        <row r="426">
          <cell r="A426" t="str">
            <v>19-00425</v>
          </cell>
          <cell r="B426" t="str">
            <v>N/A</v>
          </cell>
          <cell r="C426" t="str">
            <v>D</v>
          </cell>
          <cell r="D426" t="str">
            <v>N/A</v>
          </cell>
          <cell r="E426" t="str">
            <v>236 ZIPPO BLACK CRACKLE DISCONTINUED</v>
          </cell>
          <cell r="F426" t="str">
            <v>ENCENDEDORES</v>
          </cell>
          <cell r="G426">
            <v>236</v>
          </cell>
          <cell r="H426" t="str">
            <v>ZIPPO</v>
          </cell>
          <cell r="I426">
            <v>15.778</v>
          </cell>
        </row>
        <row r="427">
          <cell r="A427" t="str">
            <v>19-00426</v>
          </cell>
          <cell r="B427" t="str">
            <v>N/A</v>
          </cell>
          <cell r="C427" t="str">
            <v>D</v>
          </cell>
          <cell r="D427" t="str">
            <v>N/A</v>
          </cell>
          <cell r="E427" t="str">
            <v>237ZL ZIPPO PURPLE MATTE W/ZIPPO LOGO DISCONTINUED</v>
          </cell>
          <cell r="F427" t="str">
            <v>ENCENDEDORES</v>
          </cell>
          <cell r="G427" t="str">
            <v>237ZL</v>
          </cell>
          <cell r="H427" t="str">
            <v>ZIPPO</v>
          </cell>
          <cell r="I427">
            <v>18.18</v>
          </cell>
        </row>
        <row r="428">
          <cell r="A428" t="str">
            <v>19-00427</v>
          </cell>
          <cell r="B428" t="str">
            <v>N/A</v>
          </cell>
          <cell r="C428" t="str">
            <v>D</v>
          </cell>
          <cell r="D428" t="str">
            <v>N/A</v>
          </cell>
          <cell r="E428" t="str">
            <v>239 ZIPPO NAVY MATTE* DISCONTINUED</v>
          </cell>
          <cell r="F428" t="str">
            <v>ENCENDEDORES</v>
          </cell>
          <cell r="G428">
            <v>239</v>
          </cell>
          <cell r="H428" t="str">
            <v>ZIPPO</v>
          </cell>
          <cell r="I428">
            <v>15.778</v>
          </cell>
        </row>
        <row r="429">
          <cell r="A429" t="str">
            <v>19-00428</v>
          </cell>
          <cell r="B429" t="str">
            <v>N/A</v>
          </cell>
          <cell r="C429" t="str">
            <v>D</v>
          </cell>
          <cell r="D429" t="str">
            <v>N/A</v>
          </cell>
          <cell r="E429" t="str">
            <v>239ZL ZIPPO NAVY MATTE W/ZIPPO LOGO DISCONTINUED</v>
          </cell>
          <cell r="F429" t="str">
            <v>ENCENDEDORES</v>
          </cell>
          <cell r="G429" t="str">
            <v>239ZL</v>
          </cell>
          <cell r="H429" t="str">
            <v>ZIPPO</v>
          </cell>
          <cell r="I429">
            <v>18.18</v>
          </cell>
        </row>
        <row r="430">
          <cell r="A430" t="str">
            <v>19-00429</v>
          </cell>
          <cell r="B430" t="str">
            <v>N/A</v>
          </cell>
          <cell r="C430" t="str">
            <v>D</v>
          </cell>
          <cell r="D430" t="str">
            <v>N/A</v>
          </cell>
          <cell r="E430" t="str">
            <v>24007 ZIPPO A BIT  'O' LUCK DISCONTINUED</v>
          </cell>
          <cell r="F430" t="str">
            <v>ENCENDEDORES</v>
          </cell>
          <cell r="G430">
            <v>24007</v>
          </cell>
          <cell r="H430" t="str">
            <v>ZIPPO</v>
          </cell>
          <cell r="I430">
            <v>18.18</v>
          </cell>
        </row>
        <row r="431">
          <cell r="A431" t="str">
            <v>19-00430</v>
          </cell>
          <cell r="B431" t="str">
            <v>N/A</v>
          </cell>
          <cell r="C431" t="str">
            <v>D</v>
          </cell>
          <cell r="D431" t="str">
            <v>N/A</v>
          </cell>
          <cell r="E431" t="str">
            <v>24011 ZIPPO LUCKY ACE DISCONTINUED</v>
          </cell>
          <cell r="F431" t="str">
            <v>ENCENDEDORES</v>
          </cell>
          <cell r="G431">
            <v>24011</v>
          </cell>
          <cell r="H431" t="str">
            <v>ZIPPO</v>
          </cell>
          <cell r="I431">
            <v>20.58</v>
          </cell>
        </row>
        <row r="432">
          <cell r="A432" t="str">
            <v>19-00431</v>
          </cell>
          <cell r="B432" t="str">
            <v>N/A</v>
          </cell>
          <cell r="C432" t="str">
            <v>D</v>
          </cell>
          <cell r="D432" t="str">
            <v>N/A</v>
          </cell>
          <cell r="E432" t="str">
            <v>24196 ZIPPO ZIPPO ACE DISCONTINUED</v>
          </cell>
          <cell r="F432" t="str">
            <v>ENCENDEDORES</v>
          </cell>
          <cell r="G432">
            <v>24196</v>
          </cell>
          <cell r="H432" t="str">
            <v>ZIPPO</v>
          </cell>
          <cell r="I432">
            <v>24.695</v>
          </cell>
        </row>
        <row r="433">
          <cell r="A433" t="str">
            <v>19-00432</v>
          </cell>
          <cell r="B433" t="str">
            <v>N/A</v>
          </cell>
          <cell r="C433" t="str">
            <v>D</v>
          </cell>
          <cell r="D433" t="str">
            <v>N/A</v>
          </cell>
          <cell r="E433" t="str">
            <v>24335 ZIPPO ZIPPO SCROLL DISCONTINUED</v>
          </cell>
          <cell r="F433" t="str">
            <v>ENCENDEDORES</v>
          </cell>
          <cell r="G433">
            <v>24335</v>
          </cell>
          <cell r="H433" t="str">
            <v>ZIPPO</v>
          </cell>
          <cell r="I433">
            <v>14.063000000000001</v>
          </cell>
        </row>
        <row r="434">
          <cell r="A434" t="str">
            <v>19-00433</v>
          </cell>
          <cell r="B434" t="str">
            <v>N/A</v>
          </cell>
          <cell r="C434" t="str">
            <v>D</v>
          </cell>
          <cell r="D434" t="str">
            <v>N/A</v>
          </cell>
          <cell r="E434" t="str">
            <v>24461 ZIPPO HT-WINDSWEPT Z DISCONTINUED</v>
          </cell>
          <cell r="F434" t="str">
            <v>ENCENDEDORES</v>
          </cell>
          <cell r="G434">
            <v>24461</v>
          </cell>
          <cell r="H434" t="str">
            <v>ZIPPO</v>
          </cell>
          <cell r="I434">
            <v>22.98</v>
          </cell>
        </row>
        <row r="435">
          <cell r="A435" t="str">
            <v>19-00434</v>
          </cell>
          <cell r="B435" t="str">
            <v>N/A</v>
          </cell>
          <cell r="C435" t="str">
            <v>D</v>
          </cell>
          <cell r="D435" t="str">
            <v>N/A</v>
          </cell>
          <cell r="E435" t="str">
            <v>24485 ZIPPO ZIPPO DISCONTINUED</v>
          </cell>
          <cell r="F435" t="str">
            <v>ENCENDEDORES</v>
          </cell>
          <cell r="G435">
            <v>24485</v>
          </cell>
          <cell r="H435" t="str">
            <v>ZIPPO</v>
          </cell>
          <cell r="I435">
            <v>24.695</v>
          </cell>
        </row>
        <row r="436">
          <cell r="A436" t="str">
            <v>19-00435</v>
          </cell>
          <cell r="B436" t="str">
            <v>N/A</v>
          </cell>
          <cell r="C436" t="str">
            <v>D</v>
          </cell>
          <cell r="D436" t="str">
            <v>N/A</v>
          </cell>
          <cell r="E436" t="str">
            <v>24667 ZIPPO BLK CLVR EMBLEM DISCONTINUED</v>
          </cell>
          <cell r="F436" t="str">
            <v>ENCENDEDORES</v>
          </cell>
          <cell r="G436">
            <v>24667</v>
          </cell>
          <cell r="H436" t="str">
            <v>ZIPPO</v>
          </cell>
          <cell r="I436">
            <v>27.097999999999999</v>
          </cell>
        </row>
        <row r="437">
          <cell r="A437" t="str">
            <v>19-00436</v>
          </cell>
          <cell r="B437" t="str">
            <v>N/A</v>
          </cell>
          <cell r="C437" t="str">
            <v>D</v>
          </cell>
          <cell r="D437" t="str">
            <v>N/A</v>
          </cell>
          <cell r="E437" t="str">
            <v>24699 ZIPPO CLVR DISCONTINUED</v>
          </cell>
          <cell r="F437" t="str">
            <v>ENCENDEDORES</v>
          </cell>
          <cell r="G437">
            <v>24699</v>
          </cell>
          <cell r="H437" t="str">
            <v>ZIPPO</v>
          </cell>
          <cell r="I437">
            <v>24.695</v>
          </cell>
        </row>
        <row r="438">
          <cell r="A438" t="str">
            <v>19-00437</v>
          </cell>
          <cell r="B438" t="str">
            <v>N/A</v>
          </cell>
          <cell r="C438" t="str">
            <v>D</v>
          </cell>
          <cell r="D438" t="str">
            <v>N/A</v>
          </cell>
          <cell r="E438" t="str">
            <v>24743 ZIPPO PRNCSS CRWN DISCONTINUED</v>
          </cell>
          <cell r="F438" t="str">
            <v>ENCENDEDORES</v>
          </cell>
          <cell r="G438">
            <v>24743</v>
          </cell>
          <cell r="H438" t="str">
            <v>ZIPPO</v>
          </cell>
          <cell r="I438">
            <v>27.094999999999999</v>
          </cell>
        </row>
        <row r="439">
          <cell r="A439" t="str">
            <v>19-00438</v>
          </cell>
          <cell r="B439" t="str">
            <v>N/A</v>
          </cell>
          <cell r="C439" t="str">
            <v>D</v>
          </cell>
          <cell r="D439" t="str">
            <v>N/A</v>
          </cell>
          <cell r="E439" t="str">
            <v>24745 ZIPPO MAZZI ZIPPO WINDY DISCONTINUED</v>
          </cell>
          <cell r="F439" t="str">
            <v>ENCENDEDORES</v>
          </cell>
          <cell r="G439">
            <v>24745</v>
          </cell>
          <cell r="H439" t="str">
            <v>ZIPPO</v>
          </cell>
          <cell r="I439">
            <v>28.812999999999999</v>
          </cell>
        </row>
        <row r="440">
          <cell r="A440" t="str">
            <v>19-00439</v>
          </cell>
          <cell r="B440" t="str">
            <v>N/A</v>
          </cell>
          <cell r="C440" t="str">
            <v>D</v>
          </cell>
          <cell r="D440" t="str">
            <v>N/A</v>
          </cell>
          <cell r="E440" t="str">
            <v>24747 ZIPPO ABYSS DISCONTINUED</v>
          </cell>
          <cell r="F440" t="str">
            <v>ENCENDEDORES</v>
          </cell>
          <cell r="G440">
            <v>24747</v>
          </cell>
          <cell r="H440" t="str">
            <v>ZIPPO</v>
          </cell>
          <cell r="I440">
            <v>0</v>
          </cell>
        </row>
        <row r="441">
          <cell r="A441" t="str">
            <v>19-00440</v>
          </cell>
          <cell r="B441" t="str">
            <v>N/A</v>
          </cell>
          <cell r="C441" t="str">
            <v>D</v>
          </cell>
          <cell r="D441" t="str">
            <v>N/A</v>
          </cell>
          <cell r="E441" t="str">
            <v>24747ZL ZIPPO ABYSS W/ZIPPO DISCONTINUED</v>
          </cell>
          <cell r="F441" t="str">
            <v>ENCENDEDORES</v>
          </cell>
          <cell r="G441" t="str">
            <v>24747ZL</v>
          </cell>
          <cell r="H441" t="str">
            <v>ZIPPO</v>
          </cell>
          <cell r="I441">
            <v>22.295000000000002</v>
          </cell>
        </row>
        <row r="442">
          <cell r="A442" t="str">
            <v>19-00441</v>
          </cell>
          <cell r="B442" t="str">
            <v>N/A</v>
          </cell>
          <cell r="C442" t="str">
            <v>D</v>
          </cell>
          <cell r="D442" t="str">
            <v>N/A</v>
          </cell>
          <cell r="E442" t="str">
            <v>24751 ZIPPO ZIPPO AMERICAN CLASSIC DISCONTINUED</v>
          </cell>
          <cell r="F442" t="str">
            <v>ENCENDEDORES</v>
          </cell>
          <cell r="G442">
            <v>24751</v>
          </cell>
          <cell r="H442" t="str">
            <v>ZIPPO</v>
          </cell>
          <cell r="I442">
            <v>27.097000000000001</v>
          </cell>
        </row>
        <row r="443">
          <cell r="A443" t="str">
            <v>19-00442</v>
          </cell>
          <cell r="B443" t="str">
            <v>N/A</v>
          </cell>
          <cell r="C443" t="str">
            <v>D</v>
          </cell>
          <cell r="D443" t="str">
            <v>N/A</v>
          </cell>
          <cell r="E443" t="str">
            <v>24756 ZIPPO EBONY DISCONTINUED</v>
          </cell>
          <cell r="F443" t="str">
            <v>ENCENDEDORES</v>
          </cell>
          <cell r="G443">
            <v>24756</v>
          </cell>
          <cell r="H443" t="str">
            <v>ZIPPO</v>
          </cell>
          <cell r="I443">
            <v>0</v>
          </cell>
        </row>
        <row r="444">
          <cell r="A444" t="str">
            <v>19-00443</v>
          </cell>
          <cell r="B444" t="str">
            <v>N/A</v>
          </cell>
          <cell r="C444" t="str">
            <v>D</v>
          </cell>
          <cell r="D444" t="str">
            <v>N/A</v>
          </cell>
          <cell r="E444" t="str">
            <v>24764 ZIPPO MAZZI - FREEDOM WATCH DISCONTINUED</v>
          </cell>
          <cell r="F444" t="str">
            <v>ENCENDEDORES</v>
          </cell>
          <cell r="G444">
            <v>24764</v>
          </cell>
          <cell r="H444" t="str">
            <v>ZIPPO</v>
          </cell>
          <cell r="I444">
            <v>22.295000000000002</v>
          </cell>
        </row>
        <row r="445">
          <cell r="A445" t="str">
            <v>19-00444</v>
          </cell>
          <cell r="B445" t="str">
            <v>N/A</v>
          </cell>
          <cell r="C445" t="str">
            <v>D</v>
          </cell>
          <cell r="D445" t="str">
            <v>N/A</v>
          </cell>
          <cell r="E445" t="str">
            <v>24779 ZIPPO JACK DANIEL'S LABEL DISCONTINUED</v>
          </cell>
          <cell r="F445" t="str">
            <v>ENCENDEDORES</v>
          </cell>
          <cell r="G445">
            <v>24779</v>
          </cell>
          <cell r="H445" t="str">
            <v>ZIPPO</v>
          </cell>
          <cell r="I445">
            <v>22.295000000000002</v>
          </cell>
        </row>
        <row r="446">
          <cell r="A446" t="str">
            <v>19-00445</v>
          </cell>
          <cell r="B446" t="str">
            <v>N/A</v>
          </cell>
          <cell r="C446" t="str">
            <v>D</v>
          </cell>
          <cell r="D446" t="str">
            <v>N/A</v>
          </cell>
          <cell r="E446" t="str">
            <v>24798 ZIPPO I LOVE NY DISCONTINUED</v>
          </cell>
          <cell r="F446" t="str">
            <v>ENCENDEDORES</v>
          </cell>
          <cell r="G446">
            <v>24798</v>
          </cell>
          <cell r="H446" t="str">
            <v>ZIPPO</v>
          </cell>
          <cell r="I446">
            <v>20.58</v>
          </cell>
        </row>
        <row r="447">
          <cell r="A447" t="str">
            <v>19-00446</v>
          </cell>
          <cell r="B447" t="str">
            <v>N/A</v>
          </cell>
          <cell r="C447" t="str">
            <v>D</v>
          </cell>
          <cell r="D447" t="str">
            <v>N/A</v>
          </cell>
          <cell r="E447" t="str">
            <v>24799 ZIPPO I LOVE NY DISCONTINUED</v>
          </cell>
          <cell r="F447" t="str">
            <v>ENCENDEDORES</v>
          </cell>
          <cell r="G447">
            <v>24799</v>
          </cell>
          <cell r="H447" t="str">
            <v>ZIPPO</v>
          </cell>
          <cell r="I447">
            <v>20.58</v>
          </cell>
        </row>
        <row r="448">
          <cell r="A448" t="str">
            <v>19-00447</v>
          </cell>
          <cell r="B448" t="str">
            <v>N/A</v>
          </cell>
          <cell r="C448" t="str">
            <v>D</v>
          </cell>
          <cell r="D448" t="str">
            <v>N/A</v>
          </cell>
          <cell r="E448" t="str">
            <v>24803 ZIPPO ZIPPO FILGREE DISCONTINUED</v>
          </cell>
          <cell r="F448" t="str">
            <v>ENCENDEDORES</v>
          </cell>
          <cell r="G448">
            <v>24803</v>
          </cell>
          <cell r="H448" t="str">
            <v>ZIPPO</v>
          </cell>
          <cell r="I448">
            <v>24.695</v>
          </cell>
        </row>
        <row r="449">
          <cell r="A449" t="str">
            <v>19-00448</v>
          </cell>
          <cell r="B449" t="str">
            <v>N/A</v>
          </cell>
          <cell r="C449" t="str">
            <v>D</v>
          </cell>
          <cell r="D449" t="str">
            <v>N/A</v>
          </cell>
          <cell r="E449" t="str">
            <v>24804 ZIPPO ZIPPO SPIRAL DISCONTINUED</v>
          </cell>
          <cell r="F449" t="str">
            <v>ENCENDEDORES</v>
          </cell>
          <cell r="G449">
            <v>24804</v>
          </cell>
          <cell r="H449" t="str">
            <v>ZIPPO</v>
          </cell>
          <cell r="I449">
            <v>27.097999999999999</v>
          </cell>
        </row>
        <row r="450">
          <cell r="A450" t="str">
            <v>19-00449</v>
          </cell>
          <cell r="B450" t="str">
            <v>N/A</v>
          </cell>
          <cell r="C450" t="str">
            <v>D</v>
          </cell>
          <cell r="D450" t="str">
            <v>N/A</v>
          </cell>
          <cell r="E450" t="str">
            <v>24814 ZIPPO TRIBAL TATTOO DISCONTINUED</v>
          </cell>
          <cell r="F450" t="str">
            <v>ENCENDEDORES</v>
          </cell>
          <cell r="G450">
            <v>24814</v>
          </cell>
          <cell r="H450" t="str">
            <v>ZIPPO</v>
          </cell>
          <cell r="I450">
            <v>27.094999999999999</v>
          </cell>
        </row>
        <row r="451">
          <cell r="A451" t="str">
            <v>19-00450</v>
          </cell>
          <cell r="B451" t="str">
            <v>N/A</v>
          </cell>
          <cell r="C451" t="str">
            <v>D</v>
          </cell>
          <cell r="D451" t="str">
            <v>N/A</v>
          </cell>
          <cell r="E451" t="str">
            <v>24822 ZIPPO STATUE OF LIBERTY DISCONTINUED</v>
          </cell>
          <cell r="F451" t="str">
            <v>ENCENDEDORES</v>
          </cell>
          <cell r="G451">
            <v>24822</v>
          </cell>
          <cell r="H451" t="str">
            <v>ZIPPO</v>
          </cell>
          <cell r="I451">
            <v>22.295000000000002</v>
          </cell>
        </row>
        <row r="452">
          <cell r="A452" t="str">
            <v>19-00451</v>
          </cell>
          <cell r="B452" t="str">
            <v>N/A</v>
          </cell>
          <cell r="C452" t="str">
            <v>D</v>
          </cell>
          <cell r="D452" t="str">
            <v>N/A</v>
          </cell>
          <cell r="E452" t="str">
            <v>24830 ZIPPO ZIPPO BLK/RED CHROME DISCONTINUED</v>
          </cell>
          <cell r="F452" t="str">
            <v>ENCENDEDORES</v>
          </cell>
          <cell r="G452">
            <v>24830</v>
          </cell>
          <cell r="H452" t="str">
            <v>ZIPPO</v>
          </cell>
          <cell r="I452">
            <v>31.9</v>
          </cell>
        </row>
        <row r="453">
          <cell r="A453" t="str">
            <v>19-00452</v>
          </cell>
          <cell r="B453" t="str">
            <v>N/A</v>
          </cell>
          <cell r="C453" t="str">
            <v>D</v>
          </cell>
          <cell r="D453" t="str">
            <v>N/A</v>
          </cell>
          <cell r="E453" t="str">
            <v>24873 ZIPPO LAND OF THE FREE DISCONTINUED</v>
          </cell>
          <cell r="F453" t="str">
            <v>ENCENDEDORES</v>
          </cell>
          <cell r="G453">
            <v>24873</v>
          </cell>
          <cell r="H453" t="str">
            <v>ZIPPO</v>
          </cell>
          <cell r="I453">
            <v>32.585000000000001</v>
          </cell>
        </row>
        <row r="454">
          <cell r="A454" t="str">
            <v>19-00453</v>
          </cell>
          <cell r="B454" t="str">
            <v>N/A</v>
          </cell>
          <cell r="C454" t="str">
            <v>D</v>
          </cell>
          <cell r="D454" t="str">
            <v>N/A</v>
          </cell>
          <cell r="E454" t="str">
            <v>24895 ZIPPO TIE DYE #4 DISCONTINUED</v>
          </cell>
          <cell r="F454" t="str">
            <v>ENCENDEDORES</v>
          </cell>
          <cell r="G454">
            <v>24895</v>
          </cell>
          <cell r="H454" t="str">
            <v>ZIPPO</v>
          </cell>
          <cell r="I454">
            <v>22.295000000000002</v>
          </cell>
        </row>
        <row r="455">
          <cell r="A455" t="str">
            <v>19-00454</v>
          </cell>
          <cell r="B455" t="str">
            <v>N/A</v>
          </cell>
          <cell r="C455" t="str">
            <v>D</v>
          </cell>
          <cell r="D455" t="str">
            <v>N/A</v>
          </cell>
          <cell r="E455" t="str">
            <v>250 ZIPPO HP CHROME DISCONTINUED</v>
          </cell>
          <cell r="F455" t="str">
            <v>ENCENDEDORES</v>
          </cell>
          <cell r="G455">
            <v>250</v>
          </cell>
          <cell r="H455" t="str">
            <v>ZIPPO</v>
          </cell>
          <cell r="I455">
            <v>15.778</v>
          </cell>
        </row>
        <row r="456">
          <cell r="A456" t="str">
            <v>19-00455</v>
          </cell>
          <cell r="B456" t="str">
            <v>N/A</v>
          </cell>
          <cell r="C456" t="str">
            <v>D</v>
          </cell>
          <cell r="D456" t="str">
            <v>N/A</v>
          </cell>
          <cell r="E456" t="str">
            <v>250JB.928 ZIPPO HP CHROME, JIM BEAM PEWTER EMBLEM DISCONTINUED</v>
          </cell>
          <cell r="F456" t="str">
            <v>ENCENDEDORES</v>
          </cell>
          <cell r="G456" t="str">
            <v>250JB.928</v>
          </cell>
          <cell r="H456" t="str">
            <v>ZIPPO</v>
          </cell>
          <cell r="I456">
            <v>0</v>
          </cell>
        </row>
        <row r="457">
          <cell r="A457" t="str">
            <v>19-00456</v>
          </cell>
          <cell r="B457" t="str">
            <v>N/A</v>
          </cell>
          <cell r="C457" t="str">
            <v>D</v>
          </cell>
          <cell r="D457" t="str">
            <v>N/A</v>
          </cell>
          <cell r="E457" t="str">
            <v>250JD.427 ZIPPO HP CHROME, LABEL-PEWTER EMBLEM DISCONTINUED</v>
          </cell>
          <cell r="F457" t="str">
            <v>ENCENDEDORES</v>
          </cell>
          <cell r="G457" t="str">
            <v>250JD.427</v>
          </cell>
          <cell r="H457" t="str">
            <v>ZIPPO</v>
          </cell>
          <cell r="I457">
            <v>28.81</v>
          </cell>
        </row>
        <row r="458">
          <cell r="A458" t="str">
            <v>19-00457</v>
          </cell>
          <cell r="B458" t="str">
            <v>N/A</v>
          </cell>
          <cell r="C458" t="str">
            <v>D</v>
          </cell>
          <cell r="D458" t="str">
            <v>N/A</v>
          </cell>
          <cell r="E458" t="str">
            <v>254B ZIPPO HP BRASS W/O SOLID BRASS ENGRAVED DISCONTINUED</v>
          </cell>
          <cell r="F458" t="str">
            <v>ENCENDEDORES</v>
          </cell>
          <cell r="G458" t="str">
            <v>254B</v>
          </cell>
          <cell r="H458" t="str">
            <v>ZIPPO</v>
          </cell>
          <cell r="I458">
            <v>20.58</v>
          </cell>
        </row>
        <row r="459">
          <cell r="A459" t="str">
            <v>19-00458</v>
          </cell>
          <cell r="B459" t="str">
            <v>N/A</v>
          </cell>
          <cell r="C459" t="str">
            <v>D</v>
          </cell>
          <cell r="D459" t="str">
            <v>N/A</v>
          </cell>
          <cell r="E459" t="str">
            <v>254BJB.929 ZIPPO HP BRASS, JIM BEAM BRASS EMBLEM DISCONTINUED</v>
          </cell>
          <cell r="F459" t="str">
            <v>ENCENDEDORES</v>
          </cell>
          <cell r="G459" t="str">
            <v>254BJB.929</v>
          </cell>
          <cell r="H459" t="str">
            <v>ZIPPO</v>
          </cell>
          <cell r="I459">
            <v>0</v>
          </cell>
        </row>
        <row r="460">
          <cell r="A460" t="str">
            <v>19-00459</v>
          </cell>
          <cell r="B460" t="str">
            <v>N/A</v>
          </cell>
          <cell r="C460" t="str">
            <v>D</v>
          </cell>
          <cell r="D460" t="str">
            <v>N/A</v>
          </cell>
          <cell r="E460" t="str">
            <v>254BJD.428 ZIPPO HP BRASS, LABEL-BRASS EMBLEM DISCONTINUED</v>
          </cell>
          <cell r="F460" t="str">
            <v>ENCENDEDORES</v>
          </cell>
          <cell r="G460" t="str">
            <v>254BJD.428</v>
          </cell>
          <cell r="H460" t="str">
            <v>ZIPPO</v>
          </cell>
          <cell r="I460">
            <v>31.215</v>
          </cell>
        </row>
        <row r="461">
          <cell r="A461" t="str">
            <v>19-00460</v>
          </cell>
          <cell r="B461" t="str">
            <v>N/A</v>
          </cell>
          <cell r="C461" t="str">
            <v>D</v>
          </cell>
          <cell r="D461" t="str">
            <v>N/A</v>
          </cell>
          <cell r="E461" t="str">
            <v>260 ZIPPO VINTAGE HP CHROME DISCONTINUED</v>
          </cell>
          <cell r="F461" t="str">
            <v>ENCENDEDORES</v>
          </cell>
          <cell r="G461">
            <v>260</v>
          </cell>
          <cell r="H461" t="str">
            <v>ZIPPO</v>
          </cell>
          <cell r="I461">
            <v>18.18</v>
          </cell>
        </row>
        <row r="462">
          <cell r="A462" t="str">
            <v>19-00461</v>
          </cell>
          <cell r="B462" t="str">
            <v>N/A</v>
          </cell>
          <cell r="C462" t="str">
            <v>D</v>
          </cell>
          <cell r="D462" t="str">
            <v>N/A</v>
          </cell>
          <cell r="E462" t="str">
            <v>28030 ZIPPO BS STAR DISCONTINUED</v>
          </cell>
          <cell r="F462" t="str">
            <v>ENCENDEDORES</v>
          </cell>
          <cell r="G462">
            <v>28030</v>
          </cell>
          <cell r="H462" t="str">
            <v>ZIPPO</v>
          </cell>
          <cell r="I462">
            <v>20.58</v>
          </cell>
        </row>
        <row r="463">
          <cell r="A463" t="str">
            <v>19-00462</v>
          </cell>
          <cell r="B463" t="str">
            <v>N/A</v>
          </cell>
          <cell r="C463" t="str">
            <v>D</v>
          </cell>
          <cell r="D463" t="str">
            <v>N/A</v>
          </cell>
          <cell r="E463" t="str">
            <v>28043 ZIPPO HEART DISCONTINUED</v>
          </cell>
          <cell r="F463" t="str">
            <v>ENCENDEDORES</v>
          </cell>
          <cell r="G463">
            <v>28043</v>
          </cell>
          <cell r="H463" t="str">
            <v>ZIPPO</v>
          </cell>
          <cell r="I463">
            <v>22.295000000000002</v>
          </cell>
        </row>
        <row r="464">
          <cell r="A464" t="str">
            <v>19-00463</v>
          </cell>
          <cell r="B464" t="str">
            <v>N/A</v>
          </cell>
          <cell r="C464" t="str">
            <v>D</v>
          </cell>
          <cell r="D464" t="str">
            <v>N/A</v>
          </cell>
          <cell r="E464" t="str">
            <v>28045 ZIPPO TIE DIE #3 DISCONTINUED</v>
          </cell>
          <cell r="F464" t="str">
            <v>ENCENDEDORES</v>
          </cell>
          <cell r="G464">
            <v>28045</v>
          </cell>
          <cell r="H464" t="str">
            <v>ZIPPO</v>
          </cell>
          <cell r="I464">
            <v>20.58</v>
          </cell>
        </row>
        <row r="465">
          <cell r="A465" t="str">
            <v>19-00464</v>
          </cell>
          <cell r="B465" t="str">
            <v>N/A</v>
          </cell>
          <cell r="C465" t="str">
            <v>D</v>
          </cell>
          <cell r="D465" t="str">
            <v>N/A</v>
          </cell>
          <cell r="E465" t="str">
            <v>28052 ZIPPO HIDDEN DISCONTINUED</v>
          </cell>
          <cell r="F465" t="str">
            <v>ENCENDEDORES</v>
          </cell>
          <cell r="G465">
            <v>28052</v>
          </cell>
          <cell r="H465" t="str">
            <v>ZIPPO</v>
          </cell>
          <cell r="I465">
            <v>22.98</v>
          </cell>
        </row>
        <row r="466">
          <cell r="A466" t="str">
            <v>19-00465</v>
          </cell>
          <cell r="B466" t="str">
            <v>N/A</v>
          </cell>
          <cell r="C466" t="str">
            <v>D</v>
          </cell>
          <cell r="D466" t="str">
            <v>N/A</v>
          </cell>
          <cell r="E466" t="str">
            <v>28053 ZIPPO HIDDEN DISCONTINUED</v>
          </cell>
          <cell r="F466" t="str">
            <v>ENCENDEDORES</v>
          </cell>
          <cell r="G466">
            <v>28053</v>
          </cell>
          <cell r="H466" t="str">
            <v>ZIPPO</v>
          </cell>
          <cell r="I466">
            <v>22.98</v>
          </cell>
        </row>
        <row r="467">
          <cell r="A467" t="str">
            <v>19-00466</v>
          </cell>
          <cell r="B467" t="str">
            <v>N/A</v>
          </cell>
          <cell r="C467" t="str">
            <v>D</v>
          </cell>
          <cell r="D467" t="str">
            <v>N/A</v>
          </cell>
          <cell r="E467" t="str">
            <v>28057 ZIPPO FUNKY FLOWERS DISCONTINUED</v>
          </cell>
          <cell r="F467" t="str">
            <v>ENCENDEDORES</v>
          </cell>
          <cell r="G467">
            <v>28057</v>
          </cell>
          <cell r="H467" t="str">
            <v>ZIPPO</v>
          </cell>
          <cell r="I467">
            <v>22.98</v>
          </cell>
        </row>
        <row r="468">
          <cell r="A468" t="str">
            <v>19-00467</v>
          </cell>
          <cell r="B468" t="str">
            <v>N/A</v>
          </cell>
          <cell r="C468" t="str">
            <v>D</v>
          </cell>
          <cell r="D468" t="str">
            <v>N/A</v>
          </cell>
          <cell r="E468" t="str">
            <v>28058 ZIPPO ZIPPO GALAXY DISCONTINUED</v>
          </cell>
          <cell r="F468" t="str">
            <v>ENCENDEDORES</v>
          </cell>
          <cell r="G468">
            <v>28058</v>
          </cell>
          <cell r="H468" t="str">
            <v>ZIPPO</v>
          </cell>
          <cell r="I468">
            <v>22.98</v>
          </cell>
        </row>
        <row r="469">
          <cell r="A469" t="str">
            <v>19-00468</v>
          </cell>
          <cell r="B469" t="str">
            <v>N/A</v>
          </cell>
          <cell r="C469" t="str">
            <v>D</v>
          </cell>
          <cell r="D469" t="str">
            <v>N/A</v>
          </cell>
          <cell r="E469" t="str">
            <v>28073 ZIPPO ELVIS BLUE DISCONTINUED</v>
          </cell>
          <cell r="F469" t="str">
            <v>ENCENDEDORES</v>
          </cell>
          <cell r="G469">
            <v>28073</v>
          </cell>
          <cell r="H469" t="str">
            <v>ZIPPO</v>
          </cell>
          <cell r="I469">
            <v>27.097999999999999</v>
          </cell>
        </row>
        <row r="470">
          <cell r="A470" t="str">
            <v>19-00469</v>
          </cell>
          <cell r="B470" t="str">
            <v>N/A</v>
          </cell>
          <cell r="C470" t="str">
            <v>D</v>
          </cell>
          <cell r="D470" t="str">
            <v>N/A</v>
          </cell>
          <cell r="E470" t="str">
            <v>28074 ZIPPO ELVIS ALFRED WERTHEIMER DISCONTINUED</v>
          </cell>
          <cell r="F470" t="str">
            <v>ENCENDEDORES</v>
          </cell>
          <cell r="G470">
            <v>28074</v>
          </cell>
          <cell r="H470" t="str">
            <v>ZIPPO</v>
          </cell>
          <cell r="I470">
            <v>27.097999999999999</v>
          </cell>
        </row>
        <row r="471">
          <cell r="A471" t="str">
            <v>19-00470</v>
          </cell>
          <cell r="B471" t="str">
            <v>N/A</v>
          </cell>
          <cell r="C471" t="str">
            <v>D</v>
          </cell>
          <cell r="D471" t="str">
            <v>N/A</v>
          </cell>
          <cell r="E471" t="str">
            <v>280ARM ZIPPO BRUSHED CHROME, ARMY DISCONTINUED</v>
          </cell>
          <cell r="F471" t="str">
            <v>ENCENDEDORES</v>
          </cell>
          <cell r="G471" t="str">
            <v>280ARM</v>
          </cell>
          <cell r="H471" t="str">
            <v>ZIPPO</v>
          </cell>
          <cell r="I471">
            <v>18.18</v>
          </cell>
        </row>
        <row r="472">
          <cell r="A472" t="str">
            <v>19-00471</v>
          </cell>
          <cell r="B472" t="str">
            <v>N/A</v>
          </cell>
          <cell r="C472" t="str">
            <v>D</v>
          </cell>
          <cell r="D472" t="str">
            <v>N/A</v>
          </cell>
          <cell r="E472" t="str">
            <v>280MAR ZIPPO BRUSHED CHROME, MARINES DISCONTINUED</v>
          </cell>
          <cell r="F472" t="str">
            <v>ENCENDEDORES</v>
          </cell>
          <cell r="G472" t="str">
            <v>280MAR</v>
          </cell>
          <cell r="H472" t="str">
            <v>ZIPPO</v>
          </cell>
          <cell r="I472">
            <v>18.18</v>
          </cell>
        </row>
        <row r="473">
          <cell r="A473" t="str">
            <v>19-00472</v>
          </cell>
          <cell r="B473" t="str">
            <v>N/A</v>
          </cell>
          <cell r="C473" t="str">
            <v>D</v>
          </cell>
          <cell r="D473" t="str">
            <v>N/A</v>
          </cell>
          <cell r="E473" t="str">
            <v>350 ZIPPO HP CHROME, ENGINE TURNED DISCONTINUED</v>
          </cell>
          <cell r="F473" t="str">
            <v>ENCENDEDORES</v>
          </cell>
          <cell r="G473">
            <v>350</v>
          </cell>
          <cell r="H473" t="str">
            <v>ZIPPO</v>
          </cell>
          <cell r="I473">
            <v>18.18</v>
          </cell>
        </row>
        <row r="474">
          <cell r="A474" t="str">
            <v>19-00473</v>
          </cell>
          <cell r="B474" t="str">
            <v>N/A</v>
          </cell>
          <cell r="C474" t="str">
            <v>D</v>
          </cell>
          <cell r="D474" t="str">
            <v>N/A</v>
          </cell>
          <cell r="E474" t="str">
            <v>352 ZIPPO HP CHROME, VENETIAN DISCONTINUED</v>
          </cell>
          <cell r="F474" t="str">
            <v>ENCENDEDORES</v>
          </cell>
          <cell r="G474">
            <v>352</v>
          </cell>
          <cell r="H474" t="str">
            <v>ZIPPO</v>
          </cell>
          <cell r="I474">
            <v>24.695</v>
          </cell>
        </row>
        <row r="475">
          <cell r="A475" t="str">
            <v>19-00474</v>
          </cell>
          <cell r="B475" t="str">
            <v>N/A</v>
          </cell>
          <cell r="C475" t="str">
            <v>D</v>
          </cell>
          <cell r="D475" t="str">
            <v>N/A</v>
          </cell>
          <cell r="E475" t="str">
            <v>352B ZIPPO HP BRASS, VENETIAN DISCONTINUED</v>
          </cell>
          <cell r="F475" t="str">
            <v>ENCENDEDORES</v>
          </cell>
          <cell r="G475" t="str">
            <v>352B</v>
          </cell>
          <cell r="H475" t="str">
            <v>ZIPPO</v>
          </cell>
          <cell r="I475">
            <v>28.812999999999999</v>
          </cell>
        </row>
        <row r="476">
          <cell r="A476" t="str">
            <v>19-00475</v>
          </cell>
          <cell r="B476" t="str">
            <v>N/A</v>
          </cell>
          <cell r="C476" t="str">
            <v>D</v>
          </cell>
          <cell r="D476" t="str">
            <v>N/A</v>
          </cell>
          <cell r="E476" t="str">
            <v>355 ZIPPO HP CHROME, ULTRALITE, BLACK DISCONTINUED</v>
          </cell>
          <cell r="F476" t="str">
            <v>ENCENDEDORES</v>
          </cell>
          <cell r="G476">
            <v>355</v>
          </cell>
          <cell r="H476" t="str">
            <v>ZIPPO</v>
          </cell>
          <cell r="I476">
            <v>18.18</v>
          </cell>
        </row>
        <row r="477">
          <cell r="A477" t="str">
            <v>19-00476</v>
          </cell>
          <cell r="B477" t="str">
            <v>N/A</v>
          </cell>
          <cell r="C477" t="str">
            <v>D</v>
          </cell>
          <cell r="D477" t="str">
            <v>N/A</v>
          </cell>
          <cell r="E477" t="str">
            <v>362 ZIPPO BLACK CRACKLE, ZIPPO BRASS EMBLEM DISCONTINUED</v>
          </cell>
          <cell r="F477" t="str">
            <v>ENCENDEDORES</v>
          </cell>
          <cell r="G477">
            <v>362</v>
          </cell>
          <cell r="H477" t="str">
            <v>ZIPPO</v>
          </cell>
          <cell r="I477">
            <v>22.295000000000002</v>
          </cell>
        </row>
        <row r="478">
          <cell r="A478" t="str">
            <v>19-00477</v>
          </cell>
          <cell r="B478" t="str">
            <v>N/A</v>
          </cell>
          <cell r="C478" t="str">
            <v>D</v>
          </cell>
          <cell r="D478" t="str">
            <v>N/A</v>
          </cell>
          <cell r="E478" t="str">
            <v>363 ZIPPO BLACK CRACKLE, ZIPPO PEWTER EMBLEM DISCONTINUED</v>
          </cell>
          <cell r="F478" t="str">
            <v>ENCENDEDORES</v>
          </cell>
          <cell r="G478">
            <v>363</v>
          </cell>
          <cell r="H478" t="str">
            <v>ZIPPO</v>
          </cell>
          <cell r="I478">
            <v>22.295000000000002</v>
          </cell>
        </row>
        <row r="479">
          <cell r="A479" t="str">
            <v>19-00478</v>
          </cell>
          <cell r="B479" t="str">
            <v>N/A</v>
          </cell>
          <cell r="C479" t="str">
            <v>D</v>
          </cell>
          <cell r="D479" t="str">
            <v>N/A</v>
          </cell>
          <cell r="E479" t="str">
            <v>769 ZIPPO BLACK ICE, WOLF DISCONTINUED</v>
          </cell>
          <cell r="F479" t="str">
            <v>ENCENDEDORES</v>
          </cell>
          <cell r="G479">
            <v>769</v>
          </cell>
          <cell r="H479" t="str">
            <v>ZIPPO</v>
          </cell>
          <cell r="I479">
            <v>30.183</v>
          </cell>
        </row>
        <row r="480">
          <cell r="A480" t="str">
            <v>19-00479</v>
          </cell>
          <cell r="B480" t="str">
            <v>N/A</v>
          </cell>
          <cell r="C480" t="str">
            <v>D</v>
          </cell>
          <cell r="D480" t="str">
            <v>N/A</v>
          </cell>
          <cell r="E480" t="str">
            <v>H028 ZIPPO O-FLAME DISCONTINUED</v>
          </cell>
          <cell r="F480" t="str">
            <v>GORRA</v>
          </cell>
          <cell r="G480" t="str">
            <v>H028</v>
          </cell>
          <cell r="H480" t="str">
            <v>ZIPPO</v>
          </cell>
          <cell r="I480">
            <v>11.25</v>
          </cell>
        </row>
        <row r="481">
          <cell r="A481" t="str">
            <v>19-00480</v>
          </cell>
          <cell r="B481" t="str">
            <v>N/A</v>
          </cell>
          <cell r="C481" t="str">
            <v>D</v>
          </cell>
          <cell r="D481" t="str">
            <v>N/A</v>
          </cell>
          <cell r="E481" t="str">
            <v>H022 ZIPPO SMALL RUBBER CORPO DISCONTINUED</v>
          </cell>
          <cell r="F481" t="str">
            <v>GORRA</v>
          </cell>
          <cell r="G481" t="str">
            <v>H022</v>
          </cell>
          <cell r="H481" t="str">
            <v>ZIPPO</v>
          </cell>
          <cell r="I481">
            <v>11.25</v>
          </cell>
        </row>
        <row r="482">
          <cell r="A482" t="str">
            <v>19-00481</v>
          </cell>
          <cell r="B482" t="str">
            <v>N/A</v>
          </cell>
          <cell r="C482" t="str">
            <v>D</v>
          </cell>
          <cell r="D482" t="str">
            <v>N/A</v>
          </cell>
          <cell r="E482" t="str">
            <v>H020 ZIPPO MLZ CAP DISCONTINUED</v>
          </cell>
          <cell r="F482" t="str">
            <v>GORRA</v>
          </cell>
          <cell r="G482" t="str">
            <v>H020</v>
          </cell>
          <cell r="H482" t="str">
            <v>ZIPPO</v>
          </cell>
          <cell r="I482">
            <v>11.25</v>
          </cell>
        </row>
        <row r="483">
          <cell r="A483" t="str">
            <v>19-00482</v>
          </cell>
          <cell r="B483" t="str">
            <v>N/A</v>
          </cell>
          <cell r="C483" t="str">
            <v>D</v>
          </cell>
          <cell r="D483" t="str">
            <v>N/A</v>
          </cell>
          <cell r="E483" t="str">
            <v>H023 ZIPPO FLEX 7 CAP DISCONTINUED</v>
          </cell>
          <cell r="F483" t="str">
            <v>GORRA</v>
          </cell>
          <cell r="G483" t="str">
            <v>H023</v>
          </cell>
          <cell r="H483" t="str">
            <v>ZIPPO</v>
          </cell>
          <cell r="I483">
            <v>11.25</v>
          </cell>
        </row>
        <row r="484">
          <cell r="A484" t="str">
            <v>19-00483</v>
          </cell>
          <cell r="B484" t="str">
            <v>N/A</v>
          </cell>
          <cell r="C484" t="str">
            <v>D</v>
          </cell>
          <cell r="D484" t="str">
            <v>N/A</v>
          </cell>
          <cell r="E484" t="str">
            <v>H025 ZIPPO 3D TRUCKER DISCONTINUED</v>
          </cell>
          <cell r="F484" t="str">
            <v>GORRA</v>
          </cell>
          <cell r="G484" t="str">
            <v>H025</v>
          </cell>
          <cell r="H484" t="str">
            <v>ZIPPO</v>
          </cell>
          <cell r="I484">
            <v>11.25</v>
          </cell>
        </row>
        <row r="485">
          <cell r="A485" t="str">
            <v>19-00484</v>
          </cell>
          <cell r="B485" t="str">
            <v>N/A</v>
          </cell>
          <cell r="C485" t="str">
            <v>D</v>
          </cell>
          <cell r="D485" t="str">
            <v>N/A</v>
          </cell>
          <cell r="E485" t="str">
            <v>H041 ZIPPO SCRIBBLER TRUCKER DISCONTINUED</v>
          </cell>
          <cell r="F485" t="str">
            <v>GORRA</v>
          </cell>
          <cell r="G485" t="str">
            <v>H041</v>
          </cell>
          <cell r="H485" t="str">
            <v>ZIPPO</v>
          </cell>
          <cell r="I485">
            <v>11.25</v>
          </cell>
        </row>
        <row r="486">
          <cell r="A486" t="str">
            <v>19-00485</v>
          </cell>
          <cell r="B486" t="str">
            <v>N/A</v>
          </cell>
          <cell r="C486" t="str">
            <v>D</v>
          </cell>
          <cell r="D486" t="str">
            <v>N/A</v>
          </cell>
          <cell r="E486" t="str">
            <v>H031 ZIPPO BIG CORPO DISCONTINUED</v>
          </cell>
          <cell r="F486" t="str">
            <v>GORRA</v>
          </cell>
          <cell r="G486" t="str">
            <v>H031</v>
          </cell>
          <cell r="H486" t="str">
            <v>ZIPPO</v>
          </cell>
          <cell r="I486">
            <v>11.25</v>
          </cell>
        </row>
        <row r="487">
          <cell r="A487" t="str">
            <v>19-00486</v>
          </cell>
          <cell r="B487" t="str">
            <v>N/A</v>
          </cell>
          <cell r="C487" t="str">
            <v>D</v>
          </cell>
          <cell r="D487" t="str">
            <v>N/A</v>
          </cell>
          <cell r="E487" t="str">
            <v>H039 ZIPPO BLING TRUCKER DISCONTINUED</v>
          </cell>
          <cell r="F487" t="str">
            <v>GORRA</v>
          </cell>
          <cell r="G487" t="str">
            <v>H039</v>
          </cell>
          <cell r="H487" t="str">
            <v>ZIPPO</v>
          </cell>
          <cell r="I487">
            <v>11.8</v>
          </cell>
        </row>
        <row r="488">
          <cell r="A488" t="str">
            <v>19-00487</v>
          </cell>
          <cell r="B488" t="str">
            <v>N/A</v>
          </cell>
          <cell r="C488" t="str">
            <v>D</v>
          </cell>
          <cell r="D488" t="str">
            <v>N/A</v>
          </cell>
          <cell r="E488" t="str">
            <v>H042 ZIPPO PROMO TRUCKER CAP DISCONTINUED</v>
          </cell>
          <cell r="F488" t="str">
            <v>GORRA</v>
          </cell>
          <cell r="G488" t="str">
            <v>H042</v>
          </cell>
          <cell r="H488" t="str">
            <v>ZIPPO</v>
          </cell>
          <cell r="I488">
            <v>11.25</v>
          </cell>
        </row>
        <row r="489">
          <cell r="A489" t="str">
            <v>19-00488</v>
          </cell>
          <cell r="B489" t="str">
            <v>N/A</v>
          </cell>
          <cell r="C489" t="str">
            <v>D</v>
          </cell>
          <cell r="D489" t="str">
            <v>N/A</v>
          </cell>
          <cell r="E489" t="str">
            <v>H032 ZIPPO FLAG TRUCKER CAP DISCONTINUED</v>
          </cell>
          <cell r="F489" t="str">
            <v>GORRA</v>
          </cell>
          <cell r="G489" t="str">
            <v>H032</v>
          </cell>
          <cell r="H489" t="str">
            <v>ZIPPO</v>
          </cell>
          <cell r="I489">
            <v>11.25</v>
          </cell>
        </row>
        <row r="490">
          <cell r="A490" t="str">
            <v>19-00489</v>
          </cell>
          <cell r="B490" t="str">
            <v>N/A</v>
          </cell>
          <cell r="C490" t="str">
            <v>D</v>
          </cell>
          <cell r="D490" t="str">
            <v>N/A</v>
          </cell>
          <cell r="E490" t="str">
            <v>H002 ZIPPO FEDORA SOLID DISCONTINUED</v>
          </cell>
          <cell r="F490" t="str">
            <v>SOMBRERO</v>
          </cell>
          <cell r="G490" t="str">
            <v>H002</v>
          </cell>
          <cell r="H490" t="str">
            <v>ZIPPO</v>
          </cell>
          <cell r="I490">
            <v>0</v>
          </cell>
        </row>
        <row r="491">
          <cell r="A491" t="str">
            <v>19-00490</v>
          </cell>
          <cell r="B491" t="str">
            <v>N/A</v>
          </cell>
          <cell r="C491" t="str">
            <v>D</v>
          </cell>
          <cell r="D491" t="str">
            <v>N/A</v>
          </cell>
          <cell r="E491" t="str">
            <v>H005 ZIPPO FEDORA STRAW DISCONTINUED</v>
          </cell>
          <cell r="F491" t="str">
            <v>SOMBRERO</v>
          </cell>
          <cell r="G491" t="str">
            <v>H005</v>
          </cell>
          <cell r="H491" t="str">
            <v>ZIPPO</v>
          </cell>
          <cell r="I491">
            <v>0</v>
          </cell>
        </row>
        <row r="492">
          <cell r="A492" t="str">
            <v>19-00491</v>
          </cell>
          <cell r="B492" t="str">
            <v>N/A</v>
          </cell>
          <cell r="C492" t="str">
            <v>D</v>
          </cell>
          <cell r="D492" t="str">
            <v>N/A</v>
          </cell>
          <cell r="E492" t="str">
            <v>H013 ZIPPO CORP EMBROIDERED FLAME BEANIE DISCONTINUED</v>
          </cell>
          <cell r="F492" t="str">
            <v>GORRA</v>
          </cell>
          <cell r="G492" t="str">
            <v>H013</v>
          </cell>
          <cell r="H492" t="str">
            <v>ZIPPO</v>
          </cell>
          <cell r="I492">
            <v>9.75</v>
          </cell>
        </row>
        <row r="493">
          <cell r="A493" t="str">
            <v>19-00492</v>
          </cell>
          <cell r="B493" t="str">
            <v>N/A</v>
          </cell>
          <cell r="C493" t="str">
            <v>D</v>
          </cell>
          <cell r="D493" t="str">
            <v>N/A</v>
          </cell>
          <cell r="E493" t="str">
            <v>H006 ZIPPO MILITARY TRENCH HAT DISCONTINUED</v>
          </cell>
          <cell r="F493" t="str">
            <v>GORRA</v>
          </cell>
          <cell r="G493" t="str">
            <v>H006</v>
          </cell>
          <cell r="H493" t="str">
            <v>ZIPPO</v>
          </cell>
          <cell r="I493">
            <v>0</v>
          </cell>
        </row>
        <row r="494">
          <cell r="A494" t="str">
            <v>19-00493</v>
          </cell>
          <cell r="B494" t="str">
            <v>N/A</v>
          </cell>
          <cell r="C494" t="str">
            <v>D</v>
          </cell>
          <cell r="D494" t="str">
            <v>N/A</v>
          </cell>
          <cell r="E494" t="str">
            <v>H007 ZIPPO MILITARY CROSSFIRE DISCONTINUED</v>
          </cell>
          <cell r="F494" t="str">
            <v>GORRA</v>
          </cell>
          <cell r="G494" t="str">
            <v>H007</v>
          </cell>
          <cell r="H494" t="str">
            <v>ZIPPO</v>
          </cell>
          <cell r="I494">
            <v>0</v>
          </cell>
        </row>
        <row r="495">
          <cell r="A495" t="str">
            <v>19-00494</v>
          </cell>
          <cell r="B495" t="str">
            <v>N/A</v>
          </cell>
          <cell r="C495" t="str">
            <v>D</v>
          </cell>
          <cell r="D495" t="str">
            <v>N/A</v>
          </cell>
          <cell r="E495" t="str">
            <v>H010 ZIPPO HOLE IN ONE DRIVER HAT DISCONTINUED</v>
          </cell>
          <cell r="F495" t="str">
            <v>SOMBRERO</v>
          </cell>
          <cell r="G495" t="str">
            <v>H010</v>
          </cell>
          <cell r="H495" t="str">
            <v>ZIPPO</v>
          </cell>
          <cell r="I495">
            <v>0</v>
          </cell>
        </row>
        <row r="496">
          <cell r="A496" t="str">
            <v>19-00495</v>
          </cell>
          <cell r="B496" t="str">
            <v>N/A</v>
          </cell>
          <cell r="C496" t="str">
            <v>D</v>
          </cell>
          <cell r="D496" t="str">
            <v>N/A</v>
          </cell>
          <cell r="E496" t="str">
            <v>BK001 ZIPPO ARMY BUCKLE DISCONTINUED</v>
          </cell>
          <cell r="F496" t="str">
            <v>CORREAS</v>
          </cell>
          <cell r="G496" t="str">
            <v>BK001</v>
          </cell>
          <cell r="H496" t="str">
            <v>ZIPPO</v>
          </cell>
          <cell r="I496">
            <v>11.25</v>
          </cell>
        </row>
        <row r="497">
          <cell r="A497" t="str">
            <v>19-00496</v>
          </cell>
          <cell r="B497" t="str">
            <v>N/A</v>
          </cell>
          <cell r="C497" t="str">
            <v>D</v>
          </cell>
          <cell r="D497" t="str">
            <v>N/A</v>
          </cell>
          <cell r="E497" t="str">
            <v>BK004 ZIPPO FLAME BOX BUCKLE DISCONTINUED</v>
          </cell>
          <cell r="F497" t="str">
            <v>CORREAS</v>
          </cell>
          <cell r="G497" t="str">
            <v>BK004</v>
          </cell>
          <cell r="H497" t="str">
            <v>ZIPPO</v>
          </cell>
          <cell r="I497">
            <v>26.704999999999998</v>
          </cell>
        </row>
        <row r="498">
          <cell r="A498" t="str">
            <v>19-00497</v>
          </cell>
          <cell r="B498" t="str">
            <v>N/A</v>
          </cell>
          <cell r="C498" t="str">
            <v>D</v>
          </cell>
          <cell r="D498" t="str">
            <v>N/A</v>
          </cell>
          <cell r="E498" t="str">
            <v>BK009 ZIPPO FLAME BOX BUCKLE WHITE DISCONTINUED</v>
          </cell>
          <cell r="F498" t="str">
            <v>CORREAS</v>
          </cell>
          <cell r="G498" t="str">
            <v>BK009</v>
          </cell>
          <cell r="H498" t="str">
            <v>ZIPPO</v>
          </cell>
          <cell r="I498">
            <v>26.704999999999998</v>
          </cell>
        </row>
        <row r="499">
          <cell r="A499" t="str">
            <v>19-00498</v>
          </cell>
          <cell r="B499" t="str">
            <v>N/A</v>
          </cell>
          <cell r="C499" t="str">
            <v>D</v>
          </cell>
          <cell r="D499" t="str">
            <v>N/A</v>
          </cell>
          <cell r="E499" t="str">
            <v>BK006 ZIPPO O-FLAME BUCKLE WHITE DISCONTINUED</v>
          </cell>
          <cell r="F499" t="str">
            <v>CORREAS</v>
          </cell>
          <cell r="G499" t="str">
            <v>BK006</v>
          </cell>
          <cell r="H499" t="str">
            <v>ZIPPO</v>
          </cell>
          <cell r="I499">
            <v>26.704999999999998</v>
          </cell>
        </row>
        <row r="500">
          <cell r="A500" t="str">
            <v>19-00499</v>
          </cell>
          <cell r="B500" t="str">
            <v>N/A</v>
          </cell>
          <cell r="C500" t="str">
            <v>D</v>
          </cell>
          <cell r="D500" t="str">
            <v>N/A</v>
          </cell>
          <cell r="E500" t="str">
            <v>BK011 ZIPPO BRAXX TAX BUCKLE DISCONTINUED</v>
          </cell>
          <cell r="F500" t="str">
            <v>CORREAS</v>
          </cell>
          <cell r="G500" t="str">
            <v>BK011</v>
          </cell>
          <cell r="H500" t="str">
            <v>ZIPPO</v>
          </cell>
          <cell r="I500">
            <v>0</v>
          </cell>
        </row>
        <row r="501">
          <cell r="A501" t="str">
            <v>19-00500</v>
          </cell>
          <cell r="B501" t="str">
            <v>N/A</v>
          </cell>
          <cell r="C501" t="str">
            <v>D</v>
          </cell>
          <cell r="D501" t="str">
            <v>N/A</v>
          </cell>
          <cell r="E501" t="str">
            <v>BK008 ZIPPO CORPO BUCKLE DISCONTINUED</v>
          </cell>
          <cell r="F501" t="str">
            <v>CORREAS</v>
          </cell>
          <cell r="G501" t="str">
            <v>BK008</v>
          </cell>
          <cell r="H501" t="str">
            <v>ZIPPO</v>
          </cell>
          <cell r="I501">
            <v>22.785</v>
          </cell>
        </row>
        <row r="502">
          <cell r="A502" t="str">
            <v>19-00501</v>
          </cell>
          <cell r="B502" t="str">
            <v>N/A</v>
          </cell>
          <cell r="C502" t="str">
            <v>D</v>
          </cell>
          <cell r="D502" t="str">
            <v>N/A</v>
          </cell>
          <cell r="E502" t="str">
            <v>BK010 ZIPPO PRINTED O FLAME BELT DISCONTINUED</v>
          </cell>
          <cell r="F502" t="str">
            <v>CORREAS</v>
          </cell>
          <cell r="G502" t="str">
            <v>BK010</v>
          </cell>
          <cell r="H502" t="str">
            <v>ZIPPO</v>
          </cell>
          <cell r="I502">
            <v>14.5</v>
          </cell>
        </row>
        <row r="503">
          <cell r="A503" t="str">
            <v>19-00502</v>
          </cell>
          <cell r="B503" t="str">
            <v>N/A</v>
          </cell>
          <cell r="C503" t="str">
            <v>D</v>
          </cell>
          <cell r="D503" t="str">
            <v>N/A</v>
          </cell>
          <cell r="E503" t="str">
            <v>BK014 ZIPPO ZIPPOZIPPO PRINTED BELT DISCONTINUED</v>
          </cell>
          <cell r="F503" t="str">
            <v>CORREAS</v>
          </cell>
          <cell r="G503" t="str">
            <v>BK014</v>
          </cell>
          <cell r="H503" t="str">
            <v>ZIPPO</v>
          </cell>
          <cell r="I503">
            <v>14.5</v>
          </cell>
        </row>
        <row r="504">
          <cell r="A504" t="str">
            <v>19-00503</v>
          </cell>
          <cell r="B504" t="str">
            <v>GLOBAL DISTRIBUTOR</v>
          </cell>
          <cell r="C504" t="str">
            <v>D</v>
          </cell>
          <cell r="D504" t="str">
            <v>N/A</v>
          </cell>
          <cell r="E504" t="str">
            <v>CLKP CLOUDZ KIDS ANIMAL NECK PLUCHES DISCONTINUED</v>
          </cell>
          <cell r="F504" t="str">
            <v>NECK PILLOW</v>
          </cell>
          <cell r="G504" t="str">
            <v>CLKP</v>
          </cell>
          <cell r="H504" t="str">
            <v>CLOUDZ</v>
          </cell>
          <cell r="I504">
            <v>6.2</v>
          </cell>
        </row>
        <row r="505">
          <cell r="A505" t="str">
            <v>19-00504</v>
          </cell>
          <cell r="B505" t="str">
            <v>GLOBAL DISTRIBUTOR</v>
          </cell>
          <cell r="C505" t="str">
            <v>D</v>
          </cell>
          <cell r="D505" t="str">
            <v>N/A</v>
          </cell>
          <cell r="E505" t="str">
            <v>9401470 GIDDY UP SURPRISE INK PRINCESS DISCONTINUED</v>
          </cell>
          <cell r="F505" t="str">
            <v>COLORING BOOK</v>
          </cell>
          <cell r="G505">
            <v>9401470</v>
          </cell>
          <cell r="H505" t="str">
            <v>GIDDY UP</v>
          </cell>
          <cell r="I505">
            <v>0</v>
          </cell>
        </row>
        <row r="506">
          <cell r="A506" t="str">
            <v>19-00505</v>
          </cell>
          <cell r="B506" t="str">
            <v>GLOBAL DISTRIBUTOR</v>
          </cell>
          <cell r="C506" t="str">
            <v>D</v>
          </cell>
          <cell r="D506" t="str">
            <v>N/A</v>
          </cell>
          <cell r="E506" t="str">
            <v>9401474 GIDDY UP SURPRISE INK CARS DISCONTINUED</v>
          </cell>
          <cell r="F506" t="str">
            <v>COLORING BOOK</v>
          </cell>
          <cell r="G506">
            <v>9401474</v>
          </cell>
          <cell r="H506" t="str">
            <v>GIDDY UP</v>
          </cell>
          <cell r="I506">
            <v>0</v>
          </cell>
        </row>
        <row r="507">
          <cell r="A507" t="str">
            <v>19-00506</v>
          </cell>
          <cell r="B507" t="str">
            <v>GLOBAL DISTRIBUTOR</v>
          </cell>
          <cell r="C507" t="str">
            <v>D</v>
          </cell>
          <cell r="D507" t="str">
            <v>N/A</v>
          </cell>
          <cell r="E507" t="str">
            <v>9433170 GIDDY UP COLOR CARRY PRINCESS DISCONTINUED</v>
          </cell>
          <cell r="F507" t="str">
            <v>COLORING BOOK</v>
          </cell>
          <cell r="G507">
            <v>9433170</v>
          </cell>
          <cell r="H507" t="str">
            <v>GIDDY UP</v>
          </cell>
          <cell r="I507">
            <v>0</v>
          </cell>
        </row>
        <row r="508">
          <cell r="A508" t="str">
            <v>19-00507</v>
          </cell>
          <cell r="B508" t="str">
            <v>GLOBAL DISTRIBUTOR</v>
          </cell>
          <cell r="C508" t="str">
            <v>D</v>
          </cell>
          <cell r="D508" t="str">
            <v>N/A</v>
          </cell>
          <cell r="E508" t="str">
            <v>9433174 GIDDY UP COLOR CARRY CARS DISCONTINUED</v>
          </cell>
          <cell r="F508" t="str">
            <v>COLORING BOOK</v>
          </cell>
          <cell r="G508">
            <v>9433174</v>
          </cell>
          <cell r="H508" t="str">
            <v>GIDDY UP</v>
          </cell>
          <cell r="I508">
            <v>0</v>
          </cell>
        </row>
        <row r="509">
          <cell r="A509" t="str">
            <v>19-00508</v>
          </cell>
          <cell r="B509" t="str">
            <v>GLOBAL DISTRIBUTOR</v>
          </cell>
          <cell r="C509" t="str">
            <v>D</v>
          </cell>
          <cell r="D509" t="str">
            <v>N/A</v>
          </cell>
          <cell r="E509" t="str">
            <v>9431766 GIDDY UP COLORBLAST MINI BOOKS FAIRIES DISCONTINUED</v>
          </cell>
          <cell r="F509" t="str">
            <v>COLORING BOOK</v>
          </cell>
          <cell r="G509">
            <v>9431766</v>
          </cell>
          <cell r="H509" t="str">
            <v>GIDDY UP</v>
          </cell>
          <cell r="I509">
            <v>0</v>
          </cell>
        </row>
        <row r="510">
          <cell r="A510" t="str">
            <v>19-00509</v>
          </cell>
          <cell r="B510" t="str">
            <v>GLOBAL DISTRIBUTOR</v>
          </cell>
          <cell r="C510" t="str">
            <v>D</v>
          </cell>
          <cell r="D510" t="str">
            <v>N/A</v>
          </cell>
          <cell r="E510" t="str">
            <v>9431772 GIDDY UP COLORBLAST MINI BOOKS TOY STORY DISCONTINUED</v>
          </cell>
          <cell r="F510" t="str">
            <v>COLORING BOOK</v>
          </cell>
          <cell r="G510">
            <v>9431772</v>
          </cell>
          <cell r="H510" t="str">
            <v>GIDDY UP</v>
          </cell>
          <cell r="I510">
            <v>0</v>
          </cell>
        </row>
        <row r="511">
          <cell r="A511" t="str">
            <v>19-00510</v>
          </cell>
          <cell r="B511" t="str">
            <v>GLOBAL DISTRIBUTOR</v>
          </cell>
          <cell r="C511" t="str">
            <v>D</v>
          </cell>
          <cell r="D511" t="str">
            <v>N/A</v>
          </cell>
          <cell r="E511" t="str">
            <v>9431863 GIDDY UP RUB N COLOR MINI BOOKS MY LITTLE PONY DISCONTINUED</v>
          </cell>
          <cell r="F511" t="str">
            <v>COLORING BOOK</v>
          </cell>
          <cell r="G511">
            <v>9431863</v>
          </cell>
          <cell r="H511" t="str">
            <v>GIDDY UP</v>
          </cell>
          <cell r="I511">
            <v>0</v>
          </cell>
        </row>
        <row r="512">
          <cell r="A512" t="str">
            <v>19-00511</v>
          </cell>
          <cell r="B512" t="str">
            <v>GLOBAL DISTRIBUTOR</v>
          </cell>
          <cell r="C512" t="str">
            <v>D</v>
          </cell>
          <cell r="D512" t="str">
            <v>N/A</v>
          </cell>
          <cell r="E512" t="str">
            <v>9432463 GIDDY UP WATER WOW BOOKS MY LITTLE PONY DISCONTINUED</v>
          </cell>
          <cell r="F512" t="str">
            <v>COLORING BOOK</v>
          </cell>
          <cell r="G512">
            <v>9432463</v>
          </cell>
          <cell r="H512" t="str">
            <v>GIDDY UP</v>
          </cell>
          <cell r="I512">
            <v>0</v>
          </cell>
        </row>
        <row r="513">
          <cell r="A513" t="str">
            <v>19-00512</v>
          </cell>
          <cell r="B513" t="str">
            <v>GLOBAL DISTRIBUTOR</v>
          </cell>
          <cell r="C513" t="str">
            <v>D</v>
          </cell>
          <cell r="D513" t="str">
            <v>N/A</v>
          </cell>
          <cell r="E513" t="str">
            <v>9432470 GIDDY UP WATER WOW BOOKS PRINCESS DISCONTINUED</v>
          </cell>
          <cell r="F513" t="str">
            <v>COLORING BOOK</v>
          </cell>
          <cell r="G513">
            <v>9432470</v>
          </cell>
          <cell r="H513" t="str">
            <v>GIDDY UP</v>
          </cell>
          <cell r="I513">
            <v>0</v>
          </cell>
        </row>
        <row r="514">
          <cell r="A514" t="str">
            <v>19-00513</v>
          </cell>
          <cell r="B514" t="str">
            <v>GLOBAL DISTRIBUTOR</v>
          </cell>
          <cell r="C514" t="str">
            <v>D</v>
          </cell>
          <cell r="D514" t="str">
            <v>N/A</v>
          </cell>
          <cell r="E514" t="str">
            <v>9432474 GIDDY UP WATER WOW BOOKS CARS DISCONTINUED</v>
          </cell>
          <cell r="F514" t="str">
            <v>COLORING BOOK</v>
          </cell>
          <cell r="G514">
            <v>9432474</v>
          </cell>
          <cell r="H514" t="str">
            <v>GIDDY UP</v>
          </cell>
          <cell r="I514">
            <v>0</v>
          </cell>
        </row>
        <row r="515">
          <cell r="A515" t="str">
            <v>19-00514</v>
          </cell>
          <cell r="B515" t="str">
            <v>GLOBAL DISTRIBUTOR</v>
          </cell>
          <cell r="C515" t="str">
            <v>D</v>
          </cell>
          <cell r="D515" t="str">
            <v>N/A</v>
          </cell>
          <cell r="E515" t="str">
            <v>9436549 GIDDY UP BLENDY PENS MINI BOOKS PHINEAS &amp; FERB DISCONTINUED</v>
          </cell>
          <cell r="F515" t="str">
            <v>COLORING BOOK</v>
          </cell>
          <cell r="G515">
            <v>9436549</v>
          </cell>
          <cell r="H515" t="str">
            <v>GIDDY UP</v>
          </cell>
          <cell r="I515">
            <v>0</v>
          </cell>
        </row>
        <row r="516">
          <cell r="A516" t="str">
            <v>19-00515</v>
          </cell>
          <cell r="B516" t="str">
            <v>GLOBAL DISTRIBUTOR</v>
          </cell>
          <cell r="C516" t="str">
            <v>D</v>
          </cell>
          <cell r="D516" t="str">
            <v>N/A</v>
          </cell>
          <cell r="E516" t="str">
            <v>9436552 GIDDY UP BLENDY PENS MINI BOOKS SPIDERMAN DISCONTINUED</v>
          </cell>
          <cell r="F516" t="str">
            <v>COLORING BOOK</v>
          </cell>
          <cell r="G516">
            <v>9436552</v>
          </cell>
          <cell r="H516" t="str">
            <v>GIDDY UP</v>
          </cell>
          <cell r="I516">
            <v>0</v>
          </cell>
        </row>
        <row r="517">
          <cell r="A517" t="str">
            <v>19-00516</v>
          </cell>
          <cell r="B517" t="str">
            <v>N/A</v>
          </cell>
          <cell r="C517" t="str">
            <v>D</v>
          </cell>
          <cell r="D517" t="str">
            <v>N/A</v>
          </cell>
          <cell r="E517" t="str">
            <v>S2INCZ-035 SKULLCANDY INK'D SC BLUE DISCONTINUED</v>
          </cell>
          <cell r="F517" t="str">
            <v>HEADPHONES</v>
          </cell>
          <cell r="G517" t="str">
            <v>S2INCZ-035</v>
          </cell>
          <cell r="H517" t="str">
            <v>SKULLCANDY</v>
          </cell>
          <cell r="I517">
            <v>8.6300000000000008</v>
          </cell>
        </row>
        <row r="518">
          <cell r="A518" t="str">
            <v>19-00517</v>
          </cell>
          <cell r="B518" t="str">
            <v>N/A</v>
          </cell>
          <cell r="C518" t="str">
            <v>D</v>
          </cell>
          <cell r="D518" t="str">
            <v>N/A</v>
          </cell>
          <cell r="E518" t="str">
            <v>S6AGCZ-062 SKULLCANDY AGENT SHOE BLACK DISCONTINUED</v>
          </cell>
          <cell r="F518" t="str">
            <v>HEADPHONES</v>
          </cell>
          <cell r="G518" t="str">
            <v>S6AGCZ-062</v>
          </cell>
          <cell r="H518" t="str">
            <v>SKULLCANDY</v>
          </cell>
          <cell r="I518">
            <v>24.98</v>
          </cell>
        </row>
        <row r="519">
          <cell r="A519" t="str">
            <v>19-00518</v>
          </cell>
          <cell r="B519" t="str">
            <v>N/A</v>
          </cell>
          <cell r="C519" t="str">
            <v>D</v>
          </cell>
          <cell r="D519" t="str">
            <v>N/A</v>
          </cell>
          <cell r="E519" t="str">
            <v>S2INBI-UB SKULLCANDY INK'D IN-EAR BLUE /BLACK MIC DISCONTINUED</v>
          </cell>
          <cell r="F519" t="str">
            <v>HEADPHONES</v>
          </cell>
          <cell r="G519" t="str">
            <v>S2INBI-UB</v>
          </cell>
          <cell r="H519" t="str">
            <v>SKULLCANDY</v>
          </cell>
          <cell r="I519">
            <v>10.98</v>
          </cell>
        </row>
        <row r="520">
          <cell r="A520" t="str">
            <v>19-00519</v>
          </cell>
          <cell r="B520" t="str">
            <v>N/A</v>
          </cell>
          <cell r="C520" t="str">
            <v>D</v>
          </cell>
          <cell r="D520" t="str">
            <v>N/A</v>
          </cell>
          <cell r="E520" t="str">
            <v>S2SBBZ-PZ SKULLCANDY SMOKIN BUD IN-EAR PINK DISCONTINUED</v>
          </cell>
          <cell r="F520" t="str">
            <v>HEADPHONES</v>
          </cell>
          <cell r="G520" t="str">
            <v>S2SBBZ-PZ</v>
          </cell>
          <cell r="H520" t="str">
            <v>SKULLCANDY</v>
          </cell>
          <cell r="I520">
            <v>17.48</v>
          </cell>
        </row>
        <row r="521">
          <cell r="A521" t="str">
            <v>19-00520</v>
          </cell>
          <cell r="B521" t="str">
            <v>N/A</v>
          </cell>
          <cell r="C521" t="str">
            <v>D</v>
          </cell>
          <cell r="D521" t="str">
            <v>N/A</v>
          </cell>
          <cell r="E521" t="str">
            <v>S2ASBZ-CZ SKULLCANDY ASYM CHROME DISCONTINUED</v>
          </cell>
          <cell r="F521" t="str">
            <v>HEADPHONES</v>
          </cell>
          <cell r="G521" t="str">
            <v>S2ASBZ-CZ</v>
          </cell>
          <cell r="H521" t="str">
            <v>SKULLCANDY</v>
          </cell>
          <cell r="I521">
            <v>19.98</v>
          </cell>
        </row>
        <row r="522">
          <cell r="A522" t="str">
            <v>19-00521</v>
          </cell>
          <cell r="B522" t="str">
            <v>N/A</v>
          </cell>
          <cell r="C522" t="str">
            <v>D</v>
          </cell>
          <cell r="D522" t="str">
            <v>N/A</v>
          </cell>
          <cell r="E522" t="str">
            <v>S5ISBZ-BG SKULLCANDY ICON SOFT BLACK GREEN DISCONTINUED</v>
          </cell>
          <cell r="F522" t="str">
            <v>HEADPHONES</v>
          </cell>
          <cell r="G522" t="str">
            <v>S5ISBZ-BG</v>
          </cell>
          <cell r="H522" t="str">
            <v>SKULLCANDY</v>
          </cell>
          <cell r="I522">
            <v>17</v>
          </cell>
        </row>
        <row r="523">
          <cell r="A523" t="str">
            <v>19-00522</v>
          </cell>
          <cell r="B523" t="str">
            <v>N/A</v>
          </cell>
          <cell r="C523" t="str">
            <v>D</v>
          </cell>
          <cell r="D523" t="str">
            <v>N/A</v>
          </cell>
          <cell r="E523" t="str">
            <v>S5LWBZ-LP SKULLCANDY LOWRIDER PURPLE PINK DISCONTINUED</v>
          </cell>
          <cell r="F523" t="str">
            <v>HEADPHONES</v>
          </cell>
          <cell r="G523" t="str">
            <v>S5LWBZ-LP</v>
          </cell>
          <cell r="H523" t="str">
            <v>SKULLCANDY</v>
          </cell>
          <cell r="I523">
            <v>19.98</v>
          </cell>
        </row>
        <row r="524">
          <cell r="A524" t="str">
            <v>19-00523</v>
          </cell>
          <cell r="B524" t="str">
            <v>GLOBAL DISTRIBUTOR</v>
          </cell>
          <cell r="C524" t="str">
            <v>D</v>
          </cell>
          <cell r="D524" t="str">
            <v>N/A</v>
          </cell>
          <cell r="E524" t="str">
            <v>SUPRISE INK CLOUDZ GAME BOOKS/SURPR IN ASSORTED DISCONTINUED</v>
          </cell>
          <cell r="F524" t="str">
            <v>SUPRISE</v>
          </cell>
          <cell r="G524" t="str">
            <v>M12Q08K0NN0REB-M</v>
          </cell>
          <cell r="H524" t="str">
            <v>GIDDY UP</v>
          </cell>
          <cell r="I524">
            <v>5</v>
          </cell>
        </row>
        <row r="525">
          <cell r="A525" t="str">
            <v>19-00524</v>
          </cell>
          <cell r="B525" t="str">
            <v>GLOBAL DISTRIBUTOR</v>
          </cell>
          <cell r="C525" t="str">
            <v>D</v>
          </cell>
          <cell r="D525" t="str">
            <v>N/A</v>
          </cell>
          <cell r="E525" t="str">
            <v>COLORBLAST MINI BOOKS CLOUDZ/COLOR BLAST ASSORTED DISCONTINUED</v>
          </cell>
          <cell r="F525" t="str">
            <v>COLORBLAST</v>
          </cell>
          <cell r="G525" t="str">
            <v>M12Q08K0NN0REB-M</v>
          </cell>
          <cell r="H525" t="str">
            <v>GIDDY UP</v>
          </cell>
          <cell r="I525">
            <v>4.0999999999999996</v>
          </cell>
        </row>
        <row r="526">
          <cell r="A526" t="str">
            <v>19-00525</v>
          </cell>
          <cell r="B526" t="str">
            <v>GLOBAL DISTRIBUTOR</v>
          </cell>
          <cell r="C526" t="str">
            <v>D</v>
          </cell>
          <cell r="D526" t="str">
            <v>N/A</v>
          </cell>
          <cell r="E526" t="str">
            <v>RUB N COLOR MINI BOOKS CLOUDZ/RUB N COLOR ASSORTED DISCONTINUED</v>
          </cell>
          <cell r="F526" t="str">
            <v>RUB N COLOR</v>
          </cell>
          <cell r="G526" t="str">
            <v>M12P41I8A00RNGB-M</v>
          </cell>
          <cell r="H526" t="str">
            <v>GIDDY UP</v>
          </cell>
          <cell r="I526">
            <v>4.0999999999999996</v>
          </cell>
        </row>
        <row r="527">
          <cell r="A527" t="str">
            <v>19-00526</v>
          </cell>
          <cell r="B527" t="str">
            <v>GLOBAL DISTRIBUTOR</v>
          </cell>
          <cell r="C527" t="str">
            <v>D</v>
          </cell>
          <cell r="D527" t="str">
            <v>N/A</v>
          </cell>
          <cell r="E527" t="str">
            <v>WATER WOW BOOKS CLOUDZ/WATER WOW ASSORTED DISCONTINUED</v>
          </cell>
          <cell r="F527" t="str">
            <v>WATER WOW BOOKS</v>
          </cell>
          <cell r="G527" t="str">
            <v>M12P41I8A00RNGB-M</v>
          </cell>
          <cell r="H527" t="str">
            <v>GIDDY UP</v>
          </cell>
          <cell r="I527">
            <v>5.8</v>
          </cell>
        </row>
        <row r="528">
          <cell r="A528" t="str">
            <v>19-00527</v>
          </cell>
          <cell r="B528" t="str">
            <v>GLOBAL DISTRIBUTOR</v>
          </cell>
          <cell r="C528" t="str">
            <v>D</v>
          </cell>
          <cell r="D528" t="str">
            <v>N/A</v>
          </cell>
          <cell r="E528" t="str">
            <v>BLENDY PENS MINI BOOKS CLOUDZ/BLENDY PENS ASSORTED DISCONTINUED</v>
          </cell>
          <cell r="F528" t="str">
            <v>BLENDY PENS</v>
          </cell>
          <cell r="G528" t="str">
            <v>M12P41I8A00RNGB-M</v>
          </cell>
          <cell r="H528" t="str">
            <v>GIDDY UP</v>
          </cell>
          <cell r="I528">
            <v>4.0999999999999996</v>
          </cell>
        </row>
        <row r="529">
          <cell r="A529" t="str">
            <v>19-00528</v>
          </cell>
          <cell r="B529" t="str">
            <v>GLOBAL DISTRIBUTOR</v>
          </cell>
          <cell r="C529" t="str">
            <v>D</v>
          </cell>
          <cell r="D529" t="str">
            <v>N/A</v>
          </cell>
          <cell r="E529" t="str">
            <v>COLOR CARRY CLOUDZ/COLOR &amp; CARRY ASSORTED DISCONTINUED</v>
          </cell>
          <cell r="F529" t="str">
            <v>COLOR CARRY</v>
          </cell>
          <cell r="G529" t="str">
            <v>W1FP59H1J00JBLKML</v>
          </cell>
          <cell r="H529" t="str">
            <v>GIDDY UP</v>
          </cell>
          <cell r="I529">
            <v>5.8</v>
          </cell>
        </row>
        <row r="530">
          <cell r="A530" t="str">
            <v>19-00529</v>
          </cell>
          <cell r="B530" t="str">
            <v>GLOBAL DISTRIBUTOR</v>
          </cell>
          <cell r="C530" t="str">
            <v>D</v>
          </cell>
          <cell r="D530" t="str">
            <v>N/A</v>
          </cell>
          <cell r="E530" t="str">
            <v>CTC-1010 CLOUDZ UMBRELLA DISCONTINUED</v>
          </cell>
          <cell r="F530" t="str">
            <v>UMBRELLA</v>
          </cell>
          <cell r="G530" t="str">
            <v>CTC-1010</v>
          </cell>
          <cell r="H530" t="str">
            <v>CLOUDZ</v>
          </cell>
          <cell r="I530">
            <v>4.8</v>
          </cell>
        </row>
        <row r="531">
          <cell r="A531" t="str">
            <v>19-00530</v>
          </cell>
          <cell r="B531" t="str">
            <v>FOSTER</v>
          </cell>
          <cell r="C531" t="str">
            <v>A</v>
          </cell>
          <cell r="D531" t="str">
            <v>NO</v>
          </cell>
          <cell r="E531" t="str">
            <v>15601FOSTER PELUCHE MICKEY</v>
          </cell>
          <cell r="F531" t="str">
            <v>PLUSH</v>
          </cell>
          <cell r="G531">
            <v>15601</v>
          </cell>
          <cell r="H531" t="str">
            <v>FOSTER</v>
          </cell>
          <cell r="I531">
            <v>5</v>
          </cell>
        </row>
        <row r="532">
          <cell r="A532" t="str">
            <v>19-00531</v>
          </cell>
          <cell r="B532" t="str">
            <v>FOSTER</v>
          </cell>
          <cell r="C532" t="str">
            <v>A</v>
          </cell>
          <cell r="D532" t="str">
            <v>NO</v>
          </cell>
          <cell r="E532" t="str">
            <v>15602 FOSTER PELUCHE MINNIE</v>
          </cell>
          <cell r="F532" t="str">
            <v>PLUSH</v>
          </cell>
          <cell r="G532">
            <v>15602</v>
          </cell>
          <cell r="H532" t="str">
            <v>FOSTER</v>
          </cell>
          <cell r="I532">
            <v>5</v>
          </cell>
        </row>
        <row r="533">
          <cell r="A533" t="str">
            <v>19-00532</v>
          </cell>
          <cell r="B533" t="str">
            <v>FOSTER</v>
          </cell>
          <cell r="C533" t="str">
            <v>A</v>
          </cell>
          <cell r="D533" t="str">
            <v>NO</v>
          </cell>
          <cell r="E533" t="str">
            <v>15603 FOSTER PELUCHE PLUTO</v>
          </cell>
          <cell r="F533" t="str">
            <v>PLUSH</v>
          </cell>
          <cell r="G533">
            <v>15603</v>
          </cell>
          <cell r="H533" t="str">
            <v>FOSTER</v>
          </cell>
          <cell r="I533">
            <v>5</v>
          </cell>
        </row>
        <row r="534">
          <cell r="A534" t="str">
            <v>19-00533</v>
          </cell>
          <cell r="B534" t="str">
            <v>FOSTER</v>
          </cell>
          <cell r="C534" t="str">
            <v>A</v>
          </cell>
          <cell r="D534" t="str">
            <v>NO</v>
          </cell>
          <cell r="E534" t="str">
            <v>15604 FOSTER PELUCHE GOOFY</v>
          </cell>
          <cell r="F534" t="str">
            <v>PLUSH</v>
          </cell>
          <cell r="G534">
            <v>15604</v>
          </cell>
          <cell r="H534" t="str">
            <v>FOSTER</v>
          </cell>
          <cell r="I534">
            <v>5</v>
          </cell>
        </row>
        <row r="535">
          <cell r="A535" t="str">
            <v>19-00534</v>
          </cell>
          <cell r="B535" t="str">
            <v>FOSTER</v>
          </cell>
          <cell r="C535" t="str">
            <v>A</v>
          </cell>
          <cell r="D535" t="str">
            <v>NO</v>
          </cell>
          <cell r="E535" t="str">
            <v>15705 FOSTER PELUCHE POOH</v>
          </cell>
          <cell r="F535" t="str">
            <v>PLUSH</v>
          </cell>
          <cell r="G535">
            <v>15705</v>
          </cell>
          <cell r="H535" t="str">
            <v>FOSTER</v>
          </cell>
          <cell r="I535">
            <v>5.5</v>
          </cell>
        </row>
        <row r="536">
          <cell r="A536" t="str">
            <v>19-00535</v>
          </cell>
          <cell r="B536" t="str">
            <v>FOSTER</v>
          </cell>
          <cell r="C536" t="str">
            <v>A</v>
          </cell>
          <cell r="D536" t="str">
            <v>NO</v>
          </cell>
          <cell r="E536" t="str">
            <v>15706 FOSTER PELUCHE TIGGER</v>
          </cell>
          <cell r="F536" t="str">
            <v>PLUSH</v>
          </cell>
          <cell r="G536">
            <v>15706</v>
          </cell>
          <cell r="H536" t="str">
            <v>FOSTER</v>
          </cell>
          <cell r="I536">
            <v>5.5</v>
          </cell>
        </row>
        <row r="537">
          <cell r="A537" t="str">
            <v>19-00536</v>
          </cell>
          <cell r="B537" t="str">
            <v>FOSTER</v>
          </cell>
          <cell r="C537" t="str">
            <v>A</v>
          </cell>
          <cell r="D537" t="str">
            <v>NO</v>
          </cell>
          <cell r="E537" t="str">
            <v>15708 FOSTER PELUCHE EEYORE</v>
          </cell>
          <cell r="F537" t="str">
            <v>PLUSH</v>
          </cell>
          <cell r="G537">
            <v>15708</v>
          </cell>
          <cell r="H537" t="str">
            <v>FOSTER</v>
          </cell>
          <cell r="I537">
            <v>5.5</v>
          </cell>
        </row>
        <row r="538">
          <cell r="A538" t="str">
            <v>19-00537</v>
          </cell>
          <cell r="B538" t="str">
            <v>FOSTER</v>
          </cell>
          <cell r="C538" t="str">
            <v>A</v>
          </cell>
          <cell r="D538" t="str">
            <v>NO</v>
          </cell>
          <cell r="E538" t="str">
            <v>PDP0900568 FOSTER PELUCHE 10'' WOODY</v>
          </cell>
          <cell r="F538" t="str">
            <v>PLUSH</v>
          </cell>
          <cell r="G538" t="str">
            <v>PDP0900568</v>
          </cell>
          <cell r="H538" t="str">
            <v>FOSTER</v>
          </cell>
          <cell r="I538">
            <v>8.5</v>
          </cell>
        </row>
        <row r="539">
          <cell r="A539" t="str">
            <v>19-00538</v>
          </cell>
          <cell r="B539" t="str">
            <v>FOSTER</v>
          </cell>
          <cell r="C539" t="str">
            <v>A</v>
          </cell>
          <cell r="D539" t="str">
            <v>NO</v>
          </cell>
          <cell r="E539" t="str">
            <v>PDP0900569 FOSTER PELUCHE 10'' BUZZ</v>
          </cell>
          <cell r="F539" t="str">
            <v>PLUSH</v>
          </cell>
          <cell r="G539" t="str">
            <v>PDP0900569</v>
          </cell>
          <cell r="H539" t="str">
            <v>FOSTER</v>
          </cell>
          <cell r="I539">
            <v>8.5</v>
          </cell>
        </row>
        <row r="540">
          <cell r="A540" t="str">
            <v>19-00539</v>
          </cell>
          <cell r="B540" t="str">
            <v>FOSTER</v>
          </cell>
          <cell r="C540" t="str">
            <v>A</v>
          </cell>
          <cell r="D540" t="str">
            <v>NO</v>
          </cell>
          <cell r="E540" t="str">
            <v>PDP0900712 FOSTER PELUCHE 10'' JESSIE</v>
          </cell>
          <cell r="F540" t="str">
            <v>PLUSH</v>
          </cell>
          <cell r="G540" t="str">
            <v>PDP0900712</v>
          </cell>
          <cell r="H540" t="str">
            <v>FOSTER</v>
          </cell>
          <cell r="I540">
            <v>8.5</v>
          </cell>
        </row>
        <row r="541">
          <cell r="A541" t="str">
            <v>19-00540</v>
          </cell>
          <cell r="B541" t="str">
            <v>FOSTER</v>
          </cell>
          <cell r="C541" t="str">
            <v>A</v>
          </cell>
          <cell r="D541" t="str">
            <v>NO</v>
          </cell>
          <cell r="E541" t="str">
            <v>PDP0900571 FOSTER PELUCHE 10'' BULLSEYE</v>
          </cell>
          <cell r="F541" t="str">
            <v>PLUSH</v>
          </cell>
          <cell r="G541" t="str">
            <v>PDP0900571</v>
          </cell>
          <cell r="H541" t="str">
            <v>FOSTER</v>
          </cell>
          <cell r="I541">
            <v>8.5</v>
          </cell>
        </row>
        <row r="542">
          <cell r="A542" t="str">
            <v>19-00541</v>
          </cell>
          <cell r="B542" t="str">
            <v>FOSTER</v>
          </cell>
          <cell r="C542" t="str">
            <v>A</v>
          </cell>
          <cell r="D542" t="str">
            <v>NO</v>
          </cell>
          <cell r="E542" t="str">
            <v>PDP0900572 FOSTER PELUCHE 10'' ALIENS</v>
          </cell>
          <cell r="F542" t="str">
            <v>PLUSH</v>
          </cell>
          <cell r="G542" t="str">
            <v>PDP0900572</v>
          </cell>
          <cell r="H542" t="str">
            <v>FOSTER</v>
          </cell>
          <cell r="I542">
            <v>7.5</v>
          </cell>
        </row>
        <row r="543">
          <cell r="A543" t="str">
            <v>19-00542</v>
          </cell>
          <cell r="B543" t="str">
            <v>FOSTER</v>
          </cell>
          <cell r="C543" t="str">
            <v>D</v>
          </cell>
          <cell r="D543" t="str">
            <v>N/A</v>
          </cell>
          <cell r="E543" t="str">
            <v>15421 FOSTER COJIN DE VIAJE MICKEY DISCONTINUED</v>
          </cell>
          <cell r="F543" t="str">
            <v>NECK PILLOW</v>
          </cell>
          <cell r="G543">
            <v>15421</v>
          </cell>
          <cell r="H543" t="str">
            <v>FOSTER</v>
          </cell>
          <cell r="I543">
            <v>4.5</v>
          </cell>
        </row>
        <row r="544">
          <cell r="A544" t="str">
            <v>19-00543</v>
          </cell>
          <cell r="B544" t="str">
            <v>FOSTER</v>
          </cell>
          <cell r="C544" t="str">
            <v>D</v>
          </cell>
          <cell r="D544" t="str">
            <v>N/A</v>
          </cell>
          <cell r="E544" t="str">
            <v>15422 FOSTER COJIN DE VIAJE MINNIE DISCONTINUED</v>
          </cell>
          <cell r="F544" t="str">
            <v>NECK PILLOW</v>
          </cell>
          <cell r="G544">
            <v>15422</v>
          </cell>
          <cell r="H544" t="str">
            <v>FOSTER</v>
          </cell>
          <cell r="I544">
            <v>4.5</v>
          </cell>
        </row>
        <row r="545">
          <cell r="A545" t="str">
            <v>19-00544</v>
          </cell>
          <cell r="B545" t="str">
            <v>FOSTER</v>
          </cell>
          <cell r="C545" t="str">
            <v>D</v>
          </cell>
          <cell r="D545" t="str">
            <v>N/A</v>
          </cell>
          <cell r="E545" t="str">
            <v>15423 FOSTER COJIN DE VIAJE CARS DISCONTINUED</v>
          </cell>
          <cell r="F545" t="str">
            <v>NECK PILLOW</v>
          </cell>
          <cell r="G545">
            <v>15423</v>
          </cell>
          <cell r="H545" t="str">
            <v>FOSTER</v>
          </cell>
          <cell r="I545">
            <v>4.5</v>
          </cell>
        </row>
        <row r="546">
          <cell r="A546" t="str">
            <v>19-00545</v>
          </cell>
          <cell r="B546" t="str">
            <v>FOSTER</v>
          </cell>
          <cell r="C546" t="str">
            <v>D</v>
          </cell>
          <cell r="D546" t="str">
            <v>N/A</v>
          </cell>
          <cell r="E546" t="str">
            <v>16312 FOSTER COJIN DE VIAJE CARS DISCONTINUED</v>
          </cell>
          <cell r="F546" t="str">
            <v>NECK PILLOW</v>
          </cell>
          <cell r="G546">
            <v>16312</v>
          </cell>
          <cell r="H546" t="str">
            <v>FOSTER</v>
          </cell>
          <cell r="I546">
            <v>4.5</v>
          </cell>
        </row>
        <row r="547">
          <cell r="A547" t="str">
            <v>19-00546</v>
          </cell>
          <cell r="B547" t="str">
            <v>FOSTER</v>
          </cell>
          <cell r="C547" t="str">
            <v>D</v>
          </cell>
          <cell r="D547" t="str">
            <v>N/A</v>
          </cell>
          <cell r="E547" t="str">
            <v>16313 FOSTER COJIN DE VIAJE POOH &amp; FRIENDS DISCONTINUED</v>
          </cell>
          <cell r="F547" t="str">
            <v>NECK PILLOW</v>
          </cell>
          <cell r="G547">
            <v>16313</v>
          </cell>
          <cell r="H547" t="str">
            <v>FOSTER</v>
          </cell>
          <cell r="I547">
            <v>4.5</v>
          </cell>
        </row>
        <row r="548">
          <cell r="A548" t="str">
            <v>19-00547</v>
          </cell>
          <cell r="B548" t="str">
            <v>FOSTER</v>
          </cell>
          <cell r="C548" t="str">
            <v>D</v>
          </cell>
          <cell r="D548" t="str">
            <v>N/A</v>
          </cell>
          <cell r="E548" t="str">
            <v>15424 FOSTER COJIN DE VIAJE POOH DISCONTINUED</v>
          </cell>
          <cell r="F548" t="str">
            <v>NECK PILLOW</v>
          </cell>
          <cell r="G548">
            <v>15424</v>
          </cell>
          <cell r="H548" t="str">
            <v>FOSTER</v>
          </cell>
          <cell r="I548">
            <v>4.5</v>
          </cell>
        </row>
        <row r="549">
          <cell r="A549" t="str">
            <v>19-00548</v>
          </cell>
          <cell r="B549" t="str">
            <v>FOSTER</v>
          </cell>
          <cell r="C549" t="str">
            <v>D</v>
          </cell>
          <cell r="D549" t="str">
            <v>N/A</v>
          </cell>
          <cell r="E549" t="str">
            <v>16310 FOSTER COJIN DE VIAJE TIGGER DISCONTINUED</v>
          </cell>
          <cell r="F549" t="str">
            <v>NECK PILLOW</v>
          </cell>
          <cell r="G549">
            <v>16310</v>
          </cell>
          <cell r="H549" t="str">
            <v>FOSTER</v>
          </cell>
          <cell r="I549">
            <v>4.5</v>
          </cell>
        </row>
        <row r="550">
          <cell r="A550" t="str">
            <v>19-00549</v>
          </cell>
          <cell r="B550" t="str">
            <v>FOSTER</v>
          </cell>
          <cell r="C550" t="str">
            <v>D</v>
          </cell>
          <cell r="D550" t="str">
            <v>N/A</v>
          </cell>
          <cell r="E550" t="str">
            <v>15425 FOSTER COJIN DE VIAJE TINKER BELL DISCONTINUED</v>
          </cell>
          <cell r="F550" t="str">
            <v>NECK PILLOW</v>
          </cell>
          <cell r="G550">
            <v>15425</v>
          </cell>
          <cell r="H550" t="str">
            <v>FOSTER</v>
          </cell>
          <cell r="I550">
            <v>4.5</v>
          </cell>
        </row>
        <row r="551">
          <cell r="A551" t="str">
            <v>19-00550</v>
          </cell>
          <cell r="B551" t="str">
            <v>FOSTER</v>
          </cell>
          <cell r="C551" t="str">
            <v>D</v>
          </cell>
          <cell r="D551" t="str">
            <v>N/A</v>
          </cell>
          <cell r="E551" t="str">
            <v>16311 FOSTER COJIN DE VIAJE PRINCESAS DISCONTINUED</v>
          </cell>
          <cell r="F551" t="str">
            <v>NECK PILLOW</v>
          </cell>
          <cell r="G551">
            <v>16311</v>
          </cell>
          <cell r="H551" t="str">
            <v>FOSTER</v>
          </cell>
          <cell r="I551">
            <v>4.5</v>
          </cell>
        </row>
        <row r="552">
          <cell r="A552" t="str">
            <v>19-00551</v>
          </cell>
          <cell r="B552" t="str">
            <v>FOSTER</v>
          </cell>
          <cell r="C552" t="str">
            <v>D</v>
          </cell>
          <cell r="D552" t="str">
            <v>N/A</v>
          </cell>
          <cell r="E552" t="str">
            <v>15426 FOSTER COJIN DE VIAJE CINDIRELLA DISCONTINUED</v>
          </cell>
          <cell r="F552" t="str">
            <v>NECK PILLOW</v>
          </cell>
          <cell r="G552">
            <v>15426</v>
          </cell>
          <cell r="H552" t="str">
            <v>FOSTER</v>
          </cell>
          <cell r="I552">
            <v>4.5</v>
          </cell>
        </row>
        <row r="553">
          <cell r="A553" t="str">
            <v>19-00552</v>
          </cell>
          <cell r="B553" t="str">
            <v>FOSTER</v>
          </cell>
          <cell r="C553" t="str">
            <v>D</v>
          </cell>
          <cell r="D553" t="str">
            <v>N/A</v>
          </cell>
          <cell r="E553" t="str">
            <v>16308 FOSTER COJIN DE VIAJE BLANCA NIEVES DISCONTINUED</v>
          </cell>
          <cell r="F553" t="str">
            <v>NECK PILLOW</v>
          </cell>
          <cell r="G553">
            <v>16308</v>
          </cell>
          <cell r="H553" t="str">
            <v>FOSTER</v>
          </cell>
          <cell r="I553">
            <v>4.5</v>
          </cell>
        </row>
        <row r="554">
          <cell r="A554" t="str">
            <v>19-00553</v>
          </cell>
          <cell r="B554" t="str">
            <v>FOSTER</v>
          </cell>
          <cell r="C554" t="str">
            <v>D</v>
          </cell>
          <cell r="D554" t="str">
            <v>N/A</v>
          </cell>
          <cell r="E554" t="str">
            <v>16309 FOSTER COJIN DE VIAJE BELLA DURMIENTE DISCONTINUED</v>
          </cell>
          <cell r="F554" t="str">
            <v>NECK PILLOW</v>
          </cell>
          <cell r="G554">
            <v>16309</v>
          </cell>
          <cell r="H554" t="str">
            <v>FOSTER</v>
          </cell>
          <cell r="I554">
            <v>4.5</v>
          </cell>
        </row>
        <row r="555">
          <cell r="A555" t="str">
            <v>19-00554</v>
          </cell>
          <cell r="B555" t="str">
            <v>FOSTER</v>
          </cell>
          <cell r="C555" t="str">
            <v>D</v>
          </cell>
          <cell r="D555" t="str">
            <v>N/A</v>
          </cell>
          <cell r="E555" t="str">
            <v>15991 FOSTER COJIN DE VIAJE BUZ DISCONTINUED</v>
          </cell>
          <cell r="F555" t="str">
            <v>NECK PILLOW</v>
          </cell>
          <cell r="G555">
            <v>15991</v>
          </cell>
          <cell r="H555" t="str">
            <v>FOSTER</v>
          </cell>
          <cell r="I555">
            <v>4.5</v>
          </cell>
        </row>
        <row r="556">
          <cell r="A556" t="str">
            <v>19-00555</v>
          </cell>
          <cell r="B556" t="str">
            <v>FOSTER</v>
          </cell>
          <cell r="C556" t="str">
            <v>D</v>
          </cell>
          <cell r="D556" t="str">
            <v>N/A</v>
          </cell>
          <cell r="E556" t="str">
            <v>15992 FOSTER COJIN DE VIAJE WOODY DISCONTINUED</v>
          </cell>
          <cell r="F556" t="str">
            <v>NECK PILLOW</v>
          </cell>
          <cell r="G556">
            <v>15992</v>
          </cell>
          <cell r="H556" t="str">
            <v>FOSTER</v>
          </cell>
          <cell r="I556">
            <v>4.5</v>
          </cell>
        </row>
        <row r="557">
          <cell r="A557" t="str">
            <v>19-00556</v>
          </cell>
          <cell r="B557" t="str">
            <v>FOSTER</v>
          </cell>
          <cell r="C557" t="str">
            <v>D</v>
          </cell>
          <cell r="D557" t="str">
            <v>N/A</v>
          </cell>
          <cell r="E557" t="str">
            <v>15999 FOSTER COJIN DE VIAJE BARBIE DISCONTINUED</v>
          </cell>
          <cell r="F557" t="str">
            <v>NECK PILLOW</v>
          </cell>
          <cell r="G557">
            <v>15999</v>
          </cell>
          <cell r="H557" t="str">
            <v>FOSTER</v>
          </cell>
          <cell r="I557">
            <v>4.5</v>
          </cell>
        </row>
        <row r="558">
          <cell r="A558" t="str">
            <v>19-00557</v>
          </cell>
          <cell r="B558" t="str">
            <v>FOSTER</v>
          </cell>
          <cell r="C558" t="str">
            <v>D</v>
          </cell>
          <cell r="D558" t="str">
            <v>N/A</v>
          </cell>
          <cell r="E558" t="str">
            <v>16000 FOSTER COJIN DE VIAJE HOT WHEELS DISCONTINUED</v>
          </cell>
          <cell r="F558" t="str">
            <v>NECK PILLOW</v>
          </cell>
          <cell r="G558">
            <v>16000</v>
          </cell>
          <cell r="H558" t="str">
            <v>FOSTER</v>
          </cell>
          <cell r="I558">
            <v>4.5</v>
          </cell>
        </row>
        <row r="559">
          <cell r="A559" t="str">
            <v>19-00558</v>
          </cell>
          <cell r="B559" t="str">
            <v>FOSTER</v>
          </cell>
          <cell r="C559" t="str">
            <v>D</v>
          </cell>
          <cell r="D559" t="str">
            <v>N/A</v>
          </cell>
          <cell r="E559" t="str">
            <v>16414 FOSTER COJIN DE VIAJE SPIDERMAN DISCONTINUED</v>
          </cell>
          <cell r="F559" t="str">
            <v>NECK PILLOW</v>
          </cell>
          <cell r="G559">
            <v>16414</v>
          </cell>
          <cell r="H559" t="str">
            <v>FOSTER</v>
          </cell>
          <cell r="I559">
            <v>4.5</v>
          </cell>
        </row>
        <row r="560">
          <cell r="A560" t="str">
            <v>19-00559</v>
          </cell>
          <cell r="B560" t="str">
            <v>FOSTER</v>
          </cell>
          <cell r="C560" t="str">
            <v>D</v>
          </cell>
          <cell r="D560" t="str">
            <v>N/A</v>
          </cell>
          <cell r="E560" t="str">
            <v>16320 FOSTER ALMOHADA 35x35 cms POOH DISCONTINUED</v>
          </cell>
          <cell r="F560" t="str">
            <v>PILLOW</v>
          </cell>
          <cell r="G560">
            <v>16320</v>
          </cell>
          <cell r="H560" t="str">
            <v>FOSTER</v>
          </cell>
          <cell r="I560">
            <v>4.5</v>
          </cell>
        </row>
        <row r="561">
          <cell r="A561" t="str">
            <v>19-00560</v>
          </cell>
          <cell r="B561" t="str">
            <v>FOSTER</v>
          </cell>
          <cell r="C561" t="str">
            <v>D</v>
          </cell>
          <cell r="D561" t="str">
            <v>N/A</v>
          </cell>
          <cell r="E561" t="str">
            <v>16321 FOSTER ALMOHADA 35x35 cms TIGGER DISCONTINUED</v>
          </cell>
          <cell r="F561" t="str">
            <v>PILLOW</v>
          </cell>
          <cell r="G561">
            <v>16321</v>
          </cell>
          <cell r="H561" t="str">
            <v>FOSTER</v>
          </cell>
          <cell r="I561">
            <v>4.5</v>
          </cell>
        </row>
        <row r="562">
          <cell r="A562" t="str">
            <v>19-00561</v>
          </cell>
          <cell r="B562" t="str">
            <v>FOSTER</v>
          </cell>
          <cell r="C562" t="str">
            <v>D</v>
          </cell>
          <cell r="D562" t="str">
            <v>N/A</v>
          </cell>
          <cell r="E562" t="str">
            <v>16322 FOSTER ALMOHADA 35x35 cms PLUTO DISCONTINUED</v>
          </cell>
          <cell r="F562" t="str">
            <v>PILLOW</v>
          </cell>
          <cell r="G562">
            <v>16322</v>
          </cell>
          <cell r="H562" t="str">
            <v>FOSTER</v>
          </cell>
          <cell r="I562">
            <v>4.5</v>
          </cell>
        </row>
        <row r="563">
          <cell r="A563" t="str">
            <v>19-00562</v>
          </cell>
          <cell r="B563" t="str">
            <v>FOSTER</v>
          </cell>
          <cell r="C563" t="str">
            <v>D</v>
          </cell>
          <cell r="D563" t="str">
            <v>N/A</v>
          </cell>
          <cell r="E563" t="str">
            <v>16323 FOSTER ALMOHADA 35x35 cms GOOFY DISCONTINUED</v>
          </cell>
          <cell r="F563" t="str">
            <v>PILLOW</v>
          </cell>
          <cell r="G563">
            <v>16323</v>
          </cell>
          <cell r="H563" t="str">
            <v>FOSTER</v>
          </cell>
          <cell r="I563">
            <v>4.5</v>
          </cell>
        </row>
        <row r="564">
          <cell r="A564" t="str">
            <v>19-00563</v>
          </cell>
          <cell r="B564" t="str">
            <v>FOSTER</v>
          </cell>
          <cell r="C564" t="str">
            <v>D</v>
          </cell>
          <cell r="D564" t="str">
            <v>N/A</v>
          </cell>
          <cell r="E564" t="str">
            <v>16324 FOSTER ALMOHADA 35x35 cms POOH DISCONTINUED</v>
          </cell>
          <cell r="F564" t="str">
            <v>PILLOW</v>
          </cell>
          <cell r="G564">
            <v>16324</v>
          </cell>
          <cell r="H564" t="str">
            <v>FOSTER</v>
          </cell>
          <cell r="I564">
            <v>4.5</v>
          </cell>
        </row>
        <row r="565">
          <cell r="A565" t="str">
            <v>19-00564</v>
          </cell>
          <cell r="B565" t="str">
            <v>FOSTER</v>
          </cell>
          <cell r="C565" t="str">
            <v>D</v>
          </cell>
          <cell r="D565" t="str">
            <v>N/A</v>
          </cell>
          <cell r="E565" t="str">
            <v>16325 FOSTER ALMOHADA 35x35 cms EEYORE DISCONTINUED</v>
          </cell>
          <cell r="F565" t="str">
            <v>PILLOW</v>
          </cell>
          <cell r="G565">
            <v>16325</v>
          </cell>
          <cell r="H565" t="str">
            <v>FOSTER</v>
          </cell>
          <cell r="I565">
            <v>4.5</v>
          </cell>
        </row>
        <row r="566">
          <cell r="A566" t="str">
            <v>19-00565</v>
          </cell>
          <cell r="B566" t="str">
            <v>FOSTER</v>
          </cell>
          <cell r="C566" t="str">
            <v>D</v>
          </cell>
          <cell r="D566" t="str">
            <v>N/A</v>
          </cell>
          <cell r="E566" t="str">
            <v>16326 FOSTER ALMOHADA 35x35 cms MICKEY DISCONTINUED</v>
          </cell>
          <cell r="F566" t="str">
            <v>PILLOW</v>
          </cell>
          <cell r="G566">
            <v>16326</v>
          </cell>
          <cell r="H566" t="str">
            <v>FOSTER</v>
          </cell>
          <cell r="I566">
            <v>4.5</v>
          </cell>
        </row>
        <row r="567">
          <cell r="A567" t="str">
            <v>19-00566</v>
          </cell>
          <cell r="B567" t="str">
            <v>FOSTER</v>
          </cell>
          <cell r="C567" t="str">
            <v>D</v>
          </cell>
          <cell r="D567" t="str">
            <v>N/A</v>
          </cell>
          <cell r="E567" t="str">
            <v>16327 FOSTER ALMOHADA 35x35 cms MINNIE DISCONTINUED</v>
          </cell>
          <cell r="F567" t="str">
            <v>PILLOW</v>
          </cell>
          <cell r="G567">
            <v>16327</v>
          </cell>
          <cell r="H567" t="str">
            <v>FOSTER</v>
          </cell>
          <cell r="I567">
            <v>4.5</v>
          </cell>
        </row>
        <row r="568">
          <cell r="A568" t="str">
            <v>19-00567</v>
          </cell>
          <cell r="B568" t="str">
            <v>FOSTER</v>
          </cell>
          <cell r="C568" t="str">
            <v>D</v>
          </cell>
          <cell r="D568" t="str">
            <v>N/A</v>
          </cell>
          <cell r="E568" t="str">
            <v>16328 FOSTER ALMOHADA 35x35 cms EEYORE DISCONTINUED</v>
          </cell>
          <cell r="F568" t="str">
            <v>PILLOW</v>
          </cell>
          <cell r="G568">
            <v>16328</v>
          </cell>
          <cell r="H568" t="str">
            <v>FOSTER</v>
          </cell>
          <cell r="I568">
            <v>4.5</v>
          </cell>
        </row>
        <row r="569">
          <cell r="A569" t="str">
            <v>19-00568</v>
          </cell>
          <cell r="B569" t="str">
            <v>FOSTER</v>
          </cell>
          <cell r="C569" t="str">
            <v>D</v>
          </cell>
          <cell r="D569" t="str">
            <v>N/A</v>
          </cell>
          <cell r="E569" t="str">
            <v>16329 FOSTER ALMOHADA 35x35 cms DONALD DISCONTINUED</v>
          </cell>
          <cell r="F569" t="str">
            <v>PILLOW</v>
          </cell>
          <cell r="G569">
            <v>16329</v>
          </cell>
          <cell r="H569" t="str">
            <v>FOSTER</v>
          </cell>
          <cell r="I569">
            <v>4.5</v>
          </cell>
        </row>
        <row r="570">
          <cell r="A570" t="str">
            <v>19-00569</v>
          </cell>
          <cell r="B570" t="str">
            <v>FOSTER</v>
          </cell>
          <cell r="C570" t="str">
            <v>D</v>
          </cell>
          <cell r="D570" t="str">
            <v>N/A</v>
          </cell>
          <cell r="E570" t="str">
            <v>16330-D FOSTER ALMOHADA 35x35 cms TIGGER DISCONTINUED</v>
          </cell>
          <cell r="F570" t="str">
            <v>PILLOW</v>
          </cell>
          <cell r="G570" t="str">
            <v>16330-D</v>
          </cell>
          <cell r="H570" t="str">
            <v>FOSTER</v>
          </cell>
          <cell r="I570">
            <v>4.5</v>
          </cell>
        </row>
        <row r="571">
          <cell r="A571" t="str">
            <v>19-00570</v>
          </cell>
          <cell r="B571" t="str">
            <v>FOSTER</v>
          </cell>
          <cell r="C571" t="str">
            <v>D</v>
          </cell>
          <cell r="D571" t="str">
            <v>N/A</v>
          </cell>
          <cell r="E571" t="str">
            <v>16331 FOSTER ALMOHADA 35x35 cms MICKEY DISCONTINUED</v>
          </cell>
          <cell r="F571" t="str">
            <v>PILLOW</v>
          </cell>
          <cell r="G571">
            <v>16331</v>
          </cell>
          <cell r="H571" t="str">
            <v>FOSTER</v>
          </cell>
          <cell r="I571">
            <v>4.5</v>
          </cell>
        </row>
        <row r="572">
          <cell r="A572" t="str">
            <v>19-00571</v>
          </cell>
          <cell r="B572" t="str">
            <v>FOSTER</v>
          </cell>
          <cell r="C572" t="str">
            <v>D</v>
          </cell>
          <cell r="D572" t="str">
            <v>N/A</v>
          </cell>
          <cell r="E572" t="str">
            <v>16332 FOSTER ALMOHADA 35x35 cms MINNIE DISCONTINUED</v>
          </cell>
          <cell r="F572" t="str">
            <v>PILLOW</v>
          </cell>
          <cell r="G572">
            <v>16332</v>
          </cell>
          <cell r="H572" t="str">
            <v>FOSTER</v>
          </cell>
          <cell r="I572">
            <v>4.5</v>
          </cell>
        </row>
        <row r="573">
          <cell r="A573" t="str">
            <v>19-00572</v>
          </cell>
          <cell r="B573" t="str">
            <v>GLOBAL DISTRIBUTOR</v>
          </cell>
          <cell r="C573" t="str">
            <v>D</v>
          </cell>
          <cell r="D573" t="str">
            <v>N/A</v>
          </cell>
          <cell r="E573" t="str">
            <v>BM001 CLOUDZ GOGGLES BATMAN DISCONTINUED</v>
          </cell>
          <cell r="F573" t="str">
            <v>SUNGLASSES</v>
          </cell>
          <cell r="G573" t="str">
            <v>BM001</v>
          </cell>
          <cell r="H573" t="str">
            <v>CLOUDZ</v>
          </cell>
          <cell r="I573">
            <v>6</v>
          </cell>
        </row>
        <row r="574">
          <cell r="A574" t="str">
            <v>19-00573</v>
          </cell>
          <cell r="B574" t="str">
            <v>GLOBAL DISTRIBUTOR</v>
          </cell>
          <cell r="C574" t="str">
            <v>D</v>
          </cell>
          <cell r="D574" t="str">
            <v>N/A</v>
          </cell>
          <cell r="E574" t="str">
            <v>26606 CLOUDZ GOGGLES CARS DISCONTINUED</v>
          </cell>
          <cell r="F574" t="str">
            <v>SUNGLASSES</v>
          </cell>
          <cell r="G574">
            <v>26606</v>
          </cell>
          <cell r="H574" t="str">
            <v>CLOUDZ</v>
          </cell>
          <cell r="I574">
            <v>6</v>
          </cell>
        </row>
        <row r="575">
          <cell r="A575" t="str">
            <v>19-00574</v>
          </cell>
          <cell r="B575" t="str">
            <v>GLOBAL DISTRIBUTOR</v>
          </cell>
          <cell r="C575" t="str">
            <v>D</v>
          </cell>
          <cell r="D575" t="str">
            <v>N/A</v>
          </cell>
          <cell r="E575" t="str">
            <v>16624 CLOUDZ GOGGLES HELLO KITTY DISCONTINUED</v>
          </cell>
          <cell r="F575" t="str">
            <v>SUNGLASSES</v>
          </cell>
          <cell r="G575">
            <v>16624</v>
          </cell>
          <cell r="H575" t="str">
            <v>CLOUDZ</v>
          </cell>
          <cell r="I575">
            <v>6</v>
          </cell>
        </row>
        <row r="576">
          <cell r="A576" t="str">
            <v>19-00575</v>
          </cell>
          <cell r="B576" t="str">
            <v>GLOBAL DISTRIBUTOR</v>
          </cell>
          <cell r="C576" t="str">
            <v>D</v>
          </cell>
          <cell r="D576" t="str">
            <v>N/A</v>
          </cell>
          <cell r="E576" t="str">
            <v>HW001 CLOUDZ GOGGLES HOT WHEELS DISCONTINUED</v>
          </cell>
          <cell r="F576" t="str">
            <v>SUNGLASSES</v>
          </cell>
          <cell r="G576" t="str">
            <v>HW001</v>
          </cell>
          <cell r="H576" t="str">
            <v>CLOUDZ</v>
          </cell>
          <cell r="I576">
            <v>6</v>
          </cell>
        </row>
        <row r="577">
          <cell r="A577" t="str">
            <v>19-00576</v>
          </cell>
          <cell r="B577" t="str">
            <v>GLOBAL DISTRIBUTOR</v>
          </cell>
          <cell r="C577" t="str">
            <v>D</v>
          </cell>
          <cell r="D577" t="str">
            <v>N/A</v>
          </cell>
          <cell r="E577" t="str">
            <v>26605 CLOUDZ GOGGLES PRINCESS DISCONTINUED</v>
          </cell>
          <cell r="F577" t="str">
            <v>SUNGLASSES</v>
          </cell>
          <cell r="G577">
            <v>26605</v>
          </cell>
          <cell r="H577" t="str">
            <v>CLOUDZ</v>
          </cell>
          <cell r="I577">
            <v>6</v>
          </cell>
        </row>
        <row r="578">
          <cell r="A578" t="str">
            <v>19-00577</v>
          </cell>
          <cell r="B578" t="str">
            <v>GLOBAL DISTRIBUTOR</v>
          </cell>
          <cell r="C578" t="str">
            <v>D</v>
          </cell>
          <cell r="D578" t="str">
            <v>N/A</v>
          </cell>
          <cell r="E578" t="str">
            <v>22472 CLOUDZ GOGGLES SPONGEBOB DISCONTINUED</v>
          </cell>
          <cell r="F578" t="str">
            <v>SUNGLASSES</v>
          </cell>
          <cell r="G578">
            <v>22472</v>
          </cell>
          <cell r="H578" t="str">
            <v>CLOUDZ</v>
          </cell>
          <cell r="I578">
            <v>6</v>
          </cell>
        </row>
        <row r="579">
          <cell r="A579" t="str">
            <v>19-00578</v>
          </cell>
          <cell r="B579" t="str">
            <v>GLOBAL DISTRIBUTOR</v>
          </cell>
          <cell r="C579" t="str">
            <v>D</v>
          </cell>
          <cell r="D579" t="str">
            <v>N/A</v>
          </cell>
          <cell r="E579" t="str">
            <v>26607 CLOUDZ GOGGLES TOY STORY DISCONTINUED</v>
          </cell>
          <cell r="F579" t="str">
            <v>SUNGLASSES</v>
          </cell>
          <cell r="G579">
            <v>26607</v>
          </cell>
          <cell r="H579" t="str">
            <v>CLOUDZ</v>
          </cell>
          <cell r="I579">
            <v>6</v>
          </cell>
        </row>
        <row r="580">
          <cell r="A580" t="str">
            <v>19-00579</v>
          </cell>
          <cell r="B580" t="str">
            <v>N/A</v>
          </cell>
          <cell r="C580" t="str">
            <v>D</v>
          </cell>
          <cell r="D580" t="str">
            <v>N/A</v>
          </cell>
          <cell r="E580" t="str">
            <v>S2FFDM-042 SKULLCANDY 50/50  PURPLE W/ MIC3 DISCONTINUED</v>
          </cell>
          <cell r="F580" t="str">
            <v>AUDIFONOS</v>
          </cell>
          <cell r="G580" t="str">
            <v>S2FFDM-042</v>
          </cell>
          <cell r="H580" t="str">
            <v>SKULLCANDY</v>
          </cell>
          <cell r="I580">
            <v>25</v>
          </cell>
        </row>
        <row r="581">
          <cell r="A581" t="str">
            <v>19-00580</v>
          </cell>
          <cell r="B581" t="str">
            <v>N/A</v>
          </cell>
          <cell r="C581" t="str">
            <v>D</v>
          </cell>
          <cell r="D581" t="str">
            <v>N/A</v>
          </cell>
          <cell r="E581" t="str">
            <v>S2FFDM-083 SKULLCANDY 50/50 YELLOW W/ MIC DISCONTINUED</v>
          </cell>
          <cell r="F581" t="str">
            <v>AUDIFONOS</v>
          </cell>
          <cell r="G581" t="str">
            <v>S2FFDM-083</v>
          </cell>
          <cell r="H581" t="str">
            <v>SKULLCANDY</v>
          </cell>
          <cell r="I581">
            <v>25</v>
          </cell>
        </row>
        <row r="582">
          <cell r="A582" t="str">
            <v>19-00581</v>
          </cell>
          <cell r="B582" t="str">
            <v>N/A</v>
          </cell>
          <cell r="C582" t="str">
            <v>D</v>
          </cell>
          <cell r="D582" t="str">
            <v>N/A</v>
          </cell>
          <cell r="E582" t="str">
            <v>S2FFDM-141 SKULLCANDY 50/50 VINTAGE ROAD W/ MIC3 DISCONTINUED</v>
          </cell>
          <cell r="F582" t="str">
            <v>AUDIFONOS</v>
          </cell>
          <cell r="G582" t="str">
            <v>S2FFDM-141</v>
          </cell>
          <cell r="H582" t="str">
            <v>SKULLCANDY</v>
          </cell>
          <cell r="I582">
            <v>25</v>
          </cell>
        </row>
        <row r="583">
          <cell r="A583" t="str">
            <v>19-00582</v>
          </cell>
          <cell r="B583" t="str">
            <v>N/A</v>
          </cell>
          <cell r="C583" t="str">
            <v>D</v>
          </cell>
          <cell r="D583" t="str">
            <v>N/A</v>
          </cell>
          <cell r="E583" t="str">
            <v>S2FFDM-131 SKULLCANDY 50/50 NAVY/CHROME W/ MIC3 DISCONTINUED</v>
          </cell>
          <cell r="F583" t="str">
            <v>AUDIFONOS</v>
          </cell>
          <cell r="G583" t="str">
            <v>S2FFDM-131</v>
          </cell>
          <cell r="H583" t="str">
            <v>SKULLCANDY</v>
          </cell>
          <cell r="I583">
            <v>25</v>
          </cell>
        </row>
        <row r="584">
          <cell r="A584" t="str">
            <v>19-00583</v>
          </cell>
          <cell r="B584" t="str">
            <v>N/A</v>
          </cell>
          <cell r="C584" t="str">
            <v>D</v>
          </cell>
          <cell r="D584" t="str">
            <v>N/A</v>
          </cell>
          <cell r="E584" t="str">
            <v>S2FFDM-129 SKULLCANDY 50/50 LURKER GREEN/BLACK W/ MIC3 DISCONTINUED</v>
          </cell>
          <cell r="F584" t="str">
            <v>AUDIFONOS</v>
          </cell>
          <cell r="G584" t="str">
            <v>S2FFDM-129</v>
          </cell>
          <cell r="H584" t="str">
            <v>SKULLCANDY</v>
          </cell>
          <cell r="I584">
            <v>25</v>
          </cell>
        </row>
        <row r="585">
          <cell r="A585" t="str">
            <v>19-00584</v>
          </cell>
          <cell r="B585" t="str">
            <v>N/A</v>
          </cell>
          <cell r="C585" t="str">
            <v>D</v>
          </cell>
          <cell r="D585" t="str">
            <v>N/A</v>
          </cell>
          <cell r="E585" t="str">
            <v>S6AGBZ-71 SKULLCANDY AGENT TERJE BLACK DISCONTINUED</v>
          </cell>
          <cell r="F585" t="str">
            <v>AUDIFONOS</v>
          </cell>
          <cell r="G585" t="str">
            <v>S6AGBZ-71</v>
          </cell>
          <cell r="H585" t="str">
            <v>SKULLCANDY</v>
          </cell>
          <cell r="I585">
            <v>26</v>
          </cell>
        </row>
        <row r="586">
          <cell r="A586" t="str">
            <v>19-00585</v>
          </cell>
          <cell r="B586" t="str">
            <v>N/A</v>
          </cell>
          <cell r="C586" t="str">
            <v>D</v>
          </cell>
          <cell r="D586" t="str">
            <v>N/A</v>
          </cell>
          <cell r="E586" t="str">
            <v>S6AGCZ-066 SKULLCANDY AGENT SHOE WHITE DISCONTINUED</v>
          </cell>
          <cell r="F586" t="str">
            <v>AUDIFONOS</v>
          </cell>
          <cell r="G586" t="str">
            <v>S6AGCZ-066</v>
          </cell>
          <cell r="H586" t="str">
            <v>SKULLCANDY</v>
          </cell>
          <cell r="I586">
            <v>29.9</v>
          </cell>
        </row>
        <row r="587">
          <cell r="A587" t="str">
            <v>19-00586</v>
          </cell>
          <cell r="B587" t="str">
            <v>N/A</v>
          </cell>
          <cell r="C587" t="str">
            <v>D</v>
          </cell>
          <cell r="D587" t="str">
            <v>N/A</v>
          </cell>
          <cell r="E587" t="str">
            <v>S6GIDZ-022 SKULLCANDY GI GOLD DISCONTINUED</v>
          </cell>
          <cell r="F587" t="str">
            <v>AUDIFONOS</v>
          </cell>
          <cell r="G587" t="str">
            <v>S6GIDZ-022</v>
          </cell>
          <cell r="H587" t="str">
            <v>SKULLCANDY</v>
          </cell>
          <cell r="I587">
            <v>37</v>
          </cell>
        </row>
        <row r="588">
          <cell r="A588" t="str">
            <v>19-00587</v>
          </cell>
          <cell r="B588" t="str">
            <v>N/A</v>
          </cell>
          <cell r="C588" t="str">
            <v>D</v>
          </cell>
          <cell r="D588" t="str">
            <v>N/A</v>
          </cell>
          <cell r="E588" t="str">
            <v>S6GICZ-058 SKULLCANDY GI RASTA DISCONTINUED</v>
          </cell>
          <cell r="F588" t="str">
            <v>AUDIFONOS</v>
          </cell>
          <cell r="G588" t="str">
            <v>S6GICZ-058</v>
          </cell>
          <cell r="H588" t="str">
            <v>SKULLCANDY</v>
          </cell>
          <cell r="I588">
            <v>34.409999999999997</v>
          </cell>
        </row>
        <row r="589">
          <cell r="A589" t="str">
            <v>19-00588</v>
          </cell>
          <cell r="B589" t="str">
            <v>N/A</v>
          </cell>
          <cell r="C589" t="str">
            <v>D</v>
          </cell>
          <cell r="D589" t="str">
            <v>N/A</v>
          </cell>
          <cell r="E589" t="str">
            <v>S4CHDZ-123 SKULLCANDY HANGER CHOPS_ GREY/ORANGE DISCONTINUED</v>
          </cell>
          <cell r="F589" t="str">
            <v>AUDIFONOS</v>
          </cell>
          <cell r="G589" t="str">
            <v>S4CHDZ-123</v>
          </cell>
          <cell r="H589" t="str">
            <v>SKULLCANDY</v>
          </cell>
          <cell r="I589">
            <v>10</v>
          </cell>
        </row>
        <row r="590">
          <cell r="A590" t="str">
            <v>19-00589</v>
          </cell>
          <cell r="B590" t="str">
            <v>N/A</v>
          </cell>
          <cell r="C590" t="str">
            <v>D</v>
          </cell>
          <cell r="D590" t="str">
            <v>N/A</v>
          </cell>
          <cell r="E590" t="str">
            <v>S6HEDY-083 SKULLCANDY HESH YELLOW W/ MIC DISCONTINUED</v>
          </cell>
          <cell r="F590" t="str">
            <v>AUDIFONOS</v>
          </cell>
          <cell r="G590" t="str">
            <v>S6HEDY-083</v>
          </cell>
          <cell r="H590" t="str">
            <v>SKULLCANDY</v>
          </cell>
          <cell r="I590">
            <v>32.46</v>
          </cell>
        </row>
        <row r="591">
          <cell r="A591" t="str">
            <v>19-00590</v>
          </cell>
          <cell r="B591" t="str">
            <v>N/A</v>
          </cell>
          <cell r="C591" t="str">
            <v>D</v>
          </cell>
          <cell r="D591" t="str">
            <v>N/A</v>
          </cell>
          <cell r="E591" t="str">
            <v>S6HECY-017 SKULLCANDY HESH DB RASTA W/MIC DISCONTINUED</v>
          </cell>
          <cell r="F591" t="str">
            <v>AUDIFONOS</v>
          </cell>
          <cell r="G591" t="str">
            <v>S6HECY-017</v>
          </cell>
          <cell r="H591" t="str">
            <v>SKULLCANDY</v>
          </cell>
          <cell r="I591">
            <v>40.15</v>
          </cell>
        </row>
        <row r="592">
          <cell r="A592" t="str">
            <v>19-00591</v>
          </cell>
          <cell r="B592" t="str">
            <v>N/A</v>
          </cell>
          <cell r="C592" t="str">
            <v>D</v>
          </cell>
          <cell r="D592" t="str">
            <v>N/A</v>
          </cell>
          <cell r="E592" t="str">
            <v>S6HECY-069 SKULLCANDY HESH  SPARKLE MOTION W/MIC DISCONTINUED</v>
          </cell>
          <cell r="F592" t="str">
            <v>AUDIFONOS</v>
          </cell>
          <cell r="G592" t="str">
            <v>S6HECY-069</v>
          </cell>
          <cell r="H592" t="str">
            <v>SKULLCANDY</v>
          </cell>
          <cell r="I592">
            <v>40.15</v>
          </cell>
        </row>
        <row r="593">
          <cell r="A593" t="str">
            <v>19-00592</v>
          </cell>
          <cell r="B593" t="str">
            <v>N/A</v>
          </cell>
          <cell r="C593" t="str">
            <v>D</v>
          </cell>
          <cell r="D593" t="str">
            <v>N/A</v>
          </cell>
          <cell r="E593" t="str">
            <v>S6HEDZ-133 SKULLCANDY HESH PAUL FRANK DEVIL JULIUS DISCONTINUED</v>
          </cell>
          <cell r="F593" t="str">
            <v>AUDIFONOS</v>
          </cell>
          <cell r="G593" t="str">
            <v>S6HEDZ-133</v>
          </cell>
          <cell r="H593" t="str">
            <v>SKULLCANDY</v>
          </cell>
          <cell r="I593">
            <v>32.46</v>
          </cell>
        </row>
        <row r="594">
          <cell r="A594" t="str">
            <v>19-00593</v>
          </cell>
          <cell r="B594" t="str">
            <v>N/A</v>
          </cell>
          <cell r="C594" t="str">
            <v>D</v>
          </cell>
          <cell r="D594" t="str">
            <v>N/A</v>
          </cell>
          <cell r="E594" t="str">
            <v>S5ITDY-059 SKULLCANDY ICON _2  RED W/ MIC DISCONTINUED</v>
          </cell>
          <cell r="F594" t="str">
            <v>AUDIFONOS</v>
          </cell>
          <cell r="G594" t="str">
            <v>S5ITDY-059</v>
          </cell>
          <cell r="H594" t="str">
            <v>SKULLCANDY</v>
          </cell>
          <cell r="I594">
            <v>16</v>
          </cell>
        </row>
        <row r="595">
          <cell r="A595" t="str">
            <v>19-00594</v>
          </cell>
          <cell r="B595" t="str">
            <v>N/A</v>
          </cell>
          <cell r="C595" t="str">
            <v>D</v>
          </cell>
          <cell r="D595" t="str">
            <v>N/A</v>
          </cell>
          <cell r="E595" t="str">
            <v>S5ITCY-062 SKULLCANDY ICON _2 SHOE BLACK W/MIC DISCONTINUED</v>
          </cell>
          <cell r="F595" t="str">
            <v>AUDIFONOS</v>
          </cell>
          <cell r="G595" t="str">
            <v>S5ITCY-062</v>
          </cell>
          <cell r="H595" t="str">
            <v>SKULLCANDY</v>
          </cell>
          <cell r="I595">
            <v>16</v>
          </cell>
        </row>
        <row r="596">
          <cell r="A596" t="str">
            <v>19-00595</v>
          </cell>
          <cell r="B596" t="str">
            <v>N/A</v>
          </cell>
          <cell r="C596" t="str">
            <v>D</v>
          </cell>
          <cell r="D596" t="str">
            <v>N/A</v>
          </cell>
          <cell r="E596" t="str">
            <v>S2INDY-033 SKULLCANDY INKD  BLACK W/ MIC DISCONTINUED</v>
          </cell>
          <cell r="F596" t="str">
            <v>AUDIFONOS</v>
          </cell>
          <cell r="G596" t="str">
            <v>S2INDY-033</v>
          </cell>
          <cell r="H596" t="str">
            <v>SKULLCANDY</v>
          </cell>
          <cell r="I596">
            <v>10</v>
          </cell>
        </row>
        <row r="597">
          <cell r="A597" t="str">
            <v>19-00596</v>
          </cell>
          <cell r="B597" t="str">
            <v>N/A</v>
          </cell>
          <cell r="C597" t="str">
            <v>D</v>
          </cell>
          <cell r="D597" t="str">
            <v>N/A</v>
          </cell>
          <cell r="E597" t="str">
            <v>S2INDY-134 SKULLCANDY INKD PINK W/ MIC DISCONTINUED</v>
          </cell>
          <cell r="F597" t="str">
            <v>AUDIFONOS</v>
          </cell>
          <cell r="G597" t="str">
            <v>S2INDY-134</v>
          </cell>
          <cell r="H597" t="str">
            <v>SKULLCANDY</v>
          </cell>
          <cell r="I597">
            <v>10</v>
          </cell>
        </row>
        <row r="598">
          <cell r="A598" t="str">
            <v>19-00597</v>
          </cell>
          <cell r="B598" t="str">
            <v>N/A</v>
          </cell>
          <cell r="C598" t="str">
            <v>D</v>
          </cell>
          <cell r="D598" t="str">
            <v>N/A</v>
          </cell>
          <cell r="E598" t="str">
            <v>S2INDY-037 SKULLCANDY INKD GREEN W/ MIC DISCONTINUED</v>
          </cell>
          <cell r="F598" t="str">
            <v>AUDIFONOS</v>
          </cell>
          <cell r="G598" t="str">
            <v>S2INDY-037</v>
          </cell>
          <cell r="H598" t="str">
            <v>SKULLCANDY</v>
          </cell>
          <cell r="I598">
            <v>10</v>
          </cell>
        </row>
        <row r="599">
          <cell r="A599" t="str">
            <v>19-00598</v>
          </cell>
          <cell r="B599" t="str">
            <v>N/A</v>
          </cell>
          <cell r="C599" t="str">
            <v>D</v>
          </cell>
          <cell r="D599" t="str">
            <v>N/A</v>
          </cell>
          <cell r="E599" t="str">
            <v>S2INDY-045 SKULLCANDY INKD  SILVER W/ MIC DISCONTINUED</v>
          </cell>
          <cell r="F599" t="str">
            <v>AUDIFONOS</v>
          </cell>
          <cell r="G599" t="str">
            <v>S2INDY-045</v>
          </cell>
          <cell r="H599" t="str">
            <v>SKULLCANDY</v>
          </cell>
          <cell r="I599">
            <v>10</v>
          </cell>
        </row>
        <row r="600">
          <cell r="A600" t="str">
            <v>19-00599</v>
          </cell>
          <cell r="B600" t="str">
            <v>N/A</v>
          </cell>
          <cell r="C600" t="str">
            <v>D</v>
          </cell>
          <cell r="D600" t="str">
            <v>N/A</v>
          </cell>
          <cell r="E600" t="str">
            <v>S2INDY-101 SKULLCANDY INKD BLUE W/ MIC DISCONTINUED</v>
          </cell>
          <cell r="F600" t="str">
            <v>AUDIFONOS</v>
          </cell>
          <cell r="G600" t="str">
            <v>S2INDY-101</v>
          </cell>
          <cell r="H600" t="str">
            <v>SKULLCANDY</v>
          </cell>
          <cell r="I600">
            <v>12.65</v>
          </cell>
        </row>
        <row r="601">
          <cell r="A601" t="str">
            <v>19-00600</v>
          </cell>
          <cell r="B601" t="str">
            <v>N/A</v>
          </cell>
          <cell r="C601" t="str">
            <v>D</v>
          </cell>
          <cell r="D601" t="str">
            <v>N/A</v>
          </cell>
          <cell r="E601" t="str">
            <v>S2INCZ-058 SKULLCANDY INKD RASTA DISCONTINUED</v>
          </cell>
          <cell r="F601" t="str">
            <v>AUDIFONOS</v>
          </cell>
          <cell r="G601" t="str">
            <v>S2INCZ-058</v>
          </cell>
          <cell r="H601" t="str">
            <v>SKULLCANDY</v>
          </cell>
          <cell r="I601">
            <v>9.5150000000000006</v>
          </cell>
        </row>
        <row r="602">
          <cell r="A602" t="str">
            <v>19-00601</v>
          </cell>
          <cell r="B602" t="str">
            <v>N/A</v>
          </cell>
          <cell r="C602" t="str">
            <v>D</v>
          </cell>
          <cell r="D602" t="str">
            <v>N/A</v>
          </cell>
          <cell r="E602" t="str">
            <v>S5LWCY-063 SKULLCANDY LOWRIDER SHOE BLUE W/MIC DISCONTINUED</v>
          </cell>
          <cell r="F602" t="str">
            <v>AUDIFONOS</v>
          </cell>
          <cell r="G602" t="str">
            <v>S5LWCY-063</v>
          </cell>
          <cell r="H602" t="str">
            <v>SKULLCANDY</v>
          </cell>
          <cell r="I602">
            <v>25.88</v>
          </cell>
        </row>
        <row r="603">
          <cell r="A603" t="str">
            <v>19-00602</v>
          </cell>
          <cell r="B603" t="str">
            <v>N/A</v>
          </cell>
          <cell r="C603" t="str">
            <v>D</v>
          </cell>
          <cell r="D603" t="str">
            <v>N/A</v>
          </cell>
          <cell r="E603" t="str">
            <v>S5LWCY-064 SKULLCANDY LOWRIDER  SHOE PURPLE W/MIC DISCONTINUED</v>
          </cell>
          <cell r="F603" t="str">
            <v>AUDIFONOS</v>
          </cell>
          <cell r="G603" t="str">
            <v>S5LWCY-064</v>
          </cell>
          <cell r="H603" t="str">
            <v>SKULLCANDY</v>
          </cell>
          <cell r="I603">
            <v>22.5</v>
          </cell>
        </row>
        <row r="604">
          <cell r="A604" t="str">
            <v>19-00603</v>
          </cell>
          <cell r="B604" t="str">
            <v>N/A</v>
          </cell>
          <cell r="C604" t="str">
            <v>D</v>
          </cell>
          <cell r="D604" t="str">
            <v>N/A</v>
          </cell>
          <cell r="E604" t="str">
            <v>S5LWDZ-134 SKULLCANDY LOWRIDER  BLACK/BLACK W/MIC DISCONTINUED</v>
          </cell>
          <cell r="F604" t="str">
            <v>AUDIFONOS</v>
          </cell>
          <cell r="G604" t="str">
            <v>S5LWDZ-134</v>
          </cell>
          <cell r="H604" t="str">
            <v>SKULLCANDY</v>
          </cell>
          <cell r="I604">
            <v>22.5</v>
          </cell>
        </row>
        <row r="605">
          <cell r="A605" t="str">
            <v>19-00604</v>
          </cell>
          <cell r="B605" t="str">
            <v>N/A</v>
          </cell>
          <cell r="C605" t="str">
            <v>D</v>
          </cell>
          <cell r="D605" t="str">
            <v>N/A</v>
          </cell>
          <cell r="E605" t="str">
            <v>S5LWDY-117 SKULLCANDY LOWRIDER BLACK/BONE W/ MIC DISCONTINUED</v>
          </cell>
          <cell r="F605" t="str">
            <v>AUDIFONOS</v>
          </cell>
          <cell r="G605" t="str">
            <v>S5LWDY-117</v>
          </cell>
          <cell r="H605" t="str">
            <v>SKULLCANDY</v>
          </cell>
          <cell r="I605">
            <v>19.47</v>
          </cell>
        </row>
        <row r="606">
          <cell r="A606" t="str">
            <v>19-00605</v>
          </cell>
          <cell r="B606" t="str">
            <v>N/A</v>
          </cell>
          <cell r="C606" t="str">
            <v>D</v>
          </cell>
          <cell r="D606" t="str">
            <v>N/A</v>
          </cell>
          <cell r="E606" t="str">
            <v>S5LWCY-058 SKULLCANDY LOWRIDER RASTA W/ MIC DISCONTINUED</v>
          </cell>
          <cell r="F606" t="str">
            <v>AUDIFONOS</v>
          </cell>
          <cell r="G606" t="str">
            <v>S5LWCY-058</v>
          </cell>
          <cell r="H606" t="str">
            <v>SKULLCANDY</v>
          </cell>
          <cell r="I606">
            <v>22.5</v>
          </cell>
        </row>
        <row r="607">
          <cell r="A607" t="str">
            <v>19-00606</v>
          </cell>
          <cell r="B607" t="str">
            <v>N/A</v>
          </cell>
          <cell r="C607" t="str">
            <v>D</v>
          </cell>
          <cell r="D607" t="str">
            <v>N/A</v>
          </cell>
          <cell r="E607" t="str">
            <v>S5LWDY-136 SKULLCANDY LOWRIDER PURPLE/WHITE W/ MIC DISCONTINUED</v>
          </cell>
          <cell r="F607" t="str">
            <v>AUDIFONOS</v>
          </cell>
          <cell r="G607" t="str">
            <v>S5LWDY-136</v>
          </cell>
          <cell r="H607" t="str">
            <v>SKULLCANDY</v>
          </cell>
          <cell r="I607">
            <v>19.463999999999999</v>
          </cell>
        </row>
        <row r="608">
          <cell r="A608" t="str">
            <v>19-00607</v>
          </cell>
          <cell r="B608" t="str">
            <v>N/A</v>
          </cell>
          <cell r="C608" t="str">
            <v>D</v>
          </cell>
          <cell r="D608" t="str">
            <v>N/A</v>
          </cell>
          <cell r="E608" t="str">
            <v>S2BLDY-144 SKULLCANDY RIOT LIGHT BLUE/ NAVY W/ MIC DISCONTINUED</v>
          </cell>
          <cell r="F608" t="str">
            <v>AUDIFONOS</v>
          </cell>
          <cell r="G608" t="str">
            <v>S2BLDY-144</v>
          </cell>
          <cell r="H608" t="str">
            <v>SKULLCANDY</v>
          </cell>
          <cell r="I608">
            <v>11.5</v>
          </cell>
        </row>
        <row r="609">
          <cell r="A609" t="str">
            <v>19-00608</v>
          </cell>
          <cell r="B609" t="str">
            <v>N/A</v>
          </cell>
          <cell r="C609" t="str">
            <v>D</v>
          </cell>
          <cell r="D609" t="str">
            <v>N/A</v>
          </cell>
          <cell r="E609" t="str">
            <v>S2BLDY-138 SKULLCANDY RIOT RETRO HOOPS W/ MIC DISCONTINUED</v>
          </cell>
          <cell r="F609" t="str">
            <v>AUDIFONOS</v>
          </cell>
          <cell r="G609" t="str">
            <v>S2BLDY-138</v>
          </cell>
          <cell r="H609" t="str">
            <v>SKULLCANDY</v>
          </cell>
          <cell r="I609">
            <v>10</v>
          </cell>
        </row>
        <row r="610">
          <cell r="A610" t="str">
            <v>19-00609</v>
          </cell>
          <cell r="B610" t="str">
            <v>N/A</v>
          </cell>
          <cell r="C610" t="str">
            <v>D</v>
          </cell>
          <cell r="D610" t="str">
            <v>N/A</v>
          </cell>
          <cell r="E610" t="str">
            <v>S2BLDY-056 SKULLCANDY RIOT PURPLE/WHITE/BLUE W/ MIC DISCONTINUED</v>
          </cell>
          <cell r="F610" t="str">
            <v>AUDIFONOS</v>
          </cell>
          <cell r="G610" t="str">
            <v>S2BLDY-056</v>
          </cell>
          <cell r="H610" t="str">
            <v>SKULLCANDY</v>
          </cell>
          <cell r="I610">
            <v>10</v>
          </cell>
        </row>
        <row r="611">
          <cell r="A611" t="str">
            <v>19-00610</v>
          </cell>
          <cell r="B611" t="str">
            <v>N/A</v>
          </cell>
          <cell r="C611" t="str">
            <v>D</v>
          </cell>
          <cell r="D611" t="str">
            <v>N/A</v>
          </cell>
          <cell r="E611" t="str">
            <v>S2BLDY-137 SKULLCANDY RIOT  RED/WHITE W/ MIC DISCONTINUED</v>
          </cell>
          <cell r="F611" t="str">
            <v>AUDIFONOS</v>
          </cell>
          <cell r="G611" t="str">
            <v>S2BLDY-137</v>
          </cell>
          <cell r="H611" t="str">
            <v>SKULLCANDY</v>
          </cell>
          <cell r="I611">
            <v>10</v>
          </cell>
        </row>
        <row r="612">
          <cell r="A612" t="str">
            <v>19-00611</v>
          </cell>
          <cell r="B612" t="str">
            <v>N/A</v>
          </cell>
          <cell r="C612" t="str">
            <v>D</v>
          </cell>
          <cell r="D612" t="str">
            <v>N/A</v>
          </cell>
          <cell r="E612" t="str">
            <v>S2BLDY-083 SKULLCANDY RIOT YELLOW W/ MIC DISCONTINUED</v>
          </cell>
          <cell r="F612" t="str">
            <v>AUDIFONOS</v>
          </cell>
          <cell r="G612" t="str">
            <v>S2BLDY-083</v>
          </cell>
          <cell r="H612" t="str">
            <v>SKULLCANDY</v>
          </cell>
          <cell r="I612">
            <v>10</v>
          </cell>
        </row>
        <row r="613">
          <cell r="A613" t="str">
            <v>19-00612</v>
          </cell>
          <cell r="B613" t="str">
            <v>N/A</v>
          </cell>
          <cell r="C613" t="str">
            <v>D</v>
          </cell>
          <cell r="D613" t="str">
            <v>N/A</v>
          </cell>
          <cell r="E613" t="str">
            <v>S2BLDY-129 SKULLCANDY RIOT LUCKER GREEN W/MIC DISCONTINUED</v>
          </cell>
          <cell r="F613" t="str">
            <v>AUDIFONOS</v>
          </cell>
          <cell r="G613" t="str">
            <v>S2BLDY-129</v>
          </cell>
          <cell r="H613" t="str">
            <v>SKULLCANDY</v>
          </cell>
          <cell r="I613">
            <v>10</v>
          </cell>
        </row>
        <row r="614">
          <cell r="A614" t="str">
            <v>19-00613</v>
          </cell>
          <cell r="B614" t="str">
            <v>N/A</v>
          </cell>
          <cell r="C614" t="str">
            <v>D</v>
          </cell>
          <cell r="D614" t="str">
            <v>N/A</v>
          </cell>
          <cell r="E614" t="str">
            <v>S2SBDY-134 SKULLCANDY SMOKIN_BUDS PINK/BLACK  W/MIC DISCONTINUED</v>
          </cell>
          <cell r="F614" t="str">
            <v>AUDIFONOS</v>
          </cell>
          <cell r="G614" t="str">
            <v>S2SBDY-134</v>
          </cell>
          <cell r="H614" t="str">
            <v>SKULLCANDY</v>
          </cell>
          <cell r="I614">
            <v>17.25</v>
          </cell>
        </row>
        <row r="615">
          <cell r="A615" t="str">
            <v>19-00614</v>
          </cell>
          <cell r="B615" t="str">
            <v>N/A</v>
          </cell>
          <cell r="C615" t="str">
            <v>D</v>
          </cell>
          <cell r="D615" t="str">
            <v>N/A</v>
          </cell>
          <cell r="E615" t="str">
            <v>S2SBDY-058 SKULLCANDY SMOKIN_BUDS RASTA  W./MIC DISCONTINUED</v>
          </cell>
          <cell r="F615" t="str">
            <v>AUDIFONOS</v>
          </cell>
          <cell r="G615" t="str">
            <v>S2SBDY-058</v>
          </cell>
          <cell r="H615" t="str">
            <v>SKULLCANDY</v>
          </cell>
          <cell r="I615">
            <v>17.25</v>
          </cell>
        </row>
        <row r="616">
          <cell r="A616" t="str">
            <v>19-00615</v>
          </cell>
          <cell r="B616" t="str">
            <v>N/A</v>
          </cell>
          <cell r="C616" t="str">
            <v>D</v>
          </cell>
          <cell r="D616" t="str">
            <v>N/A</v>
          </cell>
          <cell r="E616" t="str">
            <v>S5URDZ-037 SKULLCANDY UPROCK GREEN/BLACK DISCONTINUED</v>
          </cell>
          <cell r="F616" t="str">
            <v>AUDIFONOS</v>
          </cell>
          <cell r="G616" t="str">
            <v>S5URDZ-037</v>
          </cell>
          <cell r="H616" t="str">
            <v>SKULLCANDY</v>
          </cell>
          <cell r="I616">
            <v>13.95</v>
          </cell>
        </row>
        <row r="617">
          <cell r="A617" t="str">
            <v>19-00616</v>
          </cell>
          <cell r="B617" t="str">
            <v>N/A</v>
          </cell>
          <cell r="C617" t="str">
            <v>D</v>
          </cell>
          <cell r="D617" t="str">
            <v>N/A</v>
          </cell>
          <cell r="E617" t="str">
            <v>S5URDZ-058 SKULLCANDY UPROCK RASTA DISCONTINUED</v>
          </cell>
          <cell r="F617" t="str">
            <v>AUDIFONOS</v>
          </cell>
          <cell r="G617" t="str">
            <v>S5URDZ-058</v>
          </cell>
          <cell r="H617" t="str">
            <v>SKULLCANDY</v>
          </cell>
          <cell r="I617">
            <v>13.95</v>
          </cell>
        </row>
        <row r="618">
          <cell r="A618" t="str">
            <v>19-00617</v>
          </cell>
          <cell r="B618" t="str">
            <v>N/A</v>
          </cell>
          <cell r="C618" t="str">
            <v>D</v>
          </cell>
          <cell r="D618" t="str">
            <v>N/A</v>
          </cell>
          <cell r="E618" t="str">
            <v>S5URDZ-072 SKULLCANDY UPROCK WHITE DISCONTINUED</v>
          </cell>
          <cell r="F618" t="str">
            <v>AUDIFONOS</v>
          </cell>
          <cell r="G618" t="str">
            <v>S5URDZ-072</v>
          </cell>
          <cell r="H618" t="str">
            <v>SKULLCANDY</v>
          </cell>
          <cell r="I618">
            <v>15</v>
          </cell>
        </row>
        <row r="619">
          <cell r="A619" t="str">
            <v>19-00618</v>
          </cell>
          <cell r="B619" t="str">
            <v>N/A</v>
          </cell>
          <cell r="C619" t="str">
            <v>D</v>
          </cell>
          <cell r="D619" t="str">
            <v>N/A</v>
          </cell>
          <cell r="E619" t="str">
            <v>S5URCZ-101 SKULLCANDY UPROCK BLUE/BLACK DISCONTINUED</v>
          </cell>
          <cell r="F619" t="str">
            <v>AUDIFONOS</v>
          </cell>
          <cell r="G619" t="str">
            <v>S5URCZ-101</v>
          </cell>
          <cell r="H619" t="str">
            <v>SKULLCANDY</v>
          </cell>
          <cell r="I619">
            <v>15</v>
          </cell>
        </row>
        <row r="620">
          <cell r="A620" t="str">
            <v>19-00619</v>
          </cell>
          <cell r="B620" t="str">
            <v>N/A</v>
          </cell>
          <cell r="C620" t="str">
            <v>D</v>
          </cell>
          <cell r="D620" t="str">
            <v>N/A</v>
          </cell>
          <cell r="E620" t="str">
            <v>S5URDZ-134 SKULLCANDY UPROCK PINK/BLACK DISCONTINUED</v>
          </cell>
          <cell r="F620" t="str">
            <v>AUDIFONOS</v>
          </cell>
          <cell r="G620" t="str">
            <v>S5URDZ-134</v>
          </cell>
          <cell r="H620" t="str">
            <v>SKULLCANDY</v>
          </cell>
          <cell r="I620">
            <v>17.25</v>
          </cell>
        </row>
        <row r="621">
          <cell r="A621" t="str">
            <v>19-00620</v>
          </cell>
          <cell r="B621" t="str">
            <v>SUPER XTRA</v>
          </cell>
          <cell r="C621" t="str">
            <v>D</v>
          </cell>
          <cell r="D621" t="str">
            <v>N/A</v>
          </cell>
          <cell r="E621" t="str">
            <v>00100 DURACELL TIPO AA B/2 MN1500 DISCONTINUED</v>
          </cell>
          <cell r="F621" t="str">
            <v>BATERIES</v>
          </cell>
          <cell r="G621">
            <v>2671303051</v>
          </cell>
          <cell r="H621" t="str">
            <v>DURACELL</v>
          </cell>
          <cell r="I621">
            <v>0</v>
          </cell>
        </row>
        <row r="622">
          <cell r="A622" t="str">
            <v>19-00621</v>
          </cell>
          <cell r="B622" t="str">
            <v>SUPER XTRA</v>
          </cell>
          <cell r="C622" t="str">
            <v>D</v>
          </cell>
          <cell r="D622" t="str">
            <v>N/A</v>
          </cell>
          <cell r="E622" t="str">
            <v>00102 DURACELL TIPO AA B/4 MN1500 DISCONTINUED</v>
          </cell>
          <cell r="F622" t="str">
            <v>BATERIES</v>
          </cell>
          <cell r="G622">
            <v>2671303069</v>
          </cell>
          <cell r="H622" t="str">
            <v>DURACELL</v>
          </cell>
          <cell r="I622">
            <v>0</v>
          </cell>
        </row>
        <row r="623">
          <cell r="A623" t="str">
            <v>19-00622</v>
          </cell>
          <cell r="B623" t="str">
            <v>SUPER XTRA</v>
          </cell>
          <cell r="C623" t="str">
            <v>D</v>
          </cell>
          <cell r="D623" t="str">
            <v>N/A</v>
          </cell>
          <cell r="E623" t="str">
            <v>00107 DURACELL TIPO AAA B/2 MN2400 DISCONTINUED</v>
          </cell>
          <cell r="F623" t="str">
            <v>BATERIES</v>
          </cell>
          <cell r="G623">
            <v>2671303101</v>
          </cell>
          <cell r="H623" t="str">
            <v>DURACELL</v>
          </cell>
          <cell r="I623">
            <v>1.54</v>
          </cell>
        </row>
        <row r="624">
          <cell r="A624" t="str">
            <v>19-00623</v>
          </cell>
          <cell r="B624" t="str">
            <v>SUPER XTRA</v>
          </cell>
          <cell r="C624" t="str">
            <v>D</v>
          </cell>
          <cell r="D624" t="str">
            <v>N/A</v>
          </cell>
          <cell r="E624" t="str">
            <v>00109 DURACELL TIPO AAA B/4 MN2400 DISCONTINUED</v>
          </cell>
          <cell r="F624" t="str">
            <v>BATERIES</v>
          </cell>
          <cell r="G624">
            <v>2671303119</v>
          </cell>
          <cell r="H624" t="str">
            <v>DURACELL</v>
          </cell>
          <cell r="I624">
            <v>0</v>
          </cell>
        </row>
        <row r="625">
          <cell r="A625" t="str">
            <v>19-00624</v>
          </cell>
          <cell r="B625" t="str">
            <v>SUPER XTRA</v>
          </cell>
          <cell r="C625" t="str">
            <v>D</v>
          </cell>
          <cell r="D625" t="str">
            <v>N/A</v>
          </cell>
          <cell r="E625" t="str">
            <v>59801 DURACELL TIPO AA B/2 MX1500 DISCONTINUED</v>
          </cell>
          <cell r="F625" t="str">
            <v>BATERIES</v>
          </cell>
          <cell r="G625">
            <v>2671103022</v>
          </cell>
          <cell r="H625" t="str">
            <v>DURACELL</v>
          </cell>
          <cell r="I625">
            <v>1.62</v>
          </cell>
        </row>
        <row r="626">
          <cell r="A626" t="str">
            <v>19-00625</v>
          </cell>
          <cell r="B626" t="str">
            <v>SUPER XTRA</v>
          </cell>
          <cell r="C626" t="str">
            <v>D</v>
          </cell>
          <cell r="D626" t="str">
            <v>N/A</v>
          </cell>
          <cell r="E626" t="str">
            <v>63101 DURACELL TIPO AAA B/2 MX2400 DISCONTINUED</v>
          </cell>
          <cell r="F626" t="str">
            <v>BATERIES</v>
          </cell>
          <cell r="G626">
            <v>2671103089</v>
          </cell>
          <cell r="H626" t="str">
            <v>DURACELL</v>
          </cell>
          <cell r="I626">
            <v>1.99</v>
          </cell>
        </row>
        <row r="627">
          <cell r="A627" t="str">
            <v>19-00626</v>
          </cell>
          <cell r="B627" t="str">
            <v>N/A</v>
          </cell>
          <cell r="C627" t="str">
            <v>D</v>
          </cell>
          <cell r="D627" t="str">
            <v>N/A</v>
          </cell>
          <cell r="E627" t="str">
            <v>14-01203 DIAL HAND SANITIZERS  LIGHT CITRUS TRAVEL SIZE 24/2 OZ. DISCONTINUED</v>
          </cell>
          <cell r="F627" t="str">
            <v>HAND CLEANS</v>
          </cell>
          <cell r="G627" t="str">
            <v>14-01203</v>
          </cell>
          <cell r="H627" t="str">
            <v>DIAL</v>
          </cell>
          <cell r="I627">
            <v>0</v>
          </cell>
        </row>
        <row r="628">
          <cell r="A628" t="str">
            <v>19-00627</v>
          </cell>
          <cell r="B628" t="str">
            <v>N/A</v>
          </cell>
          <cell r="C628" t="str">
            <v>D</v>
          </cell>
          <cell r="D628" t="str">
            <v>N/A</v>
          </cell>
          <cell r="E628" t="str">
            <v>14-01219 DIAL HAND SANITIZERS  LIGHT CITRUS PUMP 12/7.5 OZ. DISCONTINUED</v>
          </cell>
          <cell r="F628" t="str">
            <v>HAND CLEANS</v>
          </cell>
          <cell r="G628" t="str">
            <v>14-01219</v>
          </cell>
          <cell r="H628" t="str">
            <v>DIAL</v>
          </cell>
          <cell r="I628">
            <v>0</v>
          </cell>
        </row>
        <row r="629">
          <cell r="A629" t="str">
            <v>19-00628</v>
          </cell>
          <cell r="B629" t="str">
            <v>N/A</v>
          </cell>
          <cell r="C629" t="str">
            <v>D</v>
          </cell>
          <cell r="D629" t="str">
            <v>N/A</v>
          </cell>
          <cell r="E629" t="str">
            <v>14-01509 DIAL HAND SANITIZERS  SPRING PURE TRAVEL SIZE 24/2 OZ. DISCONTINUED</v>
          </cell>
          <cell r="F629" t="str">
            <v>HAND CLEANS</v>
          </cell>
          <cell r="G629" t="str">
            <v>14-01509</v>
          </cell>
          <cell r="H629" t="str">
            <v>DIAL</v>
          </cell>
          <cell r="I629">
            <v>0</v>
          </cell>
        </row>
        <row r="630">
          <cell r="A630" t="str">
            <v>19-00629</v>
          </cell>
          <cell r="B630" t="str">
            <v>ORKHON GROUP</v>
          </cell>
          <cell r="C630" t="str">
            <v>A</v>
          </cell>
          <cell r="D630" t="str">
            <v>N/A</v>
          </cell>
          <cell r="E630" t="str">
            <v>2E-5870/SM110  ALTAMAR BRAZALETE</v>
          </cell>
          <cell r="F630" t="str">
            <v>BRAZALETE</v>
          </cell>
          <cell r="G630">
            <v>162</v>
          </cell>
          <cell r="H630" t="str">
            <v>ALTAMAR</v>
          </cell>
          <cell r="I630">
            <v>0.98</v>
          </cell>
        </row>
        <row r="631">
          <cell r="A631" t="str">
            <v>19-00630</v>
          </cell>
          <cell r="B631" t="str">
            <v>ORKHON GROUP</v>
          </cell>
          <cell r="C631" t="str">
            <v>A</v>
          </cell>
          <cell r="D631" t="str">
            <v>N/A</v>
          </cell>
          <cell r="E631" t="str">
            <v>2E-5870/SM112  ALTAMAR BRAZALETE</v>
          </cell>
          <cell r="F631" t="str">
            <v>BRAZALETE</v>
          </cell>
          <cell r="G631">
            <v>164</v>
          </cell>
          <cell r="H631" t="str">
            <v>ALTAMAR</v>
          </cell>
          <cell r="I631">
            <v>0.99</v>
          </cell>
        </row>
        <row r="632">
          <cell r="A632" t="str">
            <v>19-00631</v>
          </cell>
          <cell r="B632" t="str">
            <v>ORKHON GROUP</v>
          </cell>
          <cell r="C632" t="str">
            <v>A</v>
          </cell>
          <cell r="D632" t="str">
            <v>N/A</v>
          </cell>
          <cell r="E632" t="str">
            <v>2A-3106/1103-247/49/46/48/43/44/45 ALTAMAR BRAZALETE</v>
          </cell>
          <cell r="F632" t="str">
            <v>BRAZALETE</v>
          </cell>
          <cell r="G632">
            <v>112380</v>
          </cell>
          <cell r="H632" t="str">
            <v>ALTAMAR</v>
          </cell>
          <cell r="I632">
            <v>0.98</v>
          </cell>
        </row>
        <row r="633">
          <cell r="A633" t="str">
            <v>19-00632</v>
          </cell>
          <cell r="B633" t="str">
            <v>ORKHON GROUP</v>
          </cell>
          <cell r="C633" t="str">
            <v>A</v>
          </cell>
          <cell r="D633" t="str">
            <v>N/A</v>
          </cell>
          <cell r="E633" t="str">
            <v>2B-4144/1103-239 ALTAMAR COLLAR</v>
          </cell>
          <cell r="F633" t="str">
            <v>COLLAR</v>
          </cell>
          <cell r="G633">
            <v>112456</v>
          </cell>
          <cell r="H633" t="str">
            <v>ALTAMAR</v>
          </cell>
          <cell r="I633">
            <v>1.03</v>
          </cell>
        </row>
        <row r="634">
          <cell r="A634" t="str">
            <v>19-00633</v>
          </cell>
          <cell r="B634" t="str">
            <v>ORKHON GROUP</v>
          </cell>
          <cell r="C634" t="str">
            <v>A</v>
          </cell>
          <cell r="D634" t="str">
            <v>N/A</v>
          </cell>
          <cell r="E634" t="str">
            <v>2C-4378/1103-168 ALTAMAR COLLAR/BRAZALETE</v>
          </cell>
          <cell r="F634" t="str">
            <v>COLLAR/BRAZALETE</v>
          </cell>
          <cell r="G634">
            <v>112464</v>
          </cell>
          <cell r="H634" t="str">
            <v>ALTAMAR</v>
          </cell>
          <cell r="I634">
            <v>0.98</v>
          </cell>
        </row>
        <row r="635">
          <cell r="A635" t="str">
            <v>19-00634</v>
          </cell>
          <cell r="B635" t="str">
            <v>ORKHON GROUP</v>
          </cell>
          <cell r="C635" t="str">
            <v>A</v>
          </cell>
          <cell r="D635" t="str">
            <v>N/A</v>
          </cell>
          <cell r="E635" t="str">
            <v>2C-4378/1103-169  ALTAMAR COLLAR/BRAZALETE</v>
          </cell>
          <cell r="F635" t="str">
            <v>COLLAR/BRAZALETE</v>
          </cell>
          <cell r="G635">
            <v>112465</v>
          </cell>
          <cell r="H635" t="str">
            <v>ALTAMAR</v>
          </cell>
          <cell r="I635">
            <v>0.98</v>
          </cell>
        </row>
        <row r="636">
          <cell r="A636" t="str">
            <v>19-00635</v>
          </cell>
          <cell r="B636" t="str">
            <v>ORKHON GROUP</v>
          </cell>
          <cell r="C636" t="str">
            <v>A</v>
          </cell>
          <cell r="D636" t="str">
            <v>N/A</v>
          </cell>
          <cell r="E636" t="str">
            <v>2C-4378/1103-170 ALTAMAR COLLAR/BRAZALETE</v>
          </cell>
          <cell r="F636" t="str">
            <v>COLLAR/BRAZALETE</v>
          </cell>
          <cell r="G636">
            <v>112466</v>
          </cell>
          <cell r="H636" t="str">
            <v>ALTAMAR</v>
          </cell>
          <cell r="I636">
            <v>0.98</v>
          </cell>
        </row>
        <row r="637">
          <cell r="A637" t="str">
            <v>19-00636</v>
          </cell>
          <cell r="B637" t="str">
            <v>ORKHON GROUP</v>
          </cell>
          <cell r="C637" t="str">
            <v>A</v>
          </cell>
          <cell r="D637" t="str">
            <v>N/A</v>
          </cell>
          <cell r="E637" t="str">
            <v>2C-4378/1103-172 ALTAMAR COLLAR</v>
          </cell>
          <cell r="F637" t="str">
            <v>COLLAR</v>
          </cell>
          <cell r="G637">
            <v>112467</v>
          </cell>
          <cell r="H637" t="str">
            <v>ALTAMAR</v>
          </cell>
          <cell r="I637">
            <v>0.98</v>
          </cell>
        </row>
        <row r="638">
          <cell r="A638" t="str">
            <v>19-00637</v>
          </cell>
          <cell r="B638" t="str">
            <v>ORKHON GROUP</v>
          </cell>
          <cell r="C638" t="str">
            <v>A</v>
          </cell>
          <cell r="D638" t="str">
            <v>N/A</v>
          </cell>
          <cell r="E638" t="str">
            <v>2C-4378/1103-173 ALTAMAR PULSERA</v>
          </cell>
          <cell r="F638" t="str">
            <v>PULSERA</v>
          </cell>
          <cell r="G638">
            <v>112468</v>
          </cell>
          <cell r="H638" t="str">
            <v>ALTAMAR</v>
          </cell>
          <cell r="I638">
            <v>0.99</v>
          </cell>
        </row>
        <row r="639">
          <cell r="A639" t="str">
            <v>19-00638</v>
          </cell>
          <cell r="B639" t="str">
            <v>ORKHON GROUP</v>
          </cell>
          <cell r="C639" t="str">
            <v>A</v>
          </cell>
          <cell r="D639" t="str">
            <v>N/A</v>
          </cell>
          <cell r="E639" t="str">
            <v>2C-4389/1103-174A ALTAMAR COLLAR HOMBRE</v>
          </cell>
          <cell r="F639" t="str">
            <v>COLLAR HOMBRE</v>
          </cell>
          <cell r="G639">
            <v>112518</v>
          </cell>
          <cell r="H639" t="str">
            <v>ALTAMAR</v>
          </cell>
          <cell r="I639">
            <v>1.55</v>
          </cell>
        </row>
        <row r="640">
          <cell r="A640" t="str">
            <v>19-00639</v>
          </cell>
          <cell r="B640" t="str">
            <v>ORKHON GROUP</v>
          </cell>
          <cell r="C640" t="str">
            <v>A</v>
          </cell>
          <cell r="D640" t="str">
            <v>N/A</v>
          </cell>
          <cell r="E640" t="str">
            <v>2C-4389/1103-174B ALTAMAR COLLAR DE HOMBRE</v>
          </cell>
          <cell r="F640" t="str">
            <v>COLLAR HOMBRE</v>
          </cell>
          <cell r="G640">
            <v>112519</v>
          </cell>
          <cell r="H640" t="str">
            <v>ALTAMAR</v>
          </cell>
          <cell r="I640">
            <v>1.55</v>
          </cell>
        </row>
        <row r="641">
          <cell r="A641" t="str">
            <v>19-00640</v>
          </cell>
          <cell r="B641" t="str">
            <v>ORKHON GROUP</v>
          </cell>
          <cell r="C641" t="str">
            <v>A</v>
          </cell>
          <cell r="D641" t="str">
            <v>N/A</v>
          </cell>
          <cell r="E641" t="str">
            <v>2E-5590/1103-63 ALTAMAR BRACELETS</v>
          </cell>
          <cell r="F641" t="str">
            <v>BRAZALETE</v>
          </cell>
          <cell r="G641">
            <v>112633</v>
          </cell>
          <cell r="H641" t="str">
            <v>ALTAMAR</v>
          </cell>
          <cell r="I641">
            <v>3.99</v>
          </cell>
        </row>
        <row r="642">
          <cell r="A642" t="str">
            <v>19-00641</v>
          </cell>
          <cell r="B642" t="str">
            <v>ORKHON GROUP</v>
          </cell>
          <cell r="C642" t="str">
            <v>A</v>
          </cell>
          <cell r="D642" t="str">
            <v>N/A</v>
          </cell>
          <cell r="E642" t="str">
            <v>1G-11662/A-3313 ALTAMAR BOLSO PLAYA</v>
          </cell>
          <cell r="F642" t="str">
            <v>BOLSO PLAYA</v>
          </cell>
          <cell r="G642">
            <v>112460</v>
          </cell>
          <cell r="H642" t="str">
            <v>ALTAMAR</v>
          </cell>
          <cell r="I642">
            <v>15.4</v>
          </cell>
        </row>
        <row r="643">
          <cell r="A643" t="str">
            <v>19-00642</v>
          </cell>
          <cell r="B643" t="str">
            <v>ORKHON GROUP</v>
          </cell>
          <cell r="C643" t="str">
            <v>A</v>
          </cell>
          <cell r="D643" t="str">
            <v>N/A</v>
          </cell>
          <cell r="E643" t="str">
            <v>1F-11293/1103-3 ALTAMAR  BOLSO DE PLAYA</v>
          </cell>
          <cell r="F643" t="str">
            <v>BOLSO PLAYA</v>
          </cell>
          <cell r="G643">
            <v>112580</v>
          </cell>
          <cell r="H643" t="str">
            <v>ALTAMAR</v>
          </cell>
          <cell r="I643">
            <v>8.8000000000000007</v>
          </cell>
        </row>
        <row r="644">
          <cell r="A644" t="str">
            <v>19-00643</v>
          </cell>
          <cell r="B644" t="str">
            <v>ORKHON GROUP</v>
          </cell>
          <cell r="C644" t="str">
            <v>A</v>
          </cell>
          <cell r="D644" t="str">
            <v>N/A</v>
          </cell>
          <cell r="E644" t="str">
            <v>1F-11293/1103-5  ALTAMAR BOLSO DE PLAYA</v>
          </cell>
          <cell r="F644" t="str">
            <v>BOLSO PLAYA</v>
          </cell>
          <cell r="G644">
            <v>112581</v>
          </cell>
          <cell r="H644" t="str">
            <v>ALTAMAR</v>
          </cell>
          <cell r="I644">
            <v>8.8000000000000007</v>
          </cell>
        </row>
        <row r="645">
          <cell r="A645" t="str">
            <v>19-00644</v>
          </cell>
          <cell r="B645" t="str">
            <v>ORKHON GROUP</v>
          </cell>
          <cell r="C645" t="str">
            <v>A</v>
          </cell>
          <cell r="D645" t="str">
            <v>N/A</v>
          </cell>
          <cell r="E645" t="str">
            <v>1F-11022/1534  ALTAMAR BOLSO DE PLAYA</v>
          </cell>
          <cell r="F645" t="str">
            <v>BOLSO PLAYA</v>
          </cell>
          <cell r="G645">
            <v>112751</v>
          </cell>
          <cell r="H645" t="str">
            <v>ALTAMAR</v>
          </cell>
          <cell r="I645">
            <v>13.75</v>
          </cell>
        </row>
        <row r="646">
          <cell r="A646" t="str">
            <v>19-00645</v>
          </cell>
          <cell r="B646" t="str">
            <v>ORKHON GROUP</v>
          </cell>
          <cell r="C646" t="str">
            <v>A</v>
          </cell>
          <cell r="D646" t="str">
            <v>N/A</v>
          </cell>
          <cell r="E646" t="str">
            <v>1F-11022/1103-10  ALTAMAR BOLSO DE PLAYA</v>
          </cell>
          <cell r="F646" t="str">
            <v>BOLSO PLAYA</v>
          </cell>
          <cell r="G646" t="str">
            <v>1F-11022</v>
          </cell>
          <cell r="H646" t="str">
            <v>ALTAMAR</v>
          </cell>
          <cell r="I646">
            <v>17</v>
          </cell>
        </row>
        <row r="647">
          <cell r="A647" t="str">
            <v>19-00646</v>
          </cell>
          <cell r="B647" t="str">
            <v>ORKHON GROUP</v>
          </cell>
          <cell r="C647" t="str">
            <v>A</v>
          </cell>
          <cell r="D647" t="str">
            <v>N/A</v>
          </cell>
          <cell r="E647" t="str">
            <v>1F-11022/1103-12  ALTAMAR BOLSO DE PLAYA</v>
          </cell>
          <cell r="F647" t="str">
            <v>BOLSO PLAYA</v>
          </cell>
          <cell r="G647" t="str">
            <v>1F-11022</v>
          </cell>
          <cell r="H647" t="str">
            <v>ALTAMAR</v>
          </cell>
          <cell r="I647">
            <v>20</v>
          </cell>
        </row>
        <row r="648">
          <cell r="A648" t="str">
            <v>19-00647</v>
          </cell>
          <cell r="B648" t="str">
            <v>ORKHON GROUP</v>
          </cell>
          <cell r="C648" t="str">
            <v>A</v>
          </cell>
          <cell r="D648" t="str">
            <v>N/A</v>
          </cell>
          <cell r="E648" t="str">
            <v>1F-11022/1103-13  ALTAMAR BOLSO DE PLAYA</v>
          </cell>
          <cell r="F648" t="str">
            <v>BOLSO PLAYA</v>
          </cell>
          <cell r="G648" t="str">
            <v>1F-11022</v>
          </cell>
          <cell r="H648" t="str">
            <v>ALTAMAR</v>
          </cell>
          <cell r="I648">
            <v>16</v>
          </cell>
        </row>
        <row r="649">
          <cell r="A649" t="str">
            <v>19-00648</v>
          </cell>
          <cell r="B649" t="str">
            <v>ORKHON GROUP</v>
          </cell>
          <cell r="C649" t="str">
            <v>A</v>
          </cell>
          <cell r="D649" t="str">
            <v>N/A</v>
          </cell>
          <cell r="E649" t="str">
            <v>1F-11022/ZL-15  ALTAMAR BOLSO DE PLAYA</v>
          </cell>
          <cell r="F649" t="str">
            <v>BOLSO PLAYA</v>
          </cell>
          <cell r="G649" t="str">
            <v>1F-11022</v>
          </cell>
          <cell r="H649" t="str">
            <v>ALTAMAR</v>
          </cell>
          <cell r="I649">
            <v>15</v>
          </cell>
        </row>
        <row r="650">
          <cell r="A650" t="str">
            <v>19-00649</v>
          </cell>
          <cell r="B650" t="str">
            <v>ORKHON GROUP</v>
          </cell>
          <cell r="C650" t="str">
            <v>A</v>
          </cell>
          <cell r="D650" t="str">
            <v>N/A</v>
          </cell>
          <cell r="E650" t="str">
            <v>1F-11022/0842  ALTAMAR BOLSO DE PLAYA</v>
          </cell>
          <cell r="F650" t="str">
            <v>BOLSO PLAYA</v>
          </cell>
          <cell r="G650">
            <v>112752</v>
          </cell>
          <cell r="H650" t="str">
            <v>ALTAMAR</v>
          </cell>
          <cell r="I650">
            <v>13</v>
          </cell>
        </row>
        <row r="651">
          <cell r="A651" t="str">
            <v>19-00650</v>
          </cell>
          <cell r="B651" t="str">
            <v>ORKHON GROUP</v>
          </cell>
          <cell r="C651" t="str">
            <v>A</v>
          </cell>
          <cell r="D651" t="str">
            <v>N/A</v>
          </cell>
          <cell r="E651" t="str">
            <v>46265/M1101-1  ALTAMAR SCARF</v>
          </cell>
          <cell r="F651" t="str">
            <v>BUFANDA</v>
          </cell>
          <cell r="G651">
            <v>110619</v>
          </cell>
          <cell r="H651" t="str">
            <v>ALTAMAR</v>
          </cell>
          <cell r="I651">
            <v>6.2</v>
          </cell>
        </row>
        <row r="652">
          <cell r="A652" t="str">
            <v>19-00651</v>
          </cell>
          <cell r="B652" t="str">
            <v>ORKHON GROUP</v>
          </cell>
          <cell r="C652" t="str">
            <v>A</v>
          </cell>
          <cell r="D652" t="str">
            <v>N/A</v>
          </cell>
          <cell r="E652" t="str">
            <v>46279/1308  ALTAMAR PAREO ( 9 COLORES 2 DE CADA )</v>
          </cell>
          <cell r="F652" t="str">
            <v>PAREO</v>
          </cell>
          <cell r="G652">
            <v>112520</v>
          </cell>
          <cell r="H652" t="str">
            <v>ALTAMAR</v>
          </cell>
          <cell r="I652">
            <v>6.05</v>
          </cell>
        </row>
        <row r="653">
          <cell r="A653" t="str">
            <v>19-00652</v>
          </cell>
          <cell r="B653" t="str">
            <v>ORKHON GROUP</v>
          </cell>
          <cell r="C653" t="str">
            <v>A</v>
          </cell>
          <cell r="D653" t="str">
            <v>N/A</v>
          </cell>
          <cell r="E653" t="str">
            <v>46298/0946  ALTAMAR PAREO</v>
          </cell>
          <cell r="F653" t="str">
            <v>PAREO</v>
          </cell>
          <cell r="G653">
            <v>112571</v>
          </cell>
          <cell r="H653" t="str">
            <v>ALTAMAR</v>
          </cell>
          <cell r="I653">
            <v>9.24</v>
          </cell>
        </row>
        <row r="654">
          <cell r="A654" t="str">
            <v>19-00653</v>
          </cell>
          <cell r="B654" t="str">
            <v>ORKHON GROUP</v>
          </cell>
          <cell r="C654" t="str">
            <v>A</v>
          </cell>
          <cell r="D654" t="str">
            <v>N/A</v>
          </cell>
          <cell r="E654" t="str">
            <v>46298/16526  ALTAMAR PAREO</v>
          </cell>
          <cell r="F654" t="str">
            <v>PAREO</v>
          </cell>
          <cell r="G654">
            <v>112572</v>
          </cell>
          <cell r="H654" t="str">
            <v>ALTAMAR</v>
          </cell>
          <cell r="I654">
            <v>11.37</v>
          </cell>
        </row>
        <row r="655">
          <cell r="A655" t="str">
            <v>19-00654</v>
          </cell>
          <cell r="B655" t="str">
            <v>ORKHON GROUP</v>
          </cell>
          <cell r="C655" t="str">
            <v>A</v>
          </cell>
          <cell r="D655" t="str">
            <v>N/A</v>
          </cell>
          <cell r="E655" t="str">
            <v>47338/SW-068  ALTAMAR SCARF</v>
          </cell>
          <cell r="F655" t="str">
            <v>BUFANDA</v>
          </cell>
          <cell r="G655">
            <v>112651</v>
          </cell>
          <cell r="H655" t="str">
            <v>ALTAMAR</v>
          </cell>
          <cell r="I655">
            <v>10.153</v>
          </cell>
        </row>
        <row r="656">
          <cell r="A656" t="str">
            <v>19-00655</v>
          </cell>
          <cell r="B656" t="str">
            <v>ORKHON GROUP</v>
          </cell>
          <cell r="C656" t="str">
            <v>A</v>
          </cell>
          <cell r="D656" t="str">
            <v>N/A</v>
          </cell>
          <cell r="E656" t="str">
            <v>47338/SW-224  ALTAMAR SCARF</v>
          </cell>
          <cell r="F656" t="str">
            <v>BUFANDA</v>
          </cell>
          <cell r="G656">
            <v>112652</v>
          </cell>
          <cell r="H656" t="str">
            <v>ALTAMAR</v>
          </cell>
          <cell r="I656">
            <v>10.15</v>
          </cell>
        </row>
        <row r="657">
          <cell r="A657" t="str">
            <v>19-00656</v>
          </cell>
          <cell r="B657" t="str">
            <v>ORKHON GROUP</v>
          </cell>
          <cell r="C657" t="str">
            <v>A</v>
          </cell>
          <cell r="D657" t="str">
            <v>N/A</v>
          </cell>
          <cell r="E657" t="str">
            <v>47338/SW-380  ALTAMAR SCARF</v>
          </cell>
          <cell r="F657" t="str">
            <v>BUFANDA</v>
          </cell>
          <cell r="G657">
            <v>112654</v>
          </cell>
          <cell r="H657" t="str">
            <v>ALTAMAR</v>
          </cell>
          <cell r="I657">
            <v>8.33</v>
          </cell>
        </row>
        <row r="658">
          <cell r="A658" t="str">
            <v>19-00657</v>
          </cell>
          <cell r="B658" t="str">
            <v>ORKHON GROUP</v>
          </cell>
          <cell r="C658" t="str">
            <v>A</v>
          </cell>
          <cell r="D658" t="str">
            <v>N/A</v>
          </cell>
          <cell r="E658" t="str">
            <v>46265/1103-256 ALTAMAR SCARF</v>
          </cell>
          <cell r="F658" t="str">
            <v>BUFANDA</v>
          </cell>
          <cell r="G658">
            <v>112730</v>
          </cell>
          <cell r="H658" t="str">
            <v>ALTAMAR</v>
          </cell>
          <cell r="I658">
            <v>4.9000000000000004</v>
          </cell>
        </row>
        <row r="659">
          <cell r="A659" t="str">
            <v>19-00658</v>
          </cell>
          <cell r="B659" t="str">
            <v>ORKHON GROUP</v>
          </cell>
          <cell r="C659" t="str">
            <v>A</v>
          </cell>
          <cell r="D659" t="str">
            <v>N/A</v>
          </cell>
          <cell r="E659" t="str">
            <v>46265/1103-263  ALTAMAR SCARF</v>
          </cell>
          <cell r="F659" t="str">
            <v>BUFANDA</v>
          </cell>
          <cell r="G659">
            <v>112731</v>
          </cell>
          <cell r="H659" t="str">
            <v>ALTAMAR</v>
          </cell>
          <cell r="I659">
            <v>3.38</v>
          </cell>
        </row>
        <row r="660">
          <cell r="A660" t="str">
            <v>19-00659</v>
          </cell>
          <cell r="B660" t="str">
            <v>ORKHON GROUP</v>
          </cell>
          <cell r="C660" t="str">
            <v>A</v>
          </cell>
          <cell r="D660" t="str">
            <v>N/A</v>
          </cell>
          <cell r="E660" t="str">
            <v>46265/1103-259  ALTAMAR SCARF</v>
          </cell>
          <cell r="F660" t="str">
            <v>BUFANDA</v>
          </cell>
          <cell r="G660">
            <v>112733</v>
          </cell>
          <cell r="H660" t="str">
            <v>ALTAMAR</v>
          </cell>
          <cell r="I660">
            <v>2.25</v>
          </cell>
        </row>
        <row r="661">
          <cell r="A661" t="str">
            <v>19-00660</v>
          </cell>
          <cell r="B661" t="str">
            <v>ORKHON GROUP</v>
          </cell>
          <cell r="C661" t="str">
            <v>A</v>
          </cell>
          <cell r="D661" t="str">
            <v>N/A</v>
          </cell>
          <cell r="E661" t="str">
            <v>46265/1103-267  ALTAMAR SCARF</v>
          </cell>
          <cell r="F661" t="str">
            <v>BUFANDA</v>
          </cell>
          <cell r="G661">
            <v>112735</v>
          </cell>
          <cell r="H661" t="str">
            <v>ALTAMAR</v>
          </cell>
          <cell r="I661">
            <v>4.38</v>
          </cell>
        </row>
        <row r="662">
          <cell r="A662" t="str">
            <v>19-00661</v>
          </cell>
          <cell r="B662" t="str">
            <v>ORKHON GROUP</v>
          </cell>
          <cell r="C662" t="str">
            <v>A</v>
          </cell>
          <cell r="D662" t="str">
            <v>N/A</v>
          </cell>
          <cell r="E662" t="str">
            <v>39249/1103-282 ALTAMAR SOMBREROS</v>
          </cell>
          <cell r="F662" t="str">
            <v>SOMBREROS</v>
          </cell>
          <cell r="G662" t="str">
            <v>39249/1103-282</v>
          </cell>
          <cell r="H662" t="str">
            <v>ALTAMAR</v>
          </cell>
          <cell r="I662">
            <v>8.4600000000000009</v>
          </cell>
        </row>
        <row r="663">
          <cell r="A663" t="str">
            <v>19-00662</v>
          </cell>
          <cell r="B663" t="str">
            <v>ORKHON GROUP</v>
          </cell>
          <cell r="C663" t="str">
            <v>A</v>
          </cell>
          <cell r="D663" t="str">
            <v>N/A</v>
          </cell>
          <cell r="E663" t="str">
            <v>39249/1103-284 ALTAMAR SOMBREROS</v>
          </cell>
          <cell r="F663" t="str">
            <v>SOMBREROS</v>
          </cell>
          <cell r="G663" t="str">
            <v>39249/1103-284</v>
          </cell>
          <cell r="H663" t="str">
            <v>ALTAMAR</v>
          </cell>
          <cell r="I663">
            <v>8.93</v>
          </cell>
        </row>
        <row r="664">
          <cell r="A664" t="str">
            <v>19-00663</v>
          </cell>
          <cell r="B664" t="str">
            <v>ORKHON GROUP</v>
          </cell>
          <cell r="C664" t="str">
            <v>A</v>
          </cell>
          <cell r="D664" t="str">
            <v>N/A</v>
          </cell>
          <cell r="E664" t="str">
            <v>39249/1103-287 ALTAMAR SOMBREROS</v>
          </cell>
          <cell r="F664" t="str">
            <v>SOMBREROS</v>
          </cell>
          <cell r="G664" t="str">
            <v>39249/1103-287</v>
          </cell>
          <cell r="H664" t="str">
            <v>ALTAMAR</v>
          </cell>
          <cell r="I664">
            <v>8.74</v>
          </cell>
        </row>
        <row r="665">
          <cell r="A665" t="str">
            <v>19-00664</v>
          </cell>
          <cell r="B665" t="str">
            <v>ORKHON GROUP</v>
          </cell>
          <cell r="C665" t="str">
            <v>A</v>
          </cell>
          <cell r="D665" t="str">
            <v>N/A</v>
          </cell>
          <cell r="E665" t="str">
            <v>39249/1103-289 ALTAMAR SOMBREROS</v>
          </cell>
          <cell r="F665" t="str">
            <v>SOMBREROS</v>
          </cell>
          <cell r="G665" t="str">
            <v>39249/1103-289</v>
          </cell>
          <cell r="H665" t="str">
            <v>ALTAMAR</v>
          </cell>
          <cell r="I665">
            <v>7.8</v>
          </cell>
        </row>
        <row r="666">
          <cell r="A666" t="str">
            <v>19-00665</v>
          </cell>
          <cell r="B666" t="str">
            <v>ORKHON GROUP</v>
          </cell>
          <cell r="C666" t="str">
            <v>A</v>
          </cell>
          <cell r="D666" t="str">
            <v>N/A</v>
          </cell>
          <cell r="E666" t="str">
            <v>39249/1103-293 ALTAMAR SOMBREROS</v>
          </cell>
          <cell r="F666" t="str">
            <v>SOMBREROS</v>
          </cell>
          <cell r="G666" t="str">
            <v>39249/1103-293</v>
          </cell>
          <cell r="H666" t="str">
            <v>ALTAMAR</v>
          </cell>
          <cell r="I666">
            <v>5.9219999999999997</v>
          </cell>
        </row>
        <row r="667">
          <cell r="A667" t="str">
            <v>19-00666</v>
          </cell>
          <cell r="B667" t="str">
            <v>ORKHON GROUP</v>
          </cell>
          <cell r="C667" t="str">
            <v>A</v>
          </cell>
          <cell r="D667" t="str">
            <v>N/A</v>
          </cell>
          <cell r="E667" t="str">
            <v>39249/1103-294 ALTAMAR SOMBREROS</v>
          </cell>
          <cell r="F667" t="str">
            <v>SOMBREROS</v>
          </cell>
          <cell r="G667" t="str">
            <v>39249/1103-294</v>
          </cell>
          <cell r="H667" t="str">
            <v>ALTAMAR</v>
          </cell>
          <cell r="I667">
            <v>6.22</v>
          </cell>
        </row>
        <row r="668">
          <cell r="A668" t="str">
            <v>19-00667</v>
          </cell>
          <cell r="B668" t="str">
            <v>ORKHON GROUP</v>
          </cell>
          <cell r="C668" t="str">
            <v>A</v>
          </cell>
          <cell r="D668" t="str">
            <v>N/A</v>
          </cell>
          <cell r="E668" t="str">
            <v>39249/1103-295 ALTAMAR SOMBREROS</v>
          </cell>
          <cell r="F668" t="str">
            <v>SOMBREROS</v>
          </cell>
          <cell r="G668" t="str">
            <v>39249/1103-295</v>
          </cell>
          <cell r="H668" t="str">
            <v>ALTAMAR</v>
          </cell>
          <cell r="I668">
            <v>6.42</v>
          </cell>
        </row>
        <row r="669">
          <cell r="A669" t="str">
            <v>19-00668</v>
          </cell>
          <cell r="B669" t="str">
            <v>ORKHON GROUP</v>
          </cell>
          <cell r="C669" t="str">
            <v>A</v>
          </cell>
          <cell r="D669" t="str">
            <v>N/A</v>
          </cell>
          <cell r="E669" t="str">
            <v>39249/1103-298 ALTAMAR SOMBREROS</v>
          </cell>
          <cell r="F669" t="str">
            <v>SOMBREROS</v>
          </cell>
          <cell r="G669" t="str">
            <v>39249/1103-298</v>
          </cell>
          <cell r="H669" t="str">
            <v>ALTAMAR</v>
          </cell>
          <cell r="I669">
            <v>6.91</v>
          </cell>
        </row>
        <row r="670">
          <cell r="A670" t="str">
            <v>19-00669</v>
          </cell>
          <cell r="B670" t="str">
            <v>ORKHON GROUP</v>
          </cell>
          <cell r="C670" t="str">
            <v>A</v>
          </cell>
          <cell r="D670" t="str">
            <v>N/A</v>
          </cell>
          <cell r="E670" t="str">
            <v>39249/1103-300 ALTAMAR SOMBREROS</v>
          </cell>
          <cell r="F670" t="str">
            <v>SOMBREROS</v>
          </cell>
          <cell r="G670" t="str">
            <v>39249/1103-300</v>
          </cell>
          <cell r="H670" t="str">
            <v>ALTAMAR</v>
          </cell>
          <cell r="I670">
            <v>6</v>
          </cell>
        </row>
        <row r="671">
          <cell r="A671" t="str">
            <v>19-00670</v>
          </cell>
          <cell r="B671" t="str">
            <v>ORKHON GROUP</v>
          </cell>
          <cell r="C671" t="str">
            <v>A</v>
          </cell>
          <cell r="D671" t="str">
            <v>N/A</v>
          </cell>
          <cell r="E671" t="str">
            <v>39249/1103-302 ALTAMAR SOMBREROS</v>
          </cell>
          <cell r="F671" t="str">
            <v>SOMBREROS</v>
          </cell>
          <cell r="G671" t="str">
            <v>39249/1103-302</v>
          </cell>
          <cell r="H671" t="str">
            <v>ALTAMAR</v>
          </cell>
          <cell r="I671">
            <v>5.92</v>
          </cell>
        </row>
        <row r="672">
          <cell r="A672" t="str">
            <v>19-00671</v>
          </cell>
          <cell r="B672" t="str">
            <v>ORKHON GROUP</v>
          </cell>
          <cell r="C672" t="str">
            <v>A</v>
          </cell>
          <cell r="D672" t="str">
            <v>N/A</v>
          </cell>
          <cell r="E672" t="str">
            <v>38774/1103-269 ALTAMAR HAT GRIS CUADROS</v>
          </cell>
          <cell r="F672" t="str">
            <v>SOMBREROS</v>
          </cell>
          <cell r="G672" t="str">
            <v>38774/1103-269</v>
          </cell>
          <cell r="H672" t="str">
            <v>ALTAMAR</v>
          </cell>
          <cell r="I672">
            <v>5.94</v>
          </cell>
        </row>
        <row r="673">
          <cell r="A673" t="str">
            <v>19-00672</v>
          </cell>
          <cell r="B673" t="str">
            <v>ORKHON GROUP</v>
          </cell>
          <cell r="C673" t="str">
            <v>A</v>
          </cell>
          <cell r="D673" t="str">
            <v>N/A</v>
          </cell>
          <cell r="E673" t="str">
            <v>38774/1103-270 ALTAMAR HAT MORADO</v>
          </cell>
          <cell r="F673" t="str">
            <v>SOMBREROS</v>
          </cell>
          <cell r="G673" t="str">
            <v>38774/1103-270</v>
          </cell>
          <cell r="H673" t="str">
            <v>ALTAMAR</v>
          </cell>
          <cell r="I673">
            <v>6.07</v>
          </cell>
        </row>
        <row r="674">
          <cell r="A674" t="str">
            <v>19-00673</v>
          </cell>
          <cell r="B674" t="str">
            <v>ORKHON GROUP</v>
          </cell>
          <cell r="C674" t="str">
            <v>A</v>
          </cell>
          <cell r="D674" t="str">
            <v>N/A</v>
          </cell>
          <cell r="E674" t="str">
            <v>38774/1103-271 ALTAMAR HAT ROJO</v>
          </cell>
          <cell r="F674" t="str">
            <v>SOMBREROS</v>
          </cell>
          <cell r="G674" t="str">
            <v>38774/1103-271</v>
          </cell>
          <cell r="H674" t="str">
            <v>ALTAMAR</v>
          </cell>
          <cell r="I674">
            <v>6.0730000000000004</v>
          </cell>
        </row>
        <row r="675">
          <cell r="A675" t="str">
            <v>19-00674</v>
          </cell>
          <cell r="B675" t="str">
            <v>ORKHON GROUP</v>
          </cell>
          <cell r="C675" t="str">
            <v>A</v>
          </cell>
          <cell r="D675" t="str">
            <v>N/A</v>
          </cell>
          <cell r="E675" t="str">
            <v>38774/1103-273 ALTAMAR HAT VERDE</v>
          </cell>
          <cell r="F675" t="str">
            <v>SOMBREROS</v>
          </cell>
          <cell r="G675" t="str">
            <v>38774/1103-273</v>
          </cell>
          <cell r="H675" t="str">
            <v>ALTAMAR</v>
          </cell>
          <cell r="I675">
            <v>6.19</v>
          </cell>
        </row>
        <row r="676">
          <cell r="A676" t="str">
            <v>19-00675</v>
          </cell>
          <cell r="B676" t="str">
            <v>ORKHON GROUP</v>
          </cell>
          <cell r="C676" t="str">
            <v>A</v>
          </cell>
          <cell r="D676" t="str">
            <v>N/A</v>
          </cell>
          <cell r="E676" t="str">
            <v>38774/1103-274 ALTAMAR HAT AZUL</v>
          </cell>
          <cell r="F676" t="str">
            <v>SOMBREROS</v>
          </cell>
          <cell r="G676" t="str">
            <v>38774/1103-274</v>
          </cell>
          <cell r="H676" t="str">
            <v>ALTAMAR</v>
          </cell>
          <cell r="I676">
            <v>6.27</v>
          </cell>
        </row>
        <row r="677">
          <cell r="A677" t="str">
            <v>19-00676</v>
          </cell>
          <cell r="B677" t="str">
            <v>ORKHON GROUP</v>
          </cell>
          <cell r="C677" t="str">
            <v>A</v>
          </cell>
          <cell r="D677" t="str">
            <v>N/A</v>
          </cell>
          <cell r="E677" t="str">
            <v>2C-4484/1103-183/184 ALTAMAR FLECOS</v>
          </cell>
          <cell r="F677" t="str">
            <v>PULSERA</v>
          </cell>
          <cell r="G677">
            <v>112541</v>
          </cell>
          <cell r="H677" t="str">
            <v>ALTAMAR</v>
          </cell>
          <cell r="I677">
            <v>0.64700000000000002</v>
          </cell>
        </row>
        <row r="678">
          <cell r="A678" t="str">
            <v>19-00677</v>
          </cell>
          <cell r="B678" t="str">
            <v>ORKHON GROUP</v>
          </cell>
          <cell r="C678" t="str">
            <v>A</v>
          </cell>
          <cell r="D678" t="str">
            <v>N/A</v>
          </cell>
          <cell r="E678" t="str">
            <v>2C-4350/1103-221  ALTAMAR BRACELET</v>
          </cell>
          <cell r="F678" t="str">
            <v>PULSERA</v>
          </cell>
          <cell r="G678">
            <v>112533</v>
          </cell>
          <cell r="H678" t="str">
            <v>ALTAMAR</v>
          </cell>
          <cell r="I678">
            <v>0.5</v>
          </cell>
        </row>
        <row r="679">
          <cell r="A679" t="str">
            <v>19-00678</v>
          </cell>
          <cell r="B679" t="str">
            <v>ORKHON GROUP</v>
          </cell>
          <cell r="C679" t="str">
            <v>A</v>
          </cell>
          <cell r="D679" t="str">
            <v>N/A</v>
          </cell>
          <cell r="E679" t="str">
            <v>2C-4484/1103-80/86/78/76/79  ALTAMAR FLECOS</v>
          </cell>
          <cell r="F679" t="str">
            <v>PULSERA</v>
          </cell>
          <cell r="G679">
            <v>112543</v>
          </cell>
          <cell r="H679" t="str">
            <v>ALTAMAR</v>
          </cell>
          <cell r="I679">
            <v>0.5</v>
          </cell>
        </row>
        <row r="680">
          <cell r="A680" t="str">
            <v>19-00679</v>
          </cell>
          <cell r="B680" t="str">
            <v>DIST. LEWIS</v>
          </cell>
          <cell r="C680" t="str">
            <v>D</v>
          </cell>
          <cell r="D680" t="str">
            <v>N/A</v>
          </cell>
          <cell r="E680" t="str">
            <v>33317 DIST. LEWIS TAZA PIRATA CALAVERA DISCONTINUED</v>
          </cell>
          <cell r="F680" t="str">
            <v>SOUVENIR</v>
          </cell>
          <cell r="G680">
            <v>33317</v>
          </cell>
          <cell r="H680" t="str">
            <v>DIST. LEWIS</v>
          </cell>
          <cell r="I680">
            <v>1.95</v>
          </cell>
        </row>
        <row r="681">
          <cell r="A681" t="str">
            <v>19-00680</v>
          </cell>
          <cell r="B681" t="str">
            <v>DIST. LEWIS</v>
          </cell>
          <cell r="C681" t="str">
            <v>D</v>
          </cell>
          <cell r="D681" t="str">
            <v>N/A</v>
          </cell>
          <cell r="E681" t="str">
            <v>34098 DIST. LEWIS TAZA CALAVERAS PMA DISCONTINUED</v>
          </cell>
          <cell r="F681" t="str">
            <v>SOUVENIR</v>
          </cell>
          <cell r="G681">
            <v>34098</v>
          </cell>
          <cell r="H681" t="str">
            <v>DIST. LEWIS</v>
          </cell>
          <cell r="I681">
            <v>1.95</v>
          </cell>
        </row>
        <row r="682">
          <cell r="A682" t="str">
            <v>19-00681</v>
          </cell>
          <cell r="B682" t="str">
            <v>DIST. LEWIS</v>
          </cell>
          <cell r="C682" t="str">
            <v>D</v>
          </cell>
          <cell r="D682" t="str">
            <v>N/A</v>
          </cell>
          <cell r="E682" t="str">
            <v>34099 DIST. LEWIS TAZA CALAVERA PIRATA DISCONTINUED</v>
          </cell>
          <cell r="F682" t="str">
            <v>SOUVENIR</v>
          </cell>
          <cell r="G682">
            <v>34099</v>
          </cell>
          <cell r="H682" t="str">
            <v>DIST. LEWIS</v>
          </cell>
          <cell r="I682">
            <v>1.95</v>
          </cell>
        </row>
        <row r="683">
          <cell r="A683" t="str">
            <v>19-00682</v>
          </cell>
          <cell r="B683" t="str">
            <v>DIST. LEWIS</v>
          </cell>
          <cell r="C683" t="str">
            <v>D</v>
          </cell>
          <cell r="D683" t="str">
            <v>N/A</v>
          </cell>
          <cell r="E683" t="str">
            <v>34100 DIST. LEWIS TAZA TESORO PIRATA DISCONTINUED</v>
          </cell>
          <cell r="F683" t="str">
            <v>SOUVENIR</v>
          </cell>
          <cell r="G683">
            <v>34100</v>
          </cell>
          <cell r="H683" t="str">
            <v>DIST. LEWIS</v>
          </cell>
          <cell r="I683">
            <v>1.95</v>
          </cell>
        </row>
        <row r="684">
          <cell r="A684" t="str">
            <v>19-00683</v>
          </cell>
          <cell r="B684" t="str">
            <v>DIST. LEWIS</v>
          </cell>
          <cell r="C684" t="str">
            <v>D</v>
          </cell>
          <cell r="D684" t="str">
            <v>N/A</v>
          </cell>
          <cell r="E684" t="str">
            <v>34102 DIST. LEWIS TAZA PIRATA VELERO DISCONTINUED</v>
          </cell>
          <cell r="F684" t="str">
            <v>SOUVENIR</v>
          </cell>
          <cell r="G684">
            <v>34102</v>
          </cell>
          <cell r="H684" t="str">
            <v>DIST. LEWIS</v>
          </cell>
          <cell r="I684">
            <v>1.95</v>
          </cell>
        </row>
        <row r="685">
          <cell r="A685" t="str">
            <v>19-00684</v>
          </cell>
          <cell r="B685" t="str">
            <v>DIST. LEWIS</v>
          </cell>
          <cell r="C685" t="str">
            <v>D</v>
          </cell>
          <cell r="D685" t="str">
            <v>N/A</v>
          </cell>
          <cell r="E685" t="str">
            <v>34101 DIST. LEWIS TAZA PIRATA TIMON DISCONTINUED</v>
          </cell>
          <cell r="F685" t="str">
            <v>SOUVENIR</v>
          </cell>
          <cell r="G685">
            <v>34101</v>
          </cell>
          <cell r="H685" t="str">
            <v>DIST. LEWIS</v>
          </cell>
          <cell r="I685">
            <v>1.95</v>
          </cell>
        </row>
        <row r="686">
          <cell r="A686" t="str">
            <v>19-00685</v>
          </cell>
          <cell r="B686" t="str">
            <v>DIST. LEWIS</v>
          </cell>
          <cell r="C686" t="str">
            <v>D</v>
          </cell>
          <cell r="D686" t="str">
            <v>N/A</v>
          </cell>
          <cell r="E686" t="str">
            <v>33335 DIST. LEWIS VASO TRAGO PIRATA DISCONTINUED</v>
          </cell>
          <cell r="F686" t="str">
            <v>SOUVENIR</v>
          </cell>
          <cell r="G686">
            <v>33335</v>
          </cell>
          <cell r="H686" t="str">
            <v>DIST. LEWIS</v>
          </cell>
          <cell r="I686">
            <v>0.75</v>
          </cell>
        </row>
        <row r="687">
          <cell r="A687" t="str">
            <v>19-00686</v>
          </cell>
          <cell r="B687" t="str">
            <v>DIST. LEWIS</v>
          </cell>
          <cell r="C687" t="str">
            <v>D</v>
          </cell>
          <cell r="D687" t="str">
            <v>N/A</v>
          </cell>
          <cell r="E687" t="str">
            <v>33251 DIST. LEWIS VASO SHOT CALAVERA DISCONTINUED</v>
          </cell>
          <cell r="F687" t="str">
            <v>SOUVENIR</v>
          </cell>
          <cell r="G687">
            <v>33251</v>
          </cell>
          <cell r="H687" t="str">
            <v>DIST. LEWIS</v>
          </cell>
          <cell r="I687">
            <v>0.75</v>
          </cell>
        </row>
        <row r="688">
          <cell r="A688" t="str">
            <v>19-00687</v>
          </cell>
          <cell r="B688" t="str">
            <v>DIST. LEWIS</v>
          </cell>
          <cell r="C688" t="str">
            <v>D</v>
          </cell>
          <cell r="D688" t="str">
            <v>N/A</v>
          </cell>
          <cell r="E688" t="str">
            <v>33312 DIST. LEWIS TAZA DELFIN NICHO DISCONTINUED</v>
          </cell>
          <cell r="F688" t="str">
            <v>SOUVENIR</v>
          </cell>
          <cell r="G688">
            <v>33312</v>
          </cell>
          <cell r="H688" t="str">
            <v>DIST. LEWIS</v>
          </cell>
          <cell r="I688">
            <v>1.8</v>
          </cell>
        </row>
        <row r="689">
          <cell r="A689" t="str">
            <v>19-00688</v>
          </cell>
          <cell r="B689" t="str">
            <v>DIST. LEWIS</v>
          </cell>
          <cell r="C689" t="str">
            <v>D</v>
          </cell>
          <cell r="D689" t="str">
            <v>N/A</v>
          </cell>
          <cell r="E689" t="str">
            <v>33313 DIST. LEWIS TAZA MARINA 2 NICHOS DISCONTINUED</v>
          </cell>
          <cell r="F689" t="str">
            <v>SOUVENIR</v>
          </cell>
          <cell r="G689">
            <v>33313</v>
          </cell>
          <cell r="H689" t="str">
            <v>DIST. LEWIS</v>
          </cell>
          <cell r="I689">
            <v>1.8</v>
          </cell>
        </row>
        <row r="690">
          <cell r="A690" t="str">
            <v>19-00689</v>
          </cell>
          <cell r="B690" t="str">
            <v>DIST. LEWIS</v>
          </cell>
          <cell r="C690" t="str">
            <v>D</v>
          </cell>
          <cell r="D690" t="str">
            <v>N/A</v>
          </cell>
          <cell r="E690" t="str">
            <v>34096 DIST. LEWIS TAZA PLATO DELFIN PMA. DISCONTINUED</v>
          </cell>
          <cell r="F690" t="str">
            <v>SOUVENIR</v>
          </cell>
          <cell r="G690">
            <v>34096</v>
          </cell>
          <cell r="H690" t="str">
            <v>DIST. LEWIS</v>
          </cell>
          <cell r="I690">
            <v>2.4</v>
          </cell>
        </row>
        <row r="691">
          <cell r="A691" t="str">
            <v>19-00690</v>
          </cell>
          <cell r="B691" t="str">
            <v>DIST. LEWIS</v>
          </cell>
          <cell r="C691" t="str">
            <v>D</v>
          </cell>
          <cell r="D691" t="str">
            <v>N/A</v>
          </cell>
          <cell r="E691" t="str">
            <v>34031 DIST. LEWIS SHOT DE COLORES BESOS DISCONTINUED</v>
          </cell>
          <cell r="F691" t="str">
            <v>SOUVENIR</v>
          </cell>
          <cell r="G691">
            <v>34031</v>
          </cell>
          <cell r="H691" t="str">
            <v>DIST. LEWIS</v>
          </cell>
          <cell r="I691">
            <v>0.8</v>
          </cell>
        </row>
        <row r="692">
          <cell r="A692" t="str">
            <v>19-00691</v>
          </cell>
          <cell r="B692" t="str">
            <v>DIST. LEWIS</v>
          </cell>
          <cell r="C692" t="str">
            <v>D</v>
          </cell>
          <cell r="D692" t="str">
            <v>N/A</v>
          </cell>
          <cell r="E692" t="str">
            <v>34035 DIST. LEWIS SHOT CANAL COLOR DISCONTINUED</v>
          </cell>
          <cell r="F692" t="str">
            <v>SOUVENIR</v>
          </cell>
          <cell r="G692">
            <v>34035</v>
          </cell>
          <cell r="H692" t="str">
            <v>DIST. LEWIS</v>
          </cell>
          <cell r="I692">
            <v>0.8</v>
          </cell>
        </row>
        <row r="693">
          <cell r="A693" t="str">
            <v>19-00692</v>
          </cell>
          <cell r="B693" t="str">
            <v>DIST. LEWIS</v>
          </cell>
          <cell r="C693" t="str">
            <v>D</v>
          </cell>
          <cell r="D693" t="str">
            <v>N/A</v>
          </cell>
          <cell r="E693" t="str">
            <v>34034 DIST. LEWIS SHOT PTE. COLOR DISCONTINUED</v>
          </cell>
          <cell r="F693" t="str">
            <v>SOUVENIR</v>
          </cell>
          <cell r="G693">
            <v>34034</v>
          </cell>
          <cell r="H693" t="str">
            <v>DIST. LEWIS</v>
          </cell>
          <cell r="I693">
            <v>0.8</v>
          </cell>
        </row>
        <row r="694">
          <cell r="A694" t="str">
            <v>19-00693</v>
          </cell>
          <cell r="B694" t="str">
            <v>DIST. LEWIS</v>
          </cell>
          <cell r="C694" t="str">
            <v>D</v>
          </cell>
          <cell r="D694" t="str">
            <v>N/A</v>
          </cell>
          <cell r="E694" t="str">
            <v>34027 DIST. LEWIS SHOT LARGO BESOS PMA DISCONTINUED</v>
          </cell>
          <cell r="F694" t="str">
            <v>SOUVENIR</v>
          </cell>
          <cell r="G694">
            <v>34027</v>
          </cell>
          <cell r="H694" t="str">
            <v>DIST. LEWIS</v>
          </cell>
          <cell r="I694">
            <v>1.1000000000000001</v>
          </cell>
        </row>
        <row r="695">
          <cell r="A695" t="str">
            <v>19-00694</v>
          </cell>
          <cell r="B695" t="str">
            <v>DIST. LEWIS</v>
          </cell>
          <cell r="C695" t="str">
            <v>D</v>
          </cell>
          <cell r="D695" t="str">
            <v>N/A</v>
          </cell>
          <cell r="E695" t="str">
            <v>33338 DIST. LEWIS SHOT MULTI COLORES PMA DISCONTINUED</v>
          </cell>
          <cell r="F695" t="str">
            <v>SOUVENIR</v>
          </cell>
          <cell r="G695">
            <v>33338</v>
          </cell>
          <cell r="H695" t="str">
            <v>DIST. LEWIS</v>
          </cell>
          <cell r="I695">
            <v>1.1000000000000001</v>
          </cell>
        </row>
        <row r="696">
          <cell r="A696" t="str">
            <v>19-00695</v>
          </cell>
          <cell r="B696" t="str">
            <v>DIST. LEWIS</v>
          </cell>
          <cell r="C696" t="str">
            <v>D</v>
          </cell>
          <cell r="D696" t="str">
            <v>N/A</v>
          </cell>
          <cell r="E696" t="str">
            <v>33525 DIST. LEWIS LLAVERO ABRIDOR CANAL DISCONTINUED</v>
          </cell>
          <cell r="F696" t="str">
            <v>SOUVENIR</v>
          </cell>
          <cell r="G696">
            <v>33525</v>
          </cell>
          <cell r="H696" t="str">
            <v>DIST. LEWIS</v>
          </cell>
          <cell r="I696">
            <v>1.95</v>
          </cell>
        </row>
        <row r="697">
          <cell r="A697" t="str">
            <v>19-00696</v>
          </cell>
          <cell r="B697" t="str">
            <v>DIST. LEWIS</v>
          </cell>
          <cell r="C697" t="str">
            <v>D</v>
          </cell>
          <cell r="D697" t="str">
            <v>N/A</v>
          </cell>
          <cell r="E697" t="str">
            <v>33849 DIST. LEWIS LLAVERO ABRIDOR PMA VIEJO DISCONTINUED</v>
          </cell>
          <cell r="F697" t="str">
            <v>SOUVENIR</v>
          </cell>
          <cell r="G697">
            <v>33849</v>
          </cell>
          <cell r="H697" t="str">
            <v>DIST. LEWIS</v>
          </cell>
          <cell r="I697">
            <v>1.25</v>
          </cell>
        </row>
        <row r="698">
          <cell r="A698" t="str">
            <v>19-00697</v>
          </cell>
          <cell r="B698" t="str">
            <v>DIST. LEWIS</v>
          </cell>
          <cell r="C698" t="str">
            <v>D</v>
          </cell>
          <cell r="D698" t="str">
            <v>N/A</v>
          </cell>
          <cell r="E698" t="str">
            <v>34080 DIST. LEWIS LLAVERO ABRIDOR PTE. DISCONTINUED</v>
          </cell>
          <cell r="F698" t="str">
            <v>SOUVENIR</v>
          </cell>
          <cell r="G698">
            <v>34080</v>
          </cell>
          <cell r="H698" t="str">
            <v>DIST. LEWIS</v>
          </cell>
          <cell r="I698">
            <v>1.75</v>
          </cell>
        </row>
        <row r="699">
          <cell r="A699" t="str">
            <v>19-00698</v>
          </cell>
          <cell r="B699" t="str">
            <v>DIST. LEWIS</v>
          </cell>
          <cell r="C699" t="str">
            <v>D</v>
          </cell>
          <cell r="D699" t="str">
            <v>N/A</v>
          </cell>
          <cell r="E699" t="str">
            <v>33636 DIST. LEWIS ABRIDOR BALBOA BRONCE DISCONTINUED</v>
          </cell>
          <cell r="F699" t="str">
            <v>SOUVENIR</v>
          </cell>
          <cell r="G699">
            <v>33636</v>
          </cell>
          <cell r="H699" t="str">
            <v>DIST. LEWIS</v>
          </cell>
          <cell r="I699">
            <v>2.95</v>
          </cell>
        </row>
        <row r="700">
          <cell r="A700" t="str">
            <v>19-00699</v>
          </cell>
          <cell r="B700" t="str">
            <v>DIST. LEWIS</v>
          </cell>
          <cell r="C700" t="str">
            <v>D</v>
          </cell>
          <cell r="D700" t="str">
            <v>N/A</v>
          </cell>
          <cell r="E700" t="str">
            <v>33637 DIST. LEWIS ABRIDOR BALBOA PLATEADO DISCONTINUED</v>
          </cell>
          <cell r="F700" t="str">
            <v>SOUVENIR</v>
          </cell>
          <cell r="G700">
            <v>33637</v>
          </cell>
          <cell r="H700" t="str">
            <v>DIST. LEWIS</v>
          </cell>
          <cell r="I700">
            <v>2.95</v>
          </cell>
        </row>
        <row r="701">
          <cell r="A701" t="str">
            <v>19-00700</v>
          </cell>
          <cell r="B701" t="str">
            <v>DIST. LEWIS</v>
          </cell>
          <cell r="C701" t="str">
            <v>D</v>
          </cell>
          <cell r="D701" t="str">
            <v>N/A</v>
          </cell>
          <cell r="E701" t="str">
            <v>33696 DIST. LEWIS ABRIDOR BOTELLA MUJER PMA BRONCE DISCONTINUED</v>
          </cell>
          <cell r="F701" t="str">
            <v>SOUVENIR</v>
          </cell>
          <cell r="G701">
            <v>33696</v>
          </cell>
          <cell r="H701" t="str">
            <v>DIST. LEWIS</v>
          </cell>
          <cell r="I701">
            <v>3.99</v>
          </cell>
        </row>
        <row r="702">
          <cell r="A702" t="str">
            <v>19-00701</v>
          </cell>
          <cell r="B702" t="str">
            <v>DIST. LEWIS</v>
          </cell>
          <cell r="C702" t="str">
            <v>D</v>
          </cell>
          <cell r="D702" t="str">
            <v>N/A</v>
          </cell>
          <cell r="E702" t="str">
            <v>33796 DIST. LEWIS ABRIDOR BOTELLA MUJER PMA PLATEADO DISCONTINUED</v>
          </cell>
          <cell r="F702" t="str">
            <v>SOUVENIR</v>
          </cell>
          <cell r="G702">
            <v>33796</v>
          </cell>
          <cell r="H702" t="str">
            <v>DIST. LEWIS</v>
          </cell>
          <cell r="I702">
            <v>3.99</v>
          </cell>
        </row>
        <row r="703">
          <cell r="A703" t="str">
            <v>19-00702</v>
          </cell>
          <cell r="B703" t="str">
            <v>DIST. LEWIS</v>
          </cell>
          <cell r="C703" t="str">
            <v>D</v>
          </cell>
          <cell r="D703" t="str">
            <v>N/A</v>
          </cell>
          <cell r="E703" t="str">
            <v>33296 DIST. LEWIS CENICERO PIRATA PMA DISCONTINUED</v>
          </cell>
          <cell r="F703" t="str">
            <v>SOUVENIR</v>
          </cell>
          <cell r="G703">
            <v>33296</v>
          </cell>
          <cell r="H703" t="str">
            <v>DIST. LEWIS</v>
          </cell>
          <cell r="I703">
            <v>1.8</v>
          </cell>
        </row>
        <row r="704">
          <cell r="A704" t="str">
            <v>19-00703</v>
          </cell>
          <cell r="B704" t="str">
            <v>DIST. LEWIS</v>
          </cell>
          <cell r="C704" t="str">
            <v>D</v>
          </cell>
          <cell r="D704" t="str">
            <v>N/A</v>
          </cell>
          <cell r="E704" t="str">
            <v>34107 DIST. LEWIS CENICEROS CALAVERAS PMA DISCONTINUED</v>
          </cell>
          <cell r="F704" t="str">
            <v>SOUVENIR</v>
          </cell>
          <cell r="G704">
            <v>34107</v>
          </cell>
          <cell r="H704" t="str">
            <v>DIST. LEWIS</v>
          </cell>
          <cell r="I704">
            <v>1.8</v>
          </cell>
        </row>
        <row r="705">
          <cell r="A705" t="str">
            <v>19-00704</v>
          </cell>
          <cell r="B705" t="str">
            <v>DIST. LEWIS</v>
          </cell>
          <cell r="C705" t="str">
            <v>D</v>
          </cell>
          <cell r="D705" t="str">
            <v>N/A</v>
          </cell>
          <cell r="E705" t="str">
            <v>34108 DIST. LEWIS CENICERO CALAVERA PIRATA PMA DISCONTINUED</v>
          </cell>
          <cell r="F705" t="str">
            <v>SOUVENIR</v>
          </cell>
          <cell r="G705">
            <v>34108</v>
          </cell>
          <cell r="H705" t="str">
            <v>DIST. LEWIS</v>
          </cell>
          <cell r="I705">
            <v>1.8</v>
          </cell>
        </row>
        <row r="706">
          <cell r="A706" t="str">
            <v>19-00705</v>
          </cell>
          <cell r="B706" t="str">
            <v>DIST. LEWIS</v>
          </cell>
          <cell r="C706" t="str">
            <v>D</v>
          </cell>
          <cell r="D706" t="str">
            <v>N/A</v>
          </cell>
          <cell r="E706" t="str">
            <v>33977 DIST. LEWIS DIABLICO SUCIO PMA DISCONTINUED</v>
          </cell>
          <cell r="F706" t="str">
            <v>SOUVENIR</v>
          </cell>
          <cell r="G706">
            <v>33977</v>
          </cell>
          <cell r="H706" t="str">
            <v>DIST. LEWIS</v>
          </cell>
          <cell r="I706">
            <v>6.95</v>
          </cell>
        </row>
        <row r="707">
          <cell r="A707" t="str">
            <v>19-00706</v>
          </cell>
          <cell r="B707" t="str">
            <v>DIST. LEWIS</v>
          </cell>
          <cell r="C707" t="str">
            <v>D</v>
          </cell>
          <cell r="D707" t="str">
            <v>N/A</v>
          </cell>
          <cell r="E707" t="str">
            <v>34162 DIST. LEWIS BUSTO DE INDIA KUNA DISCONTINUED</v>
          </cell>
          <cell r="F707" t="str">
            <v>SOUVENIR</v>
          </cell>
          <cell r="G707">
            <v>34162</v>
          </cell>
          <cell r="H707" t="str">
            <v>DIST. LEWIS</v>
          </cell>
          <cell r="I707">
            <v>0</v>
          </cell>
        </row>
        <row r="708">
          <cell r="A708" t="str">
            <v>19-00707</v>
          </cell>
          <cell r="B708" t="str">
            <v>DIST. LEWIS</v>
          </cell>
          <cell r="C708" t="str">
            <v>D</v>
          </cell>
          <cell r="D708" t="str">
            <v>N/A</v>
          </cell>
          <cell r="E708" t="str">
            <v>33967 DIST. LEWIS POLLERA PMA DISCONTINUED</v>
          </cell>
          <cell r="F708" t="str">
            <v>SOUVENIR</v>
          </cell>
          <cell r="G708">
            <v>33967</v>
          </cell>
          <cell r="H708" t="str">
            <v>DIST. LEWIS</v>
          </cell>
          <cell r="I708">
            <v>0</v>
          </cell>
        </row>
        <row r="709">
          <cell r="A709" t="str">
            <v>19-00708</v>
          </cell>
          <cell r="B709" t="str">
            <v>DIST. LEWIS</v>
          </cell>
          <cell r="C709" t="str">
            <v>D</v>
          </cell>
          <cell r="D709" t="str">
            <v>N/A</v>
          </cell>
          <cell r="E709" t="str">
            <v>DIST. LEWIS THE BUILDING OF THE PANAMA CANAL DISCONTINUED</v>
          </cell>
          <cell r="F709" t="str">
            <v>LIBRO</v>
          </cell>
          <cell r="G709">
            <v>33967</v>
          </cell>
          <cell r="H709" t="str">
            <v>DIST. LEWIS</v>
          </cell>
          <cell r="I709">
            <v>12.4</v>
          </cell>
        </row>
        <row r="710">
          <cell r="A710" t="str">
            <v>19-00709</v>
          </cell>
          <cell r="B710" t="str">
            <v>DIST. LEWIS</v>
          </cell>
          <cell r="C710" t="str">
            <v>D</v>
          </cell>
          <cell r="D710" t="str">
            <v>N/A</v>
          </cell>
          <cell r="E710" t="str">
            <v>DIST. LEWIS THE PATH BETWEEN THE SEAS DISCONTINUED</v>
          </cell>
          <cell r="F710" t="str">
            <v>LIBRO</v>
          </cell>
          <cell r="G710">
            <v>33967</v>
          </cell>
          <cell r="H710" t="str">
            <v>DIST. LEWIS</v>
          </cell>
          <cell r="I710">
            <v>14</v>
          </cell>
        </row>
        <row r="711">
          <cell r="A711" t="str">
            <v>19-00710</v>
          </cell>
          <cell r="B711" t="str">
            <v>N/A</v>
          </cell>
          <cell r="C711" t="str">
            <v>D</v>
          </cell>
          <cell r="D711" t="str">
            <v>N/A</v>
          </cell>
          <cell r="E711" t="str">
            <v>S6AGDZ-122 SKULLCANDY AGENT GALACTICA DISCONTINUED</v>
          </cell>
          <cell r="F711" t="str">
            <v>AUDIFONOS</v>
          </cell>
          <cell r="G711" t="str">
            <v>S6AGDZ-122</v>
          </cell>
          <cell r="H711" t="str">
            <v>SKULLCANDY</v>
          </cell>
          <cell r="I711">
            <v>24.18</v>
          </cell>
        </row>
        <row r="712">
          <cell r="A712" t="str">
            <v>19-00711</v>
          </cell>
          <cell r="B712" t="str">
            <v>N/A</v>
          </cell>
          <cell r="C712" t="str">
            <v>D</v>
          </cell>
          <cell r="D712" t="str">
            <v>N/A</v>
          </cell>
          <cell r="E712" t="str">
            <v>S6AGDZ-141 SKULLCANDY AGENT VINTAGE ROAD DISCONTINUED</v>
          </cell>
          <cell r="F712" t="str">
            <v>AUDIFONOS</v>
          </cell>
          <cell r="G712" t="str">
            <v>S6AGDZ-141</v>
          </cell>
          <cell r="H712" t="str">
            <v>SKULLCANDY</v>
          </cell>
          <cell r="I712">
            <v>27.9</v>
          </cell>
        </row>
        <row r="713">
          <cell r="A713" t="str">
            <v>19-00712</v>
          </cell>
          <cell r="B713" t="str">
            <v>N/A</v>
          </cell>
          <cell r="C713" t="str">
            <v>D</v>
          </cell>
          <cell r="D713" t="str">
            <v>N/A</v>
          </cell>
          <cell r="E713" t="str">
            <v>S6AGCZ-103 SKULLCANDY AGENT TOKIDOKI (SPECIAL EDITION) DISCONTINUED</v>
          </cell>
          <cell r="F713" t="str">
            <v>AUDIFONOS</v>
          </cell>
          <cell r="G713" t="str">
            <v>S6AGCZ-103</v>
          </cell>
          <cell r="H713" t="str">
            <v>SKULLCANDY</v>
          </cell>
          <cell r="I713">
            <v>27.9</v>
          </cell>
        </row>
        <row r="714">
          <cell r="A714" t="str">
            <v>19-00713</v>
          </cell>
          <cell r="B714" t="str">
            <v>N/A</v>
          </cell>
          <cell r="C714" t="str">
            <v>D</v>
          </cell>
          <cell r="D714" t="str">
            <v>N/A</v>
          </cell>
          <cell r="E714" t="str">
            <v>S6AGCZ-068 SKULLCANDY AGENT SMART AND DITZY DISCONTINUED</v>
          </cell>
          <cell r="F714" t="str">
            <v>AUDIFONOS</v>
          </cell>
          <cell r="G714" t="str">
            <v>S6AGCZ-068</v>
          </cell>
          <cell r="H714" t="str">
            <v>SKULLCANDY</v>
          </cell>
          <cell r="I714">
            <v>29.9</v>
          </cell>
        </row>
        <row r="715">
          <cell r="A715" t="str">
            <v>19-00714</v>
          </cell>
          <cell r="B715" t="str">
            <v>N/A</v>
          </cell>
          <cell r="C715" t="str">
            <v>D</v>
          </cell>
          <cell r="D715" t="str">
            <v>N/A</v>
          </cell>
          <cell r="E715" t="str">
            <v>S6AGDZ-120 SKULLCANDY AGENT CARBON/RED DISCONTINUED</v>
          </cell>
          <cell r="F715" t="str">
            <v>AUDIFONOS</v>
          </cell>
          <cell r="G715" t="str">
            <v>S6AGDZ-120</v>
          </cell>
          <cell r="H715" t="str">
            <v>SKULLCANDY</v>
          </cell>
          <cell r="I715">
            <v>29.9</v>
          </cell>
        </row>
        <row r="716">
          <cell r="A716" t="str">
            <v>19-00715</v>
          </cell>
          <cell r="B716" t="str">
            <v>N/A</v>
          </cell>
          <cell r="C716" t="str">
            <v>D</v>
          </cell>
          <cell r="D716" t="str">
            <v>N/A</v>
          </cell>
          <cell r="E716" t="str">
            <v>S6AGCZ-063 SKULLCANDY AGENT SHOE BLUE DISCONTINUED</v>
          </cell>
          <cell r="F716" t="str">
            <v>AUDIFONOS</v>
          </cell>
          <cell r="G716" t="str">
            <v>S6AGCZ-063</v>
          </cell>
          <cell r="H716" t="str">
            <v>SKULLCANDY</v>
          </cell>
          <cell r="I716">
            <v>44.85</v>
          </cell>
        </row>
        <row r="717">
          <cell r="A717" t="str">
            <v>19-00716</v>
          </cell>
          <cell r="B717" t="str">
            <v>N/A</v>
          </cell>
          <cell r="C717" t="str">
            <v>D</v>
          </cell>
          <cell r="D717" t="str">
            <v>N/A</v>
          </cell>
          <cell r="E717" t="str">
            <v>S6SKDY-129 SKULLCANDY SKULLCRUSHER LURKER GREEN/BLACK DISCONTINUED</v>
          </cell>
          <cell r="F717" t="str">
            <v>AUDIFONOS</v>
          </cell>
          <cell r="G717" t="str">
            <v>S6SKDY-129</v>
          </cell>
          <cell r="H717" t="str">
            <v>SKULLCANDY</v>
          </cell>
          <cell r="I717">
            <v>36.270000000000003</v>
          </cell>
        </row>
        <row r="718">
          <cell r="A718" t="str">
            <v>19-00717</v>
          </cell>
          <cell r="B718" t="str">
            <v>N/A</v>
          </cell>
          <cell r="C718" t="str">
            <v>D</v>
          </cell>
          <cell r="D718" t="str">
            <v>N/A</v>
          </cell>
          <cell r="E718" t="str">
            <v>S6SKDY-136 SKULLCANDY SKULLCRUSHER PURPLE/WHITE DISCONTINUED</v>
          </cell>
          <cell r="F718" t="str">
            <v>AUDIFONOS</v>
          </cell>
          <cell r="G718" t="str">
            <v>S6SKDY-136</v>
          </cell>
          <cell r="H718" t="str">
            <v>SKULLCANDY</v>
          </cell>
          <cell r="I718">
            <v>44.85</v>
          </cell>
        </row>
        <row r="719">
          <cell r="A719" t="str">
            <v>19-00718</v>
          </cell>
          <cell r="B719" t="str">
            <v>N/A</v>
          </cell>
          <cell r="C719" t="str">
            <v>D</v>
          </cell>
          <cell r="D719" t="str">
            <v>N/A</v>
          </cell>
          <cell r="E719" t="str">
            <v>S6SKCZ-054 SKULLCANDY SKULLCRUSHER PIECE LOVE NOISE DISCONTINUED</v>
          </cell>
          <cell r="F719" t="str">
            <v>AUDIFONOS</v>
          </cell>
          <cell r="G719" t="str">
            <v>S6SKCZ-054</v>
          </cell>
          <cell r="H719" t="str">
            <v>SKULLCANDY</v>
          </cell>
          <cell r="I719">
            <v>44.85</v>
          </cell>
        </row>
        <row r="720">
          <cell r="A720" t="str">
            <v>19-00719</v>
          </cell>
          <cell r="B720" t="str">
            <v>N/A</v>
          </cell>
          <cell r="C720" t="str">
            <v>D</v>
          </cell>
          <cell r="D720" t="str">
            <v>N/A</v>
          </cell>
          <cell r="E720" t="str">
            <v>S6SKCZ-070 SKULLCANDY SKULLCRUSHER THROW BACK DISCONTINUED</v>
          </cell>
          <cell r="F720" t="str">
            <v>AUDIFONOS</v>
          </cell>
          <cell r="G720" t="str">
            <v>S6SKCZ-070</v>
          </cell>
          <cell r="H720" t="str">
            <v>SKULLCANDY</v>
          </cell>
          <cell r="I720">
            <v>44.85</v>
          </cell>
        </row>
        <row r="721">
          <cell r="A721" t="str">
            <v>19-00720</v>
          </cell>
          <cell r="B721" t="str">
            <v>N/A</v>
          </cell>
          <cell r="C721" t="str">
            <v>D</v>
          </cell>
          <cell r="D721" t="str">
            <v>N/A</v>
          </cell>
          <cell r="E721" t="str">
            <v>S6SKCZ-002 SKULLCANDY SKULLCRUSHER ABEL HIGH CARD DISCONTINUED</v>
          </cell>
          <cell r="F721" t="str">
            <v>AUDIFONOS</v>
          </cell>
          <cell r="G721" t="str">
            <v>S6SKCZ-002</v>
          </cell>
          <cell r="H721" t="str">
            <v>SKULLCANDY</v>
          </cell>
          <cell r="I721">
            <v>44.85</v>
          </cell>
        </row>
        <row r="722">
          <cell r="A722" t="str">
            <v>19-00721</v>
          </cell>
          <cell r="B722" t="str">
            <v>N/A</v>
          </cell>
          <cell r="C722" t="str">
            <v>D</v>
          </cell>
          <cell r="D722" t="str">
            <v>N/A</v>
          </cell>
          <cell r="E722" t="str">
            <v>S6SKDY-119 SKULLCANDY SKULLCRUSHER BLUE PINSTRIPE DISCONTINUED</v>
          </cell>
          <cell r="F722" t="str">
            <v>AUDIFONOS</v>
          </cell>
          <cell r="G722" t="str">
            <v>S6SKDY-119</v>
          </cell>
          <cell r="H722" t="str">
            <v>SKULLCANDY</v>
          </cell>
          <cell r="I722">
            <v>36.270000000000003</v>
          </cell>
        </row>
        <row r="723">
          <cell r="A723" t="str">
            <v>19-00722</v>
          </cell>
          <cell r="B723" t="str">
            <v>N/A</v>
          </cell>
          <cell r="C723" t="str">
            <v>D</v>
          </cell>
          <cell r="D723" t="str">
            <v>N/A</v>
          </cell>
          <cell r="E723" t="str">
            <v>S6GICY-025 SKULLCANDY GI GRIDLOCK W/MIC DISCONTINUED</v>
          </cell>
          <cell r="F723" t="str">
            <v>AUDIFONOS</v>
          </cell>
          <cell r="G723" t="str">
            <v>S6GICY-025</v>
          </cell>
          <cell r="H723" t="str">
            <v>SKULLCANDY</v>
          </cell>
          <cell r="I723">
            <v>0</v>
          </cell>
        </row>
        <row r="724">
          <cell r="A724" t="str">
            <v>19-00723</v>
          </cell>
          <cell r="B724" t="str">
            <v>N/A</v>
          </cell>
          <cell r="C724" t="str">
            <v>D</v>
          </cell>
          <cell r="D724" t="str">
            <v>N/A</v>
          </cell>
          <cell r="E724" t="str">
            <v>S6GICY-029 SKULLCANDY GI LURKER PUNK DISCONTINUED</v>
          </cell>
          <cell r="F724" t="str">
            <v>AUDIFONOS</v>
          </cell>
          <cell r="G724" t="str">
            <v>S6GICY-029</v>
          </cell>
          <cell r="H724" t="str">
            <v>SKULLCANDY</v>
          </cell>
          <cell r="I724">
            <v>42.55</v>
          </cell>
        </row>
        <row r="725">
          <cell r="A725" t="str">
            <v>19-00724</v>
          </cell>
          <cell r="B725" t="str">
            <v>N/A</v>
          </cell>
          <cell r="C725" t="str">
            <v>D</v>
          </cell>
          <cell r="D725" t="str">
            <v>N/A</v>
          </cell>
          <cell r="E725" t="str">
            <v>S6GIDZ-118 SKULLCANDY GI BLACK GREY DISCONTINUED</v>
          </cell>
          <cell r="F725" t="str">
            <v>AUDIFONOS</v>
          </cell>
          <cell r="G725" t="str">
            <v>S6GIDZ-118</v>
          </cell>
          <cell r="H725" t="str">
            <v>SKULLCANDY</v>
          </cell>
          <cell r="I725">
            <v>37</v>
          </cell>
        </row>
        <row r="726">
          <cell r="A726" t="str">
            <v>19-00725</v>
          </cell>
          <cell r="B726" t="str">
            <v>N/A</v>
          </cell>
          <cell r="C726" t="str">
            <v>D</v>
          </cell>
          <cell r="D726" t="str">
            <v>N/A</v>
          </cell>
          <cell r="E726" t="str">
            <v>S6GICY-026 SKULLCANDY GI HABITAT RASTA DISCONTINUED</v>
          </cell>
          <cell r="F726" t="str">
            <v>AUDIFONOS</v>
          </cell>
          <cell r="G726" t="str">
            <v>S6GICY-026</v>
          </cell>
          <cell r="H726" t="str">
            <v>SKULLCANDY</v>
          </cell>
          <cell r="I726">
            <v>42.55</v>
          </cell>
        </row>
        <row r="727">
          <cell r="A727" t="str">
            <v>19-00726</v>
          </cell>
          <cell r="B727" t="str">
            <v>N/A</v>
          </cell>
          <cell r="C727" t="str">
            <v>D</v>
          </cell>
          <cell r="D727" t="str">
            <v>N/A</v>
          </cell>
          <cell r="E727" t="str">
            <v>S6GICY-062 SKULLCANDY GI SHOE BLACK W/ MIC DISCONTINUED</v>
          </cell>
          <cell r="F727" t="str">
            <v>AUDIFONOS</v>
          </cell>
          <cell r="G727" t="str">
            <v>S6GICY-062</v>
          </cell>
          <cell r="H727" t="str">
            <v>SKULLCANDY</v>
          </cell>
          <cell r="I727">
            <v>34.409999999999997</v>
          </cell>
        </row>
        <row r="728">
          <cell r="A728" t="str">
            <v>19-00727</v>
          </cell>
          <cell r="B728" t="str">
            <v>N/A</v>
          </cell>
          <cell r="C728" t="str">
            <v>D</v>
          </cell>
          <cell r="D728" t="str">
            <v>N/A</v>
          </cell>
          <cell r="E728" t="str">
            <v>S6GICY-063 SKULLCANDY GI SHOE WHITE W/ MIC DISCONTINUED</v>
          </cell>
          <cell r="F728" t="str">
            <v>AUDIFONOS</v>
          </cell>
          <cell r="G728" t="str">
            <v>S6GICY-063</v>
          </cell>
          <cell r="H728" t="str">
            <v>SKULLCANDY</v>
          </cell>
          <cell r="I728">
            <v>34.409999999999997</v>
          </cell>
        </row>
        <row r="729">
          <cell r="A729" t="str">
            <v>19-00728</v>
          </cell>
          <cell r="B729" t="str">
            <v>N/A</v>
          </cell>
          <cell r="C729" t="str">
            <v>D</v>
          </cell>
          <cell r="D729" t="str">
            <v>N/A</v>
          </cell>
          <cell r="E729" t="str">
            <v>S6GICZ-103 SKULLCANDY GI TOKIDOKI (SPECIAL EDITION) DISCONTINUED</v>
          </cell>
          <cell r="F729" t="str">
            <v>AUDIFONOS</v>
          </cell>
          <cell r="G729" t="str">
            <v>S6GICZ-103</v>
          </cell>
          <cell r="H729" t="str">
            <v>SKULLCANDY</v>
          </cell>
          <cell r="I729">
            <v>46</v>
          </cell>
        </row>
        <row r="730">
          <cell r="A730" t="str">
            <v>19-00729</v>
          </cell>
          <cell r="B730" t="str">
            <v>N/A</v>
          </cell>
          <cell r="C730" t="str">
            <v>D</v>
          </cell>
          <cell r="D730" t="str">
            <v>N/A</v>
          </cell>
          <cell r="E730" t="str">
            <v>S6GICY-063 SKULLCANDY GI SHOE BLUE DISCONTINUED</v>
          </cell>
          <cell r="F730" t="str">
            <v>AUDIFONOS</v>
          </cell>
          <cell r="G730" t="str">
            <v>S6GICY-063</v>
          </cell>
          <cell r="H730" t="str">
            <v>SKULLCANDY</v>
          </cell>
          <cell r="I730">
            <v>0</v>
          </cell>
        </row>
        <row r="731">
          <cell r="A731" t="str">
            <v>19-00730</v>
          </cell>
          <cell r="B731" t="str">
            <v>N/A</v>
          </cell>
          <cell r="C731" t="str">
            <v>D</v>
          </cell>
          <cell r="D731" t="str">
            <v>N/A</v>
          </cell>
          <cell r="E731" t="str">
            <v>S6AVCM-072 SKULLCANDY AVIATOR WHITE DISCONTINUED</v>
          </cell>
          <cell r="F731" t="str">
            <v>AUDIFONOS</v>
          </cell>
          <cell r="G731" t="str">
            <v>S6AVCM-072</v>
          </cell>
          <cell r="H731" t="str">
            <v>SKULLCANDY</v>
          </cell>
          <cell r="I731">
            <v>106.95</v>
          </cell>
        </row>
        <row r="732">
          <cell r="A732" t="str">
            <v>19-00731</v>
          </cell>
          <cell r="B732" t="str">
            <v>N/A</v>
          </cell>
          <cell r="C732" t="str">
            <v>D</v>
          </cell>
          <cell r="D732" t="str">
            <v>N/A</v>
          </cell>
          <cell r="E732" t="str">
            <v>S2INDY-037 SKULLCANDY INKD GREEN W/ MIC DISCONTINUED</v>
          </cell>
          <cell r="F732" t="str">
            <v>AUDIFONOS</v>
          </cell>
          <cell r="G732" t="str">
            <v>S2INDY-037</v>
          </cell>
          <cell r="H732" t="str">
            <v>SKULLCANDY</v>
          </cell>
          <cell r="I732">
            <v>12.65</v>
          </cell>
        </row>
        <row r="733">
          <cell r="A733" t="str">
            <v>19-00732</v>
          </cell>
          <cell r="B733" t="str">
            <v>N/A</v>
          </cell>
          <cell r="C733" t="str">
            <v>D</v>
          </cell>
          <cell r="D733" t="str">
            <v>N/A</v>
          </cell>
          <cell r="E733" t="str">
            <v>S2INDY-045 SKULLCANDY INKD  SILVER W/ MIC DISCONTINUED</v>
          </cell>
          <cell r="F733" t="str">
            <v>AUDIFONOS</v>
          </cell>
          <cell r="G733" t="str">
            <v>S2INDY-045</v>
          </cell>
          <cell r="H733" t="str">
            <v>SKULLCANDY</v>
          </cell>
          <cell r="I733">
            <v>12.65</v>
          </cell>
        </row>
        <row r="734">
          <cell r="A734" t="str">
            <v>19-00733</v>
          </cell>
          <cell r="B734" t="str">
            <v>N/A</v>
          </cell>
          <cell r="C734" t="str">
            <v>D</v>
          </cell>
          <cell r="D734" t="str">
            <v>N/A</v>
          </cell>
          <cell r="E734" t="str">
            <v>S2INCZ-052 SKULLCANDY INKD PAUL FRANK PINK DISCONTINUED</v>
          </cell>
          <cell r="F734" t="str">
            <v>AUDIFONOS</v>
          </cell>
          <cell r="G734" t="str">
            <v>S2INCZ-052</v>
          </cell>
          <cell r="H734" t="str">
            <v>SKULLCANDY</v>
          </cell>
          <cell r="I734">
            <v>10.23</v>
          </cell>
        </row>
        <row r="735">
          <cell r="A735" t="str">
            <v>19-00734</v>
          </cell>
          <cell r="B735" t="str">
            <v>N/A</v>
          </cell>
          <cell r="C735" t="str">
            <v>D</v>
          </cell>
          <cell r="D735" t="str">
            <v>N/A</v>
          </cell>
          <cell r="E735" t="str">
            <v>S2BLDY-075 SKULLCANDY RIOT WHITE CHROME W/ MIC DISCONTINUED</v>
          </cell>
          <cell r="F735" t="str">
            <v>AUDIFONOS</v>
          </cell>
          <cell r="G735" t="str">
            <v>S2BLDY-075</v>
          </cell>
          <cell r="H735" t="str">
            <v>SKULLCANDY</v>
          </cell>
          <cell r="I735">
            <v>0</v>
          </cell>
        </row>
        <row r="736">
          <cell r="A736" t="str">
            <v>19-00735</v>
          </cell>
          <cell r="B736" t="str">
            <v>N/A</v>
          </cell>
          <cell r="C736" t="str">
            <v>D</v>
          </cell>
          <cell r="D736" t="str">
            <v>N/A</v>
          </cell>
          <cell r="E736" t="str">
            <v>S2SBCY-026 SKULLCANDY SMOKIN_BUDS HABITAT RASTA  W./MIC DISCONTINUED</v>
          </cell>
          <cell r="F736" t="str">
            <v>AUDIFONOS</v>
          </cell>
          <cell r="G736" t="str">
            <v>S2SBCY-026</v>
          </cell>
          <cell r="H736" t="str">
            <v>SKULLCANDY</v>
          </cell>
          <cell r="I736">
            <v>17.25</v>
          </cell>
        </row>
        <row r="737">
          <cell r="A737" t="str">
            <v>19-00736</v>
          </cell>
          <cell r="B737" t="str">
            <v>N/A</v>
          </cell>
          <cell r="C737" t="str">
            <v>D</v>
          </cell>
          <cell r="D737" t="str">
            <v>N/A</v>
          </cell>
          <cell r="E737" t="str">
            <v>S2SBDY-101 SKULLCANDY SMOKIN_BUDS BLUE/BLACK W/MIC DISCONTINUED</v>
          </cell>
          <cell r="F737" t="str">
            <v>AUDIFONOS</v>
          </cell>
          <cell r="G737" t="str">
            <v>S2SBDY-101</v>
          </cell>
          <cell r="H737" t="str">
            <v>SKULLCANDY</v>
          </cell>
          <cell r="I737">
            <v>17.25</v>
          </cell>
        </row>
        <row r="738">
          <cell r="A738" t="str">
            <v>19-00737</v>
          </cell>
          <cell r="B738" t="str">
            <v>N/A</v>
          </cell>
          <cell r="C738" t="str">
            <v>D</v>
          </cell>
          <cell r="D738" t="str">
            <v>N/A</v>
          </cell>
          <cell r="E738" t="str">
            <v>S2FFDM-058 SKULLCANDY 50/50 RASTA DISCONTINUED</v>
          </cell>
          <cell r="F738" t="str">
            <v>AUDIFONOS</v>
          </cell>
          <cell r="G738" t="str">
            <v>S2FFDM-058</v>
          </cell>
          <cell r="H738" t="str">
            <v>SKULLCANDY</v>
          </cell>
          <cell r="I738">
            <v>28.75</v>
          </cell>
        </row>
        <row r="739">
          <cell r="A739" t="str">
            <v>19-00738</v>
          </cell>
          <cell r="B739" t="str">
            <v>N/A</v>
          </cell>
          <cell r="C739" t="str">
            <v>D</v>
          </cell>
          <cell r="D739" t="str">
            <v>N/A</v>
          </cell>
          <cell r="E739" t="str">
            <v>S2FFCM-063 SKULLCANDY 50/50 SHOE BLUE DISCONTINUED</v>
          </cell>
          <cell r="F739" t="str">
            <v>AUDIFONOS</v>
          </cell>
          <cell r="G739" t="str">
            <v>S2FFCM-063</v>
          </cell>
          <cell r="H739" t="str">
            <v>SKULLCANDY</v>
          </cell>
          <cell r="I739">
            <v>28.75</v>
          </cell>
        </row>
        <row r="740">
          <cell r="A740" t="str">
            <v>19-00739</v>
          </cell>
          <cell r="B740" t="str">
            <v>N/A</v>
          </cell>
          <cell r="C740" t="str">
            <v>D</v>
          </cell>
          <cell r="D740" t="str">
            <v>N/A</v>
          </cell>
          <cell r="E740" t="str">
            <v>S5LWCY-033 SKULLCANDY LOWRIDER  BLACK/BLACK W/MIC DISCONTINUED</v>
          </cell>
          <cell r="F740" t="str">
            <v>AUDIFONOS</v>
          </cell>
          <cell r="G740" t="str">
            <v>S5LWCY-033</v>
          </cell>
          <cell r="H740" t="str">
            <v>SKULLCANDY</v>
          </cell>
          <cell r="I740">
            <v>19.463000000000001</v>
          </cell>
        </row>
        <row r="741">
          <cell r="A741" t="str">
            <v>19-00740</v>
          </cell>
          <cell r="B741" t="str">
            <v>N/A</v>
          </cell>
          <cell r="C741" t="str">
            <v>D</v>
          </cell>
          <cell r="D741" t="str">
            <v>N/A</v>
          </cell>
          <cell r="E741" t="str">
            <v>S5LWCY-033 SKULLCANDY LOWRIDER  LIGHT BLUE/NAVY W/ MIC DISCONTINUED</v>
          </cell>
          <cell r="F741" t="str">
            <v>AUDIFONOS</v>
          </cell>
          <cell r="G741" t="str">
            <v>S5LWCY-033</v>
          </cell>
          <cell r="H741" t="str">
            <v>SKULLCANDY</v>
          </cell>
          <cell r="I741">
            <v>0</v>
          </cell>
        </row>
        <row r="742">
          <cell r="A742" t="str">
            <v>19-00741</v>
          </cell>
          <cell r="B742" t="str">
            <v>N/A</v>
          </cell>
          <cell r="C742" t="str">
            <v>D</v>
          </cell>
          <cell r="D742" t="str">
            <v>N/A</v>
          </cell>
          <cell r="E742" t="str">
            <v>S5LWDY-058 SKULLCANDY LOWRIDER RASTA W/ MIC DISCONTINUED</v>
          </cell>
          <cell r="F742" t="str">
            <v>AUDIFONOS</v>
          </cell>
          <cell r="G742" t="str">
            <v>S5LWDY-058</v>
          </cell>
          <cell r="H742" t="str">
            <v>SKULLCANDY</v>
          </cell>
          <cell r="I742">
            <v>25.88</v>
          </cell>
        </row>
        <row r="743">
          <cell r="A743" t="str">
            <v>19-00742</v>
          </cell>
          <cell r="B743" t="str">
            <v>N/A</v>
          </cell>
          <cell r="C743" t="str">
            <v>D</v>
          </cell>
          <cell r="D743" t="str">
            <v>N/A</v>
          </cell>
          <cell r="E743" t="str">
            <v>S5LWDY-143 SKULLCANDY LOWRIDER YELLOW/NAVY W/ MIC DISCONTINUED</v>
          </cell>
          <cell r="F743" t="str">
            <v>AUDIFONOS</v>
          </cell>
          <cell r="G743" t="str">
            <v>S5LWDY-143</v>
          </cell>
          <cell r="H743" t="str">
            <v>SKULLCANDY</v>
          </cell>
          <cell r="I743">
            <v>20.93</v>
          </cell>
        </row>
        <row r="744">
          <cell r="A744" t="str">
            <v>19-00743</v>
          </cell>
          <cell r="B744" t="str">
            <v>N/A</v>
          </cell>
          <cell r="C744" t="str">
            <v>D</v>
          </cell>
          <cell r="D744" t="str">
            <v>N/A</v>
          </cell>
          <cell r="E744" t="str">
            <v>S6HECY-001 SKULLCANDY HESH A/V W/MIC DISCONTINUED</v>
          </cell>
          <cell r="F744" t="str">
            <v>AUDIFONOS</v>
          </cell>
          <cell r="G744" t="str">
            <v>S6HECY-001</v>
          </cell>
          <cell r="H744" t="str">
            <v>SKULLCANDY</v>
          </cell>
          <cell r="I744">
            <v>40.15</v>
          </cell>
        </row>
        <row r="745">
          <cell r="A745" t="str">
            <v>19-00744</v>
          </cell>
          <cell r="B745" t="str">
            <v>N/A</v>
          </cell>
          <cell r="C745" t="str">
            <v>D</v>
          </cell>
          <cell r="D745" t="str">
            <v>N/A</v>
          </cell>
          <cell r="E745" t="str">
            <v>S6HEDY-126 SKULLCANDY HESH LIGHT BLUE W/MIC DISCONTINUED</v>
          </cell>
          <cell r="F745" t="str">
            <v>AUDIFONOS</v>
          </cell>
          <cell r="G745" t="str">
            <v>S6HEDY-126</v>
          </cell>
          <cell r="H745" t="str">
            <v>SKULLCANDY</v>
          </cell>
          <cell r="I745">
            <v>32.47</v>
          </cell>
        </row>
        <row r="746">
          <cell r="A746" t="str">
            <v>19-00745</v>
          </cell>
          <cell r="B746" t="str">
            <v>N/A</v>
          </cell>
          <cell r="C746" t="str">
            <v>D</v>
          </cell>
          <cell r="D746" t="str">
            <v>N/A</v>
          </cell>
          <cell r="E746" t="str">
            <v>S6HEDY-059 SKULLCANDY HESH RED W/ MIC DISCONTINUED</v>
          </cell>
          <cell r="F746" t="str">
            <v>AUDIFONOS</v>
          </cell>
          <cell r="G746" t="str">
            <v>S6HEDY-059</v>
          </cell>
          <cell r="H746" t="str">
            <v>SKULLCANDY</v>
          </cell>
          <cell r="I746">
            <v>32.46</v>
          </cell>
        </row>
        <row r="747">
          <cell r="A747" t="str">
            <v>19-00746</v>
          </cell>
          <cell r="B747" t="str">
            <v>N/A</v>
          </cell>
          <cell r="C747" t="str">
            <v>D</v>
          </cell>
          <cell r="D747" t="str">
            <v>N/A</v>
          </cell>
          <cell r="E747" t="str">
            <v>S6HEDY-120 SKULLCANDY HESH CARBON/RED W/ MIC DISCONTINUED</v>
          </cell>
          <cell r="F747" t="str">
            <v>AUDIFONOS</v>
          </cell>
          <cell r="G747" t="str">
            <v>S6HEDY-120</v>
          </cell>
          <cell r="H747" t="str">
            <v>SKULLCANDY</v>
          </cell>
          <cell r="I747">
            <v>32.47</v>
          </cell>
        </row>
        <row r="748">
          <cell r="A748" t="str">
            <v>19-00747</v>
          </cell>
          <cell r="B748" t="str">
            <v>N/A</v>
          </cell>
          <cell r="C748" t="str">
            <v>D</v>
          </cell>
          <cell r="D748" t="str">
            <v>N/A</v>
          </cell>
          <cell r="E748" t="str">
            <v>S6HEDY-127 SKULLCANDY HESH LURKER BLACK W/MIC DISCONTINUED</v>
          </cell>
          <cell r="F748" t="str">
            <v>AUDIFONOS</v>
          </cell>
          <cell r="G748" t="str">
            <v>S6HEDY-127</v>
          </cell>
          <cell r="H748" t="str">
            <v>SKULLCANDY</v>
          </cell>
          <cell r="I748">
            <v>32.47</v>
          </cell>
        </row>
        <row r="749">
          <cell r="A749" t="str">
            <v>19-00748</v>
          </cell>
          <cell r="B749" t="str">
            <v>N/A</v>
          </cell>
          <cell r="C749" t="str">
            <v>D</v>
          </cell>
          <cell r="D749" t="str">
            <v>N/A</v>
          </cell>
          <cell r="E749" t="str">
            <v>S6HEDZ-116 SKULLCANDY HESH BLACK BLUE DISCONTINUED</v>
          </cell>
          <cell r="F749" t="str">
            <v>AUDIFONOS</v>
          </cell>
          <cell r="G749" t="str">
            <v>S6HEDZ-116</v>
          </cell>
          <cell r="H749" t="str">
            <v>SKULLCANDY</v>
          </cell>
          <cell r="I749">
            <v>21.62</v>
          </cell>
        </row>
        <row r="750">
          <cell r="A750" t="str">
            <v>19-00749</v>
          </cell>
          <cell r="B750" t="str">
            <v>N/A</v>
          </cell>
          <cell r="C750" t="str">
            <v>D</v>
          </cell>
          <cell r="D750" t="str">
            <v>N/A</v>
          </cell>
          <cell r="E750" t="str">
            <v>S6HEDZ-118 SKULLCANDY HESH BLACK/GREY DISCONTINUED</v>
          </cell>
          <cell r="F750" t="str">
            <v>AUDIFONOS</v>
          </cell>
          <cell r="G750" t="str">
            <v>S6HEDZ-118</v>
          </cell>
          <cell r="H750" t="str">
            <v>SKULLCANDY</v>
          </cell>
          <cell r="I750">
            <v>28.75</v>
          </cell>
        </row>
        <row r="751">
          <cell r="A751" t="str">
            <v>19-00750</v>
          </cell>
          <cell r="B751" t="str">
            <v>N/A</v>
          </cell>
          <cell r="C751" t="str">
            <v>D</v>
          </cell>
          <cell r="D751" t="str">
            <v>N/A</v>
          </cell>
          <cell r="E751" t="str">
            <v>S2INCZ-049 SKULLCANDY INKD PAUL FRANK BLACK DISCONTINUED</v>
          </cell>
          <cell r="F751" t="str">
            <v>AUDIFONOS</v>
          </cell>
          <cell r="G751" t="str">
            <v>S2INCZ-049</v>
          </cell>
          <cell r="H751" t="str">
            <v>SKULLCANDY</v>
          </cell>
          <cell r="I751">
            <v>12.65</v>
          </cell>
        </row>
        <row r="752">
          <cell r="A752" t="str">
            <v>19-00751</v>
          </cell>
          <cell r="B752" t="str">
            <v>N/A</v>
          </cell>
          <cell r="C752" t="str">
            <v>D</v>
          </cell>
          <cell r="D752" t="str">
            <v>N/A</v>
          </cell>
          <cell r="E752" t="str">
            <v>S5URDZ-037 SKULLCANDY UPROCK GREEN/BLACK DISCONTINUED</v>
          </cell>
          <cell r="F752" t="str">
            <v>AUDIFONOS</v>
          </cell>
          <cell r="G752" t="str">
            <v>S5URDZ-037</v>
          </cell>
          <cell r="H752" t="str">
            <v>SKULLCANDY</v>
          </cell>
          <cell r="I752">
            <v>0</v>
          </cell>
        </row>
        <row r="753">
          <cell r="A753" t="str">
            <v>19-00752</v>
          </cell>
          <cell r="B753" t="str">
            <v>N/A</v>
          </cell>
          <cell r="C753" t="str">
            <v>D</v>
          </cell>
          <cell r="D753" t="str">
            <v>N/A</v>
          </cell>
          <cell r="E753" t="str">
            <v>S5URDZ-083 SKULLCANDY UPROCK YELLOW DISCONTINUED</v>
          </cell>
          <cell r="F753" t="str">
            <v>AUDIFONOS</v>
          </cell>
          <cell r="G753" t="str">
            <v>S5URDZ-083</v>
          </cell>
          <cell r="H753" t="str">
            <v>SKULLCANDY</v>
          </cell>
          <cell r="I753">
            <v>13.95</v>
          </cell>
        </row>
        <row r="754">
          <cell r="A754" t="str">
            <v>19-00753</v>
          </cell>
          <cell r="B754" t="str">
            <v>N/A</v>
          </cell>
          <cell r="C754" t="str">
            <v>D</v>
          </cell>
          <cell r="D754" t="str">
            <v>N/A</v>
          </cell>
          <cell r="E754" t="str">
            <v>S5URCZ-033 SKULLCANDY UPROCK BLACK DISCONTINUED</v>
          </cell>
          <cell r="F754" t="str">
            <v>AUDIFONOS</v>
          </cell>
          <cell r="G754" t="str">
            <v>S5URCZ-033</v>
          </cell>
          <cell r="H754" t="str">
            <v>SKULLCANDY</v>
          </cell>
          <cell r="I754">
            <v>17.25</v>
          </cell>
        </row>
        <row r="755">
          <cell r="A755" t="str">
            <v>19-00754</v>
          </cell>
          <cell r="B755" t="str">
            <v>N/A</v>
          </cell>
          <cell r="C755" t="str">
            <v>D</v>
          </cell>
          <cell r="D755" t="str">
            <v>N/A</v>
          </cell>
          <cell r="E755" t="str">
            <v>S5URCZ-101 SKULLCANDY UPROCK BLUE/BLACK DISCONTINUED</v>
          </cell>
          <cell r="F755" t="str">
            <v>AUDIFONOS</v>
          </cell>
          <cell r="G755" t="str">
            <v>S5URCZ-101</v>
          </cell>
          <cell r="H755" t="str">
            <v>SKULLCANDY</v>
          </cell>
          <cell r="I755">
            <v>17.25</v>
          </cell>
        </row>
        <row r="756">
          <cell r="A756" t="str">
            <v>19-00755</v>
          </cell>
          <cell r="B756" t="str">
            <v>N/A</v>
          </cell>
          <cell r="C756" t="str">
            <v>D</v>
          </cell>
          <cell r="D756" t="str">
            <v>N/A</v>
          </cell>
          <cell r="E756" t="str">
            <v>S2INCB-008 SKULLCANDY INKD  BLACK CHROMEW/ MIC DISCONTINUED</v>
          </cell>
          <cell r="F756" t="str">
            <v>AUDIFONOS</v>
          </cell>
          <cell r="G756" t="str">
            <v>S2INCB-008</v>
          </cell>
          <cell r="H756" t="str">
            <v>SKULLCANDY</v>
          </cell>
          <cell r="I756">
            <v>12.65</v>
          </cell>
        </row>
        <row r="757">
          <cell r="A757" t="str">
            <v>19-00756</v>
          </cell>
          <cell r="B757" t="str">
            <v>FOSTER</v>
          </cell>
          <cell r="C757" t="str">
            <v>D</v>
          </cell>
          <cell r="D757" t="str">
            <v>N/A</v>
          </cell>
          <cell r="E757" t="str">
            <v>15605 FOSTER PELUCHE  DONALD DISCONTINUED</v>
          </cell>
          <cell r="F757" t="str">
            <v>PLUSH</v>
          </cell>
          <cell r="G757">
            <v>15605</v>
          </cell>
          <cell r="H757" t="str">
            <v>FOSTER</v>
          </cell>
          <cell r="I757">
            <v>4</v>
          </cell>
        </row>
        <row r="758">
          <cell r="A758" t="str">
            <v>19-00757</v>
          </cell>
          <cell r="B758" t="str">
            <v>FOSTER</v>
          </cell>
          <cell r="C758" t="str">
            <v>D</v>
          </cell>
          <cell r="D758" t="str">
            <v>N/A</v>
          </cell>
          <cell r="E758" t="str">
            <v>15606 FOSTER PELUCHE DAISY DISCONTINUED</v>
          </cell>
          <cell r="F758" t="str">
            <v>PLUSH</v>
          </cell>
          <cell r="G758">
            <v>15606</v>
          </cell>
          <cell r="H758" t="str">
            <v>FOSTER</v>
          </cell>
          <cell r="I758">
            <v>4</v>
          </cell>
        </row>
        <row r="759">
          <cell r="A759" t="str">
            <v>19-00758</v>
          </cell>
          <cell r="B759" t="str">
            <v>DIST. LEWIS</v>
          </cell>
          <cell r="C759" t="str">
            <v>D</v>
          </cell>
          <cell r="D759" t="str">
            <v>N/A</v>
          </cell>
          <cell r="E759" t="str">
            <v>ART NEXUS (Colombia) DISCONTINUED</v>
          </cell>
          <cell r="F759" t="str">
            <v>MAGAZINE</v>
          </cell>
          <cell r="G759" t="str">
            <v>ARTNEXUS</v>
          </cell>
          <cell r="H759" t="str">
            <v>DIST. LEWIS</v>
          </cell>
          <cell r="I759">
            <v>14</v>
          </cell>
        </row>
        <row r="760">
          <cell r="A760" t="str">
            <v>19-00759</v>
          </cell>
          <cell r="B760" t="str">
            <v>DIST. LEWIS</v>
          </cell>
          <cell r="C760" t="str">
            <v>D</v>
          </cell>
          <cell r="D760" t="str">
            <v>N/A</v>
          </cell>
          <cell r="E760" t="str">
            <v>CINCUENTA Y MAS DISCONTINUED</v>
          </cell>
          <cell r="F760" t="str">
            <v>MAGAZINE</v>
          </cell>
          <cell r="G760">
            <v>176229</v>
          </cell>
          <cell r="H760" t="str">
            <v>DIST. LEWIS</v>
          </cell>
          <cell r="I760">
            <v>2.36</v>
          </cell>
        </row>
        <row r="761">
          <cell r="A761" t="str">
            <v>19-00760</v>
          </cell>
          <cell r="B761" t="str">
            <v>DIST. LEWIS</v>
          </cell>
          <cell r="C761" t="str">
            <v>A</v>
          </cell>
          <cell r="D761" t="str">
            <v>SI</v>
          </cell>
          <cell r="E761" t="str">
            <v>EXCELENCIAS GOURMET (EspaNa/Cuba)</v>
          </cell>
          <cell r="F761" t="str">
            <v>MAGAZINE</v>
          </cell>
          <cell r="G761">
            <v>187003</v>
          </cell>
          <cell r="H761" t="str">
            <v>DIST. LEWIS</v>
          </cell>
          <cell r="I761">
            <v>19.600000000000001</v>
          </cell>
        </row>
        <row r="762">
          <cell r="A762" t="str">
            <v>19-00761</v>
          </cell>
          <cell r="B762" t="str">
            <v>DIST. LEWIS</v>
          </cell>
          <cell r="C762" t="str">
            <v>A</v>
          </cell>
          <cell r="D762" t="str">
            <v>SI</v>
          </cell>
          <cell r="E762" t="str">
            <v>EXCELENCIAS TURISTICAS DEL CARIBE &amp; LAS AMERICAS (EspaNa/Cuba)</v>
          </cell>
          <cell r="F762" t="str">
            <v>MAGAZINE</v>
          </cell>
          <cell r="G762">
            <v>184002</v>
          </cell>
          <cell r="H762" t="str">
            <v>DIST. LEWIS</v>
          </cell>
          <cell r="I762">
            <v>4.76</v>
          </cell>
        </row>
        <row r="763">
          <cell r="A763" t="str">
            <v>19-00762</v>
          </cell>
          <cell r="B763" t="str">
            <v>DIST. LEWIS</v>
          </cell>
          <cell r="C763" t="str">
            <v>D</v>
          </cell>
          <cell r="D763" t="str">
            <v>N/A</v>
          </cell>
          <cell r="E763" t="str">
            <v>7 MARES DISCONTINUED</v>
          </cell>
          <cell r="F763" t="str">
            <v>MAGAZINE</v>
          </cell>
          <cell r="G763">
            <v>221006</v>
          </cell>
          <cell r="H763" t="str">
            <v>DIST. LEWIS</v>
          </cell>
          <cell r="I763">
            <v>2.4</v>
          </cell>
        </row>
        <row r="764">
          <cell r="A764" t="str">
            <v>19-00763</v>
          </cell>
          <cell r="B764" t="str">
            <v>DIST. LEWIS</v>
          </cell>
          <cell r="C764" t="str">
            <v>A</v>
          </cell>
          <cell r="D764" t="str">
            <v>SI</v>
          </cell>
          <cell r="E764" t="str">
            <v>PEOPLE EN ESPANOL</v>
          </cell>
          <cell r="F764" t="str">
            <v>MAGAZINE</v>
          </cell>
          <cell r="G764">
            <v>10229</v>
          </cell>
          <cell r="H764" t="str">
            <v>DIST. LEWIS</v>
          </cell>
          <cell r="I764">
            <v>3.16</v>
          </cell>
        </row>
        <row r="765">
          <cell r="A765" t="str">
            <v>19-00764</v>
          </cell>
          <cell r="B765" t="str">
            <v>DIST. LEWIS</v>
          </cell>
          <cell r="C765" t="str">
            <v>D</v>
          </cell>
          <cell r="D765" t="str">
            <v>N/A</v>
          </cell>
          <cell r="E765" t="str">
            <v>CAR &amp; DRIVER DISCONTINUED</v>
          </cell>
          <cell r="F765" t="str">
            <v>MAGAZINE</v>
          </cell>
          <cell r="G765">
            <v>3915</v>
          </cell>
          <cell r="H765" t="str">
            <v>DIST. LEWIS</v>
          </cell>
          <cell r="I765">
            <v>4.4000000000000004</v>
          </cell>
        </row>
        <row r="766">
          <cell r="A766" t="str">
            <v>19-00765</v>
          </cell>
          <cell r="B766" t="str">
            <v>DIST. LEWIS</v>
          </cell>
          <cell r="C766" t="str">
            <v>A</v>
          </cell>
          <cell r="D766" t="str">
            <v>SI</v>
          </cell>
          <cell r="E766" t="str">
            <v>COOK'S ILLUSTRATED - BIMENSUAL</v>
          </cell>
          <cell r="F766" t="str">
            <v>MAGAZINE</v>
          </cell>
          <cell r="G766">
            <v>2744</v>
          </cell>
          <cell r="H766" t="str">
            <v>DIST. LEWIS</v>
          </cell>
          <cell r="I766">
            <v>8.8000000000000007</v>
          </cell>
        </row>
        <row r="767">
          <cell r="A767" t="str">
            <v>19-00766</v>
          </cell>
          <cell r="B767" t="str">
            <v>DIST. LEWIS</v>
          </cell>
          <cell r="C767" t="str">
            <v>D</v>
          </cell>
          <cell r="D767" t="str">
            <v>N/A</v>
          </cell>
          <cell r="E767" t="str">
            <v>CRUISING WORLD DISCONTINUED</v>
          </cell>
          <cell r="F767" t="str">
            <v>MAGAZINE</v>
          </cell>
          <cell r="G767">
            <v>8556</v>
          </cell>
          <cell r="H767" t="str">
            <v>DIST. LEWIS</v>
          </cell>
          <cell r="I767">
            <v>4.4000000000000004</v>
          </cell>
        </row>
        <row r="768">
          <cell r="A768" t="str">
            <v>19-00767</v>
          </cell>
          <cell r="B768" t="str">
            <v>DIST. LEWIS</v>
          </cell>
          <cell r="C768" t="str">
            <v>A</v>
          </cell>
          <cell r="D768" t="str">
            <v>SI</v>
          </cell>
          <cell r="E768" t="str">
            <v>SPORT FISHING</v>
          </cell>
          <cell r="F768" t="str">
            <v>MAGAZINE</v>
          </cell>
          <cell r="G768">
            <v>71270</v>
          </cell>
          <cell r="H768" t="str">
            <v>DIST. LEWIS</v>
          </cell>
          <cell r="I768">
            <v>5.56</v>
          </cell>
        </row>
        <row r="769">
          <cell r="A769" t="str">
            <v>19-00768</v>
          </cell>
          <cell r="B769" t="str">
            <v>DIST. LEWIS</v>
          </cell>
          <cell r="C769" t="str">
            <v>A</v>
          </cell>
          <cell r="D769" t="str">
            <v>SI</v>
          </cell>
          <cell r="E769" t="str">
            <v>YACHTING</v>
          </cell>
          <cell r="F769" t="str">
            <v>MAGAZINE</v>
          </cell>
          <cell r="G769">
            <v>8857</v>
          </cell>
          <cell r="H769" t="str">
            <v>DIST. LEWIS</v>
          </cell>
          <cell r="I769">
            <v>25.44</v>
          </cell>
        </row>
        <row r="770">
          <cell r="A770" t="str">
            <v>19-00769</v>
          </cell>
          <cell r="B770" t="str">
            <v>DIST. LEWIS</v>
          </cell>
          <cell r="C770" t="str">
            <v>D</v>
          </cell>
          <cell r="D770" t="str">
            <v>N/A</v>
          </cell>
          <cell r="E770" t="str">
            <v>SELECTA MAGAZINE DISCONTINUED</v>
          </cell>
          <cell r="F770" t="str">
            <v>MAGAZINE</v>
          </cell>
          <cell r="G770">
            <v>962919</v>
          </cell>
          <cell r="H770" t="str">
            <v>DIST. LEWIS</v>
          </cell>
          <cell r="I770">
            <v>4.72</v>
          </cell>
        </row>
        <row r="771">
          <cell r="A771" t="str">
            <v>19-00770</v>
          </cell>
          <cell r="B771" t="str">
            <v>DIST. LEWIS</v>
          </cell>
          <cell r="C771" t="str">
            <v>D</v>
          </cell>
          <cell r="D771" t="str">
            <v>N/A</v>
          </cell>
          <cell r="E771" t="str">
            <v>4W MAGAZINE DISCONTINUED</v>
          </cell>
          <cell r="F771" t="str">
            <v>MAGAZINE</v>
          </cell>
          <cell r="G771">
            <v>665013</v>
          </cell>
          <cell r="H771" t="str">
            <v>DIST. LEWIS</v>
          </cell>
          <cell r="I771">
            <v>2.36</v>
          </cell>
        </row>
        <row r="772">
          <cell r="A772" t="str">
            <v>19-00771</v>
          </cell>
          <cell r="B772" t="str">
            <v>DIST. LEWIS</v>
          </cell>
          <cell r="C772" t="str">
            <v>D</v>
          </cell>
          <cell r="D772" t="str">
            <v>N/A</v>
          </cell>
          <cell r="E772" t="str">
            <v>FACES / BREAKING DAWN DISCONTINUED</v>
          </cell>
          <cell r="F772" t="str">
            <v>MAGAZINE</v>
          </cell>
          <cell r="G772">
            <v>1579</v>
          </cell>
          <cell r="H772" t="str">
            <v>DIST. LEWIS</v>
          </cell>
          <cell r="I772">
            <v>5.56</v>
          </cell>
        </row>
        <row r="773">
          <cell r="A773" t="str">
            <v>19-00772</v>
          </cell>
          <cell r="B773" t="str">
            <v>DIST. LEWIS</v>
          </cell>
          <cell r="C773" t="str">
            <v>A</v>
          </cell>
          <cell r="D773" t="str">
            <v>SI</v>
          </cell>
          <cell r="E773" t="str">
            <v>GOLF DIGEST</v>
          </cell>
          <cell r="F773" t="str">
            <v>MAGAZINE</v>
          </cell>
          <cell r="G773">
            <v>8346</v>
          </cell>
          <cell r="H773" t="str">
            <v>DIST. LEWIS</v>
          </cell>
          <cell r="I773">
            <v>5.56</v>
          </cell>
        </row>
        <row r="774">
          <cell r="A774" t="str">
            <v>19-00773</v>
          </cell>
          <cell r="B774" t="str">
            <v>DIST. LEWIS</v>
          </cell>
          <cell r="C774" t="str">
            <v>D</v>
          </cell>
          <cell r="D774" t="str">
            <v>N/A</v>
          </cell>
          <cell r="E774" t="str">
            <v>HEAVY METAL DISCONTINUED</v>
          </cell>
          <cell r="F774" t="str">
            <v>MAGAZINE</v>
          </cell>
          <cell r="G774">
            <v>36587</v>
          </cell>
          <cell r="H774" t="str">
            <v>DIST. LEWIS</v>
          </cell>
          <cell r="I774">
            <v>6.36</v>
          </cell>
        </row>
        <row r="775">
          <cell r="A775" t="str">
            <v>19-00774</v>
          </cell>
          <cell r="B775" t="str">
            <v>DIST. LEWIS</v>
          </cell>
          <cell r="C775" t="str">
            <v>A</v>
          </cell>
          <cell r="D775" t="str">
            <v>SI</v>
          </cell>
          <cell r="E775" t="str">
            <v>MEN'S HEALTH</v>
          </cell>
          <cell r="F775" t="str">
            <v>MAGAZINE</v>
          </cell>
          <cell r="G775">
            <v>39989</v>
          </cell>
          <cell r="H775" t="str">
            <v>DIST. LEWIS</v>
          </cell>
          <cell r="I775">
            <v>4.4000000000000004</v>
          </cell>
        </row>
        <row r="776">
          <cell r="A776" t="str">
            <v>19-00775</v>
          </cell>
          <cell r="B776" t="str">
            <v>DIST. LEWIS</v>
          </cell>
          <cell r="C776" t="str">
            <v>D</v>
          </cell>
          <cell r="D776" t="str">
            <v>N/A</v>
          </cell>
          <cell r="E776" t="str">
            <v>MODIFIED MAGAZINE DISCONTINUED</v>
          </cell>
          <cell r="F776" t="str">
            <v>MAGAZINE</v>
          </cell>
          <cell r="G776">
            <v>2670</v>
          </cell>
          <cell r="H776" t="str">
            <v>DIST. LEWIS</v>
          </cell>
          <cell r="I776">
            <v>5.56</v>
          </cell>
        </row>
        <row r="777">
          <cell r="A777" t="str">
            <v>19-00776</v>
          </cell>
          <cell r="B777" t="str">
            <v>DIST. LEWIS</v>
          </cell>
          <cell r="C777" t="str">
            <v>D</v>
          </cell>
          <cell r="D777" t="str">
            <v>N/A</v>
          </cell>
          <cell r="E777" t="str">
            <v>POP STAR! DISCONTINUED</v>
          </cell>
          <cell r="F777" t="str">
            <v>MAGAZINE</v>
          </cell>
          <cell r="G777">
            <v>50346</v>
          </cell>
          <cell r="H777" t="str">
            <v>DIST. LEWIS</v>
          </cell>
          <cell r="I777">
            <v>3.6</v>
          </cell>
        </row>
        <row r="778">
          <cell r="A778" t="str">
            <v>19-00777</v>
          </cell>
          <cell r="B778" t="str">
            <v>DIST. LEWIS</v>
          </cell>
          <cell r="C778" t="str">
            <v>A</v>
          </cell>
          <cell r="D778" t="str">
            <v>SI</v>
          </cell>
          <cell r="E778" t="str">
            <v>THE ARTIST'S MAGAZINE</v>
          </cell>
          <cell r="F778" t="str">
            <v>MAGAZINE</v>
          </cell>
          <cell r="G778">
            <v>2306</v>
          </cell>
          <cell r="H778" t="str">
            <v>DIST. LEWIS</v>
          </cell>
          <cell r="I778">
            <v>7.16</v>
          </cell>
        </row>
        <row r="779">
          <cell r="A779" t="str">
            <v>19-00778</v>
          </cell>
          <cell r="B779" t="str">
            <v>DIST. LEWIS</v>
          </cell>
          <cell r="C779" t="str">
            <v>D</v>
          </cell>
          <cell r="D779" t="str">
            <v>N/A</v>
          </cell>
          <cell r="E779" t="str">
            <v>WOMEN'S HEALTH DISCONTINUED</v>
          </cell>
          <cell r="F779" t="str">
            <v>MAGAZINE</v>
          </cell>
          <cell r="G779">
            <v>1251</v>
          </cell>
          <cell r="H779" t="str">
            <v>DIST. LEWIS</v>
          </cell>
          <cell r="I779">
            <v>4.4000000000000004</v>
          </cell>
        </row>
        <row r="780">
          <cell r="A780" t="str">
            <v>19-00779</v>
          </cell>
          <cell r="B780" t="str">
            <v>DIST. LEWIS</v>
          </cell>
          <cell r="C780" t="str">
            <v>A</v>
          </cell>
          <cell r="D780" t="str">
            <v>SI</v>
          </cell>
          <cell r="E780" t="str">
            <v>YOGA JOURNAL</v>
          </cell>
          <cell r="F780" t="str">
            <v>MAGAZINE</v>
          </cell>
          <cell r="G780">
            <v>39201</v>
          </cell>
          <cell r="H780" t="str">
            <v>DIST. LEWIS</v>
          </cell>
          <cell r="I780">
            <v>5.56</v>
          </cell>
        </row>
        <row r="781">
          <cell r="A781" t="str">
            <v>19-00780</v>
          </cell>
          <cell r="B781" t="str">
            <v>DIST. LEWIS</v>
          </cell>
          <cell r="C781" t="str">
            <v>D</v>
          </cell>
          <cell r="D781" t="str">
            <v>N/A</v>
          </cell>
          <cell r="E781" t="str">
            <v>15 A 20 DISCONTINUED</v>
          </cell>
          <cell r="F781" t="str">
            <v>MAGAZINE</v>
          </cell>
          <cell r="G781">
            <v>228030</v>
          </cell>
          <cell r="H781" t="str">
            <v>DIST. LEWIS</v>
          </cell>
          <cell r="I781">
            <v>2.36</v>
          </cell>
        </row>
        <row r="782">
          <cell r="A782" t="str">
            <v>19-00781</v>
          </cell>
          <cell r="B782" t="str">
            <v>DIST. LEWIS</v>
          </cell>
          <cell r="C782" t="str">
            <v>D</v>
          </cell>
          <cell r="D782" t="str">
            <v>N/A</v>
          </cell>
          <cell r="E782" t="str">
            <v>CUATRO RUEDAS DISCONTINUED</v>
          </cell>
          <cell r="F782" t="str">
            <v>MAGAZINE</v>
          </cell>
          <cell r="G782">
            <v>229020</v>
          </cell>
          <cell r="H782" t="str">
            <v>DIST. LEWIS</v>
          </cell>
          <cell r="I782">
            <v>3.2</v>
          </cell>
        </row>
        <row r="783">
          <cell r="A783" t="str">
            <v>19-00782</v>
          </cell>
          <cell r="B783" t="str">
            <v>DIST. LEWIS</v>
          </cell>
          <cell r="C783" t="str">
            <v>D</v>
          </cell>
          <cell r="D783" t="str">
            <v>N/A</v>
          </cell>
          <cell r="E783" t="str">
            <v>VEINTITANTOS DISCONTINUED</v>
          </cell>
          <cell r="F783" t="str">
            <v>MAGAZINE</v>
          </cell>
          <cell r="G783">
            <v>23102</v>
          </cell>
          <cell r="H783" t="str">
            <v>DIST. LEWIS</v>
          </cell>
          <cell r="I783">
            <v>2.8</v>
          </cell>
        </row>
        <row r="784">
          <cell r="A784" t="str">
            <v>19-00783</v>
          </cell>
          <cell r="B784" t="str">
            <v>DIST. LEWIS</v>
          </cell>
          <cell r="C784" t="str">
            <v>D</v>
          </cell>
          <cell r="D784" t="str">
            <v>N/A</v>
          </cell>
          <cell r="E784" t="str">
            <v>H PARA HOMBRES DISCONTINUED</v>
          </cell>
          <cell r="F784" t="str">
            <v>MAGAZINE</v>
          </cell>
          <cell r="G784">
            <v>227057</v>
          </cell>
          <cell r="H784" t="str">
            <v>DIST. LEWIS</v>
          </cell>
          <cell r="I784">
            <v>3.2</v>
          </cell>
        </row>
        <row r="785">
          <cell r="A785" t="str">
            <v>19-00784</v>
          </cell>
          <cell r="B785" t="str">
            <v>DIST. LEWIS</v>
          </cell>
          <cell r="C785" t="str">
            <v>D</v>
          </cell>
          <cell r="D785" t="str">
            <v>N/A</v>
          </cell>
          <cell r="E785" t="str">
            <v>H PARA HOMBRES EXTREMOS DISCONTINUED</v>
          </cell>
          <cell r="F785" t="str">
            <v>MAGAZINE</v>
          </cell>
          <cell r="G785">
            <v>233027</v>
          </cell>
          <cell r="H785" t="str">
            <v>DIST. LEWIS</v>
          </cell>
          <cell r="I785">
            <v>5.56</v>
          </cell>
        </row>
        <row r="786">
          <cell r="A786" t="str">
            <v>19-00785</v>
          </cell>
          <cell r="B786" t="str">
            <v>DIST. LEWIS</v>
          </cell>
          <cell r="C786" t="str">
            <v>D</v>
          </cell>
          <cell r="D786" t="str">
            <v>N/A</v>
          </cell>
          <cell r="E786" t="str">
            <v>NOTA PARA TI DISCONTINUED</v>
          </cell>
          <cell r="F786" t="str">
            <v>MAGAZINE</v>
          </cell>
          <cell r="G786">
            <v>222014</v>
          </cell>
          <cell r="H786" t="str">
            <v>DIST. LEWIS</v>
          </cell>
          <cell r="I786">
            <v>2</v>
          </cell>
        </row>
        <row r="787">
          <cell r="A787" t="str">
            <v>19-00786</v>
          </cell>
          <cell r="B787" t="str">
            <v>DIST. LEWIS</v>
          </cell>
          <cell r="C787" t="str">
            <v>D</v>
          </cell>
          <cell r="D787" t="str">
            <v>N/A</v>
          </cell>
          <cell r="E787" t="str">
            <v>NUEVA ¡DE BOCA EN BOCA! DISCONTINUED</v>
          </cell>
          <cell r="F787" t="str">
            <v>MAGAZINE</v>
          </cell>
          <cell r="G787">
            <v>23004</v>
          </cell>
          <cell r="H787" t="str">
            <v>DIST. LEWIS</v>
          </cell>
          <cell r="I787">
            <v>2.36</v>
          </cell>
        </row>
        <row r="788">
          <cell r="A788" t="str">
            <v>19-00787</v>
          </cell>
          <cell r="B788" t="str">
            <v>DIST. LEWIS</v>
          </cell>
          <cell r="C788" t="str">
            <v>A</v>
          </cell>
          <cell r="D788" t="str">
            <v>SI</v>
          </cell>
          <cell r="E788" t="str">
            <v>TIGER BEAT/BOP MAGAZINE</v>
          </cell>
          <cell r="F788" t="str">
            <v>MAGAZINE</v>
          </cell>
          <cell r="G788">
            <v>47364</v>
          </cell>
          <cell r="H788" t="str">
            <v>DIST. LEWIS</v>
          </cell>
          <cell r="I788">
            <v>4.4000000000000004</v>
          </cell>
        </row>
        <row r="789">
          <cell r="A789" t="str">
            <v>19-00788</v>
          </cell>
          <cell r="B789" t="str">
            <v>DIST. LEWIS</v>
          </cell>
          <cell r="C789" t="str">
            <v>A</v>
          </cell>
          <cell r="D789" t="str">
            <v>SI</v>
          </cell>
          <cell r="E789" t="str">
            <v>FITNESS RX</v>
          </cell>
          <cell r="F789" t="str">
            <v>MAGAZINE</v>
          </cell>
          <cell r="G789">
            <v>3419</v>
          </cell>
          <cell r="H789" t="str">
            <v>DIST. LEWIS</v>
          </cell>
          <cell r="I789">
            <v>5.56</v>
          </cell>
        </row>
        <row r="790">
          <cell r="A790" t="str">
            <v>19-00789</v>
          </cell>
          <cell r="B790" t="str">
            <v>DIST. LEWIS</v>
          </cell>
          <cell r="C790" t="str">
            <v>D</v>
          </cell>
          <cell r="D790" t="str">
            <v>N/A</v>
          </cell>
          <cell r="E790" t="str">
            <v>GQ GENTLEMAN QUARTERLY DISCONTINUED</v>
          </cell>
          <cell r="F790" t="str">
            <v>MAGAZINE</v>
          </cell>
          <cell r="G790">
            <v>8436</v>
          </cell>
          <cell r="H790" t="str">
            <v>DIST. LEWIS</v>
          </cell>
          <cell r="I790">
            <v>6.36</v>
          </cell>
        </row>
        <row r="791">
          <cell r="A791" t="str">
            <v>19-00790</v>
          </cell>
          <cell r="B791" t="str">
            <v>DIST. LEWIS</v>
          </cell>
          <cell r="C791" t="str">
            <v>D</v>
          </cell>
          <cell r="D791" t="str">
            <v>N/A</v>
          </cell>
          <cell r="E791" t="str">
            <v>LADIES HOME JOURNAL DISCONTINUED</v>
          </cell>
          <cell r="F791" t="str">
            <v>MAGAZINE</v>
          </cell>
          <cell r="G791">
            <v>14150</v>
          </cell>
          <cell r="H791" t="str">
            <v>DIST. LEWIS</v>
          </cell>
          <cell r="I791">
            <v>7.08</v>
          </cell>
        </row>
        <row r="792">
          <cell r="A792" t="str">
            <v>19-00791</v>
          </cell>
          <cell r="B792" t="str">
            <v>DIST. LEWIS</v>
          </cell>
          <cell r="C792" t="str">
            <v>D</v>
          </cell>
          <cell r="D792" t="str">
            <v>N/A</v>
          </cell>
          <cell r="E792" t="str">
            <v>MEN'S FITNESS DISCONTINUED</v>
          </cell>
          <cell r="F792" t="str">
            <v>MAGAZINE</v>
          </cell>
          <cell r="G792">
            <v>51083</v>
          </cell>
          <cell r="H792" t="str">
            <v>DIST. LEWIS</v>
          </cell>
          <cell r="I792">
            <v>4.4000000000000004</v>
          </cell>
        </row>
        <row r="793">
          <cell r="A793" t="str">
            <v>19-00792</v>
          </cell>
          <cell r="B793" t="str">
            <v>DIST. LEWIS</v>
          </cell>
          <cell r="C793" t="str">
            <v>D</v>
          </cell>
          <cell r="D793" t="str">
            <v>N/A</v>
          </cell>
          <cell r="E793" t="str">
            <v>MEN'S JOURNAL DISCONTINUED</v>
          </cell>
          <cell r="F793" t="str">
            <v>MAGAZINE</v>
          </cell>
          <cell r="G793">
            <v>34191</v>
          </cell>
          <cell r="H793" t="str">
            <v>DIST. LEWIS</v>
          </cell>
          <cell r="I793">
            <v>5.56</v>
          </cell>
        </row>
        <row r="794">
          <cell r="A794" t="str">
            <v>19-00793</v>
          </cell>
          <cell r="B794" t="str">
            <v>DIST. LEWIS</v>
          </cell>
          <cell r="C794" t="str">
            <v>D</v>
          </cell>
          <cell r="D794" t="str">
            <v>N/A</v>
          </cell>
          <cell r="E794" t="str">
            <v>6 HABITOS D/L JEFES AL  KOHN,STEPHEN DISCONTINUED</v>
          </cell>
          <cell r="F794" t="str">
            <v>LIBRO</v>
          </cell>
          <cell r="G794">
            <v>520505184</v>
          </cell>
          <cell r="H794" t="str">
            <v>DIST. LEWIS</v>
          </cell>
          <cell r="I794">
            <v>12.57</v>
          </cell>
        </row>
        <row r="795">
          <cell r="A795" t="str">
            <v>19-00794</v>
          </cell>
          <cell r="B795" t="str">
            <v>DIST. LEWIS</v>
          </cell>
          <cell r="C795" t="str">
            <v>D</v>
          </cell>
          <cell r="D795" t="str">
            <v>N/A</v>
          </cell>
          <cell r="E795" t="str">
            <v>PAULA (BOLSILLO) ALLENDE,ISABEL DISCONTINUED</v>
          </cell>
          <cell r="F795" t="str">
            <v>LIBRO</v>
          </cell>
          <cell r="G795">
            <v>520511399</v>
          </cell>
          <cell r="H795" t="str">
            <v>DIST. LEWIS</v>
          </cell>
          <cell r="I795">
            <v>9.6300000000000008</v>
          </cell>
        </row>
        <row r="796">
          <cell r="A796" t="str">
            <v>19-00795</v>
          </cell>
          <cell r="B796" t="str">
            <v>DIST. LEWIS</v>
          </cell>
          <cell r="C796" t="str">
            <v>D</v>
          </cell>
          <cell r="D796" t="str">
            <v>N/A</v>
          </cell>
          <cell r="E796" t="str">
            <v>PERDONA PERO QUIERO CASARME CONTIGO  MOC CIA FEDE DISCONTINUED</v>
          </cell>
          <cell r="F796" t="str">
            <v>LIBRO</v>
          </cell>
          <cell r="G796">
            <v>520506262</v>
          </cell>
          <cell r="H796" t="str">
            <v>DIST. LEWIS</v>
          </cell>
          <cell r="I796">
            <v>18.87</v>
          </cell>
        </row>
        <row r="797">
          <cell r="A797" t="str">
            <v>19-00796</v>
          </cell>
          <cell r="B797" t="str">
            <v>DIST. LEWIS</v>
          </cell>
          <cell r="C797" t="str">
            <v>A</v>
          </cell>
          <cell r="D797" t="str">
            <v>NO</v>
          </cell>
          <cell r="E797" t="str">
            <v>CABRONA Y MILLONARIA CHELMINSKY,ADINA</v>
          </cell>
          <cell r="F797" t="str">
            <v>LIBRO</v>
          </cell>
          <cell r="G797">
            <v>520505212</v>
          </cell>
          <cell r="H797" t="str">
            <v>DIST. LEWIS</v>
          </cell>
          <cell r="I797">
            <v>11.483000000000001</v>
          </cell>
        </row>
        <row r="798">
          <cell r="A798" t="str">
            <v>19-00797</v>
          </cell>
          <cell r="B798" t="str">
            <v>DIST. LEWIS</v>
          </cell>
          <cell r="C798" t="str">
            <v>D</v>
          </cell>
          <cell r="D798" t="str">
            <v>N/A</v>
          </cell>
          <cell r="E798" t="str">
            <v>CASA DE LOS ESPIRITUS ALLENDE,ISABEL DISCONTINUED</v>
          </cell>
          <cell r="F798" t="str">
            <v>LIBRO</v>
          </cell>
          <cell r="G798">
            <v>520511343</v>
          </cell>
          <cell r="H798" t="str">
            <v>DIST. LEWIS</v>
          </cell>
          <cell r="I798">
            <v>11.17</v>
          </cell>
        </row>
        <row r="799">
          <cell r="A799" t="str">
            <v>19-00798</v>
          </cell>
          <cell r="B799" t="str">
            <v>DIST. LEWIS</v>
          </cell>
          <cell r="C799" t="str">
            <v>A</v>
          </cell>
          <cell r="D799" t="str">
            <v>NO</v>
          </cell>
          <cell r="E799" t="str">
            <v>CHICA QUE SONABA CON CERILLO Y - LARSSON,STIEG</v>
          </cell>
          <cell r="F799" t="str">
            <v>LIBRO</v>
          </cell>
          <cell r="G799">
            <v>520507597</v>
          </cell>
          <cell r="H799" t="str">
            <v>DIST. LEWIS</v>
          </cell>
          <cell r="I799">
            <v>15.56</v>
          </cell>
        </row>
        <row r="800">
          <cell r="A800" t="str">
            <v>19-00799</v>
          </cell>
          <cell r="B800" t="str">
            <v>DIST. LEWIS</v>
          </cell>
          <cell r="C800" t="str">
            <v>D</v>
          </cell>
          <cell r="D800" t="str">
            <v>N/A</v>
          </cell>
          <cell r="E800" t="str">
            <v>CORRER O MORIR DASHNER,JAMES DISCONTINUED</v>
          </cell>
          <cell r="F800" t="str">
            <v>LIBRO</v>
          </cell>
          <cell r="G800">
            <v>521001874</v>
          </cell>
          <cell r="H800" t="str">
            <v>DIST. LEWIS</v>
          </cell>
          <cell r="I800">
            <v>9.77</v>
          </cell>
        </row>
        <row r="801">
          <cell r="A801" t="str">
            <v>19-00800</v>
          </cell>
          <cell r="B801" t="str">
            <v>DIST. LEWIS</v>
          </cell>
          <cell r="C801" t="str">
            <v>D</v>
          </cell>
          <cell r="D801" t="str">
            <v>N/A</v>
          </cell>
          <cell r="E801" t="str">
            <v>DESDE EL PAIS DE NUNCA JAMAS GUILLERMOPRIETO,ALMA DISCONTINUED</v>
          </cell>
          <cell r="F801" t="str">
            <v>LIBRO</v>
          </cell>
          <cell r="G801">
            <v>520505104</v>
          </cell>
          <cell r="H801" t="str">
            <v>DIST. LEWIS</v>
          </cell>
          <cell r="I801">
            <v>21.67</v>
          </cell>
        </row>
        <row r="802">
          <cell r="A802" t="str">
            <v>19-00801</v>
          </cell>
          <cell r="B802" t="str">
            <v>DIST. LEWIS</v>
          </cell>
          <cell r="C802" t="str">
            <v>D</v>
          </cell>
          <cell r="D802" t="str">
            <v>N/A</v>
          </cell>
          <cell r="E802" t="str">
            <v>GABRIEL GARCIA MARQUEZ,UNA VIDA MARTIN GERALD DISCONTINUED</v>
          </cell>
          <cell r="F802" t="str">
            <v>LIBRO</v>
          </cell>
          <cell r="G802">
            <v>520511502</v>
          </cell>
          <cell r="H802" t="str">
            <v>DIST. LEWIS</v>
          </cell>
          <cell r="I802">
            <v>22.37</v>
          </cell>
        </row>
        <row r="803">
          <cell r="A803" t="str">
            <v>19-00802</v>
          </cell>
          <cell r="B803" t="str">
            <v>DIST. LEWIS</v>
          </cell>
          <cell r="C803" t="str">
            <v>A</v>
          </cell>
          <cell r="D803" t="str">
            <v>NO</v>
          </cell>
          <cell r="E803" t="str">
            <v>HOMBRES QUE NO AMABAN A LAS MUJERES - LARSSON, STIEG</v>
          </cell>
          <cell r="F803" t="str">
            <v>LIBRO</v>
          </cell>
          <cell r="G803">
            <v>520506380</v>
          </cell>
          <cell r="H803" t="str">
            <v>DIST. LEWIS</v>
          </cell>
          <cell r="I803">
            <v>12.923</v>
          </cell>
        </row>
        <row r="804">
          <cell r="A804" t="str">
            <v>19-00803</v>
          </cell>
          <cell r="B804" t="str">
            <v>DIST. LEWIS</v>
          </cell>
          <cell r="C804" t="str">
            <v>A</v>
          </cell>
          <cell r="D804" t="str">
            <v>NO</v>
          </cell>
          <cell r="E804" t="str">
            <v>INCREIBLE TRISTE HISTORIA DE LA CANDIDA  GARCIA MARQU</v>
          </cell>
          <cell r="F804" t="str">
            <v>LIBRO</v>
          </cell>
          <cell r="G804">
            <v>520507567</v>
          </cell>
          <cell r="H804" t="str">
            <v>DIST. LEWIS</v>
          </cell>
          <cell r="I804">
            <v>7.77</v>
          </cell>
        </row>
        <row r="805">
          <cell r="A805" t="str">
            <v>19-00804</v>
          </cell>
          <cell r="B805" t="str">
            <v>DIST. LEWIS</v>
          </cell>
          <cell r="C805" t="str">
            <v>D</v>
          </cell>
          <cell r="D805" t="str">
            <v>N/A</v>
          </cell>
          <cell r="E805" t="str">
            <v>MALDITO KARMA  SFIERD,DAVID DISCONTINUED</v>
          </cell>
          <cell r="F805" t="str">
            <v>LIBRO</v>
          </cell>
          <cell r="G805">
            <v>520506276</v>
          </cell>
          <cell r="H805" t="str">
            <v>DIST. LEWIS</v>
          </cell>
          <cell r="I805">
            <v>23.07</v>
          </cell>
        </row>
        <row r="806">
          <cell r="A806" t="str">
            <v>19-00805</v>
          </cell>
          <cell r="B806" t="str">
            <v>DIST. LEWIS</v>
          </cell>
          <cell r="C806" t="str">
            <v>A</v>
          </cell>
          <cell r="D806" t="str">
            <v>NO</v>
          </cell>
          <cell r="E806" t="str">
            <v>MANUAL DE LA PERFECTA CABRONA - HILTS,ELIZABETH</v>
          </cell>
          <cell r="F806" t="str">
            <v>LIBRO</v>
          </cell>
          <cell r="G806">
            <v>520505104</v>
          </cell>
          <cell r="H806" t="str">
            <v>DIST. LEWIS</v>
          </cell>
          <cell r="I806">
            <v>7.1639999999999997</v>
          </cell>
        </row>
        <row r="807">
          <cell r="A807" t="str">
            <v>19-00806</v>
          </cell>
          <cell r="B807" t="str">
            <v>DIST. LEWIS</v>
          </cell>
          <cell r="C807" t="str">
            <v>A</v>
          </cell>
          <cell r="D807" t="str">
            <v>NO</v>
          </cell>
          <cell r="E807" t="str">
            <v>NVA. GUIA PARA SER MAS CABRONA - HILTS,ELIZABETH</v>
          </cell>
          <cell r="F807" t="str">
            <v>LIBRO</v>
          </cell>
          <cell r="G807">
            <v>520505105</v>
          </cell>
          <cell r="H807" t="str">
            <v>DIST. LEWIS</v>
          </cell>
          <cell r="I807">
            <v>9.77</v>
          </cell>
        </row>
        <row r="808">
          <cell r="A808" t="str">
            <v>19-00807</v>
          </cell>
          <cell r="B808" t="str">
            <v>DIST. LEWIS</v>
          </cell>
          <cell r="C808" t="str">
            <v>D</v>
          </cell>
          <cell r="D808" t="str">
            <v>N/A</v>
          </cell>
          <cell r="E808" t="str">
            <v>QUINTA MONTA#A,LA COELHO,PAULO DISCONTINUED</v>
          </cell>
          <cell r="F808" t="str">
            <v>LIBRO</v>
          </cell>
          <cell r="G808">
            <v>520511453</v>
          </cell>
          <cell r="H808" t="str">
            <v>DIST. LEWIS</v>
          </cell>
          <cell r="I808">
            <v>9.77</v>
          </cell>
        </row>
        <row r="809">
          <cell r="A809" t="str">
            <v>19-00808</v>
          </cell>
          <cell r="B809" t="str">
            <v>DIST. LEWIS</v>
          </cell>
          <cell r="C809" t="str">
            <v>D</v>
          </cell>
          <cell r="D809" t="str">
            <v>N/A</v>
          </cell>
          <cell r="E809" t="str">
            <v>UN ATAQUE DE LUCIDEZ TAYLOR,JILL B DISCONTINUED</v>
          </cell>
          <cell r="F809" t="str">
            <v>LIBRO</v>
          </cell>
          <cell r="G809">
            <v>520511619</v>
          </cell>
          <cell r="H809" t="str">
            <v>DIST. LEWIS</v>
          </cell>
          <cell r="I809">
            <v>15.05</v>
          </cell>
        </row>
        <row r="810">
          <cell r="A810" t="str">
            <v>19-00809</v>
          </cell>
          <cell r="B810" t="str">
            <v>DIST. LEWIS</v>
          </cell>
          <cell r="C810" t="str">
            <v>A</v>
          </cell>
          <cell r="D810" t="str">
            <v>NO</v>
          </cell>
          <cell r="E810" t="str">
            <v>VALKIRIAS COHELO,PAULO</v>
          </cell>
          <cell r="F810" t="str">
            <v>LIBRO</v>
          </cell>
          <cell r="G810">
            <v>520511570</v>
          </cell>
          <cell r="H810" t="str">
            <v>DIST. LEWIS</v>
          </cell>
          <cell r="I810">
            <v>13.98</v>
          </cell>
        </row>
        <row r="811">
          <cell r="A811" t="str">
            <v>19-00810</v>
          </cell>
          <cell r="B811" t="str">
            <v>DIST. LEWIS</v>
          </cell>
          <cell r="C811" t="str">
            <v>A</v>
          </cell>
          <cell r="D811" t="str">
            <v>NO</v>
          </cell>
          <cell r="E811" t="str">
            <v>YO NO VENGO A DECIR UN DISCURSO MARQUEZ,GABRIEL GARCIA</v>
          </cell>
          <cell r="F811" t="str">
            <v>LIBRO</v>
          </cell>
          <cell r="G811">
            <v>520506670</v>
          </cell>
          <cell r="H811" t="str">
            <v>DIST. LEWIS</v>
          </cell>
          <cell r="I811">
            <v>9.3230000000000004</v>
          </cell>
        </row>
        <row r="812">
          <cell r="A812" t="str">
            <v>19-00811</v>
          </cell>
          <cell r="B812" t="str">
            <v>DIST. LEWIS</v>
          </cell>
          <cell r="C812" t="str">
            <v>D</v>
          </cell>
          <cell r="D812" t="str">
            <v>N/A</v>
          </cell>
          <cell r="E812" t="str">
            <v>ALEPH COELHO,PAULO DISCONTINUED</v>
          </cell>
          <cell r="F812" t="str">
            <v>LIBRO</v>
          </cell>
          <cell r="G812">
            <v>520505105</v>
          </cell>
          <cell r="H812" t="str">
            <v>DIST. LEWIS</v>
          </cell>
          <cell r="I812">
            <v>17.47</v>
          </cell>
        </row>
        <row r="813">
          <cell r="A813" t="str">
            <v>19-00812</v>
          </cell>
          <cell r="B813" t="str">
            <v>ORKHON GROUP</v>
          </cell>
          <cell r="C813" t="str">
            <v>A</v>
          </cell>
          <cell r="D813" t="str">
            <v>N/A</v>
          </cell>
          <cell r="E813" t="str">
            <v>39249/1103-290 ALTAMAR SOMBREROS</v>
          </cell>
          <cell r="F813" t="str">
            <v>SOMBREROS</v>
          </cell>
          <cell r="G813" t="str">
            <v>39249/1103-290</v>
          </cell>
          <cell r="H813" t="str">
            <v>ALTAMAR</v>
          </cell>
          <cell r="I813">
            <v>6.01</v>
          </cell>
        </row>
        <row r="814">
          <cell r="A814" t="str">
            <v>19-00813</v>
          </cell>
          <cell r="B814" t="str">
            <v>ORKHON GROUP</v>
          </cell>
          <cell r="C814" t="str">
            <v>A</v>
          </cell>
          <cell r="D814" t="str">
            <v>N/A</v>
          </cell>
          <cell r="E814" t="str">
            <v>39249/1103-292 ALTAMAR SOMBREROS</v>
          </cell>
          <cell r="F814" t="str">
            <v>SOMBREROS</v>
          </cell>
          <cell r="G814" t="str">
            <v>39249/1103-292</v>
          </cell>
          <cell r="H814" t="str">
            <v>ALTAMAR</v>
          </cell>
          <cell r="I814">
            <v>6.96</v>
          </cell>
        </row>
        <row r="815">
          <cell r="A815" t="str">
            <v>19-00814</v>
          </cell>
          <cell r="B815" t="str">
            <v>ORKHON GROUP</v>
          </cell>
          <cell r="C815" t="str">
            <v>A</v>
          </cell>
          <cell r="D815" t="str">
            <v>N/A</v>
          </cell>
          <cell r="E815" t="str">
            <v>39249/1103-299 ALTAMAR SOMBREROS</v>
          </cell>
          <cell r="F815" t="str">
            <v>SOMBREROS</v>
          </cell>
          <cell r="G815" t="str">
            <v>39249/1103-299</v>
          </cell>
          <cell r="H815" t="str">
            <v>ALTAMAR</v>
          </cell>
          <cell r="I815">
            <v>6.95</v>
          </cell>
        </row>
        <row r="816">
          <cell r="A816" t="str">
            <v>19-00815</v>
          </cell>
          <cell r="B816" t="str">
            <v>ORKHON GROUP</v>
          </cell>
          <cell r="C816" t="str">
            <v>A</v>
          </cell>
          <cell r="D816" t="str">
            <v>N/A</v>
          </cell>
          <cell r="E816" t="str">
            <v>117-SHT3062 ALTAMAR SOMBREROS</v>
          </cell>
          <cell r="F816" t="str">
            <v>SOMBREROS</v>
          </cell>
          <cell r="G816" t="str">
            <v>117-SHT3062</v>
          </cell>
          <cell r="H816" t="str">
            <v>ALTAMAR</v>
          </cell>
          <cell r="I816">
            <v>8.93</v>
          </cell>
        </row>
        <row r="817">
          <cell r="A817" t="str">
            <v>19-00816</v>
          </cell>
          <cell r="B817" t="str">
            <v>ORKHON GROUP</v>
          </cell>
          <cell r="C817" t="str">
            <v>A</v>
          </cell>
          <cell r="D817" t="str">
            <v>N/A</v>
          </cell>
          <cell r="E817" t="str">
            <v>39249/1103-303/286 ALTAMAR SOMBREROS</v>
          </cell>
          <cell r="F817" t="str">
            <v>SOMBREROS</v>
          </cell>
          <cell r="G817" t="str">
            <v>39249/1103-303/28</v>
          </cell>
          <cell r="H817" t="str">
            <v>ALTAMAR</v>
          </cell>
          <cell r="I817">
            <v>9.4</v>
          </cell>
        </row>
        <row r="818">
          <cell r="A818" t="str">
            <v>19-00817</v>
          </cell>
          <cell r="B818" t="str">
            <v>DIST. LEWIS</v>
          </cell>
          <cell r="C818" t="str">
            <v>D</v>
          </cell>
          <cell r="D818" t="str">
            <v>N/A</v>
          </cell>
          <cell r="E818" t="str">
            <v>POR QUE L/HOMBRES SE C  ARGOV,SHERRY DISCONTINUED</v>
          </cell>
          <cell r="F818" t="str">
            <v>LIBRO</v>
          </cell>
          <cell r="G818">
            <v>520505173</v>
          </cell>
          <cell r="H818" t="str">
            <v>DIST. LEWIS</v>
          </cell>
          <cell r="I818">
            <v>0</v>
          </cell>
        </row>
        <row r="819">
          <cell r="A819" t="str">
            <v>19-00818</v>
          </cell>
          <cell r="B819" t="str">
            <v>H. MANCHA</v>
          </cell>
          <cell r="C819" t="str">
            <v>A</v>
          </cell>
          <cell r="D819" t="str">
            <v>NO</v>
          </cell>
          <cell r="E819" t="str">
            <v>SIMBOLO PERDIDO,EL - BROWN,DAN</v>
          </cell>
          <cell r="F819" t="str">
            <v>LIBRO</v>
          </cell>
          <cell r="G819">
            <v>520506228</v>
          </cell>
          <cell r="H819" t="str">
            <v>H. MANCHA</v>
          </cell>
          <cell r="I819">
            <v>11.483000000000001</v>
          </cell>
        </row>
        <row r="820">
          <cell r="A820" t="str">
            <v>19-00819</v>
          </cell>
          <cell r="B820" t="str">
            <v>DIST. LEWIS</v>
          </cell>
          <cell r="C820" t="str">
            <v>A</v>
          </cell>
          <cell r="D820" t="str">
            <v>NO</v>
          </cell>
          <cell r="E820" t="str">
            <v>ARTE DE AMAR,EL  ERIC,FROMM</v>
          </cell>
          <cell r="F820" t="str">
            <v>LIBRO</v>
          </cell>
          <cell r="G820">
            <v>520506363</v>
          </cell>
          <cell r="H820" t="str">
            <v>DIST. LEWIS</v>
          </cell>
          <cell r="I820">
            <v>9.07</v>
          </cell>
        </row>
        <row r="821">
          <cell r="A821" t="str">
            <v>19-00820</v>
          </cell>
          <cell r="B821" t="str">
            <v>DIST. LEWIS</v>
          </cell>
          <cell r="C821" t="str">
            <v>A</v>
          </cell>
          <cell r="D821" t="str">
            <v>NO</v>
          </cell>
          <cell r="E821" t="str">
            <v>NOTICIAS DE UN SECUESTRO  GARCIA MARQU</v>
          </cell>
          <cell r="F821" t="str">
            <v>LIBRO</v>
          </cell>
          <cell r="G821">
            <v>520507566</v>
          </cell>
          <cell r="H821" t="str">
            <v>DIST. LEWIS</v>
          </cell>
          <cell r="I821">
            <v>7.8840000000000003</v>
          </cell>
        </row>
        <row r="822">
          <cell r="A822" t="str">
            <v>19-00821</v>
          </cell>
          <cell r="B822" t="str">
            <v>DIST. LEWIS</v>
          </cell>
          <cell r="C822" t="str">
            <v>A</v>
          </cell>
          <cell r="D822" t="str">
            <v>NO</v>
          </cell>
          <cell r="E822" t="str">
            <v>RELATO DE UN NAUFRAGO  GARCIA MARQU</v>
          </cell>
          <cell r="F822" t="str">
            <v>LIBRO</v>
          </cell>
          <cell r="G822">
            <v>520507569</v>
          </cell>
          <cell r="H822" t="str">
            <v>DIST. LEWIS</v>
          </cell>
          <cell r="I822">
            <v>7.1639999999999997</v>
          </cell>
        </row>
        <row r="823">
          <cell r="A823" t="str">
            <v>19-00822</v>
          </cell>
          <cell r="B823" t="str">
            <v>DIST. LEWIS</v>
          </cell>
          <cell r="C823" t="str">
            <v>D</v>
          </cell>
          <cell r="D823" t="str">
            <v>N/A</v>
          </cell>
          <cell r="E823" t="str">
            <v>VIVIR PARA CONTARLA  GARCIA MARQU DISCONTINUED</v>
          </cell>
          <cell r="F823" t="str">
            <v>LIBRO</v>
          </cell>
          <cell r="G823">
            <v>520507571</v>
          </cell>
          <cell r="H823" t="str">
            <v>DIST. LEWIS</v>
          </cell>
          <cell r="I823">
            <v>0</v>
          </cell>
        </row>
        <row r="824">
          <cell r="A824" t="str">
            <v>19-00823</v>
          </cell>
          <cell r="B824" t="str">
            <v>DIST. LEWIS</v>
          </cell>
          <cell r="C824" t="str">
            <v>D</v>
          </cell>
          <cell r="D824" t="str">
            <v>N/A</v>
          </cell>
          <cell r="E824" t="str">
            <v>LO QUE SIEMPRE QUISISTE TENER A TU ALCANCE  HILL,NAPOLEO DISCONTINUED</v>
          </cell>
          <cell r="F824" t="str">
            <v>LIBRO</v>
          </cell>
          <cell r="G824">
            <v>520507570</v>
          </cell>
          <cell r="H824" t="str">
            <v>DIST. LEWIS</v>
          </cell>
          <cell r="I824">
            <v>0</v>
          </cell>
        </row>
        <row r="825">
          <cell r="A825" t="str">
            <v>19-00824</v>
          </cell>
          <cell r="B825" t="str">
            <v>DIST. LEWIS</v>
          </cell>
          <cell r="C825" t="str">
            <v>D</v>
          </cell>
          <cell r="D825" t="str">
            <v>N/A</v>
          </cell>
          <cell r="E825" t="str">
            <v>MANUAL DE LA PERFECTA  HILTS,ELIZAB DISCONTINUED</v>
          </cell>
          <cell r="F825" t="str">
            <v>LIBRO</v>
          </cell>
          <cell r="G825">
            <v>520507582</v>
          </cell>
          <cell r="H825" t="str">
            <v>DIST. LEWIS</v>
          </cell>
          <cell r="I825">
            <v>0</v>
          </cell>
        </row>
        <row r="826">
          <cell r="A826" t="str">
            <v>19-00825</v>
          </cell>
          <cell r="B826" t="str">
            <v>DIST. LEWIS</v>
          </cell>
          <cell r="C826" t="str">
            <v>A</v>
          </cell>
          <cell r="D826" t="str">
            <v>NO</v>
          </cell>
          <cell r="E826" t="str">
            <v>REINA EN EL PALACIO D/ - LARSSON,STIEG</v>
          </cell>
          <cell r="F826" t="str">
            <v>LIBRO</v>
          </cell>
          <cell r="G826">
            <v>520507598</v>
          </cell>
          <cell r="H826" t="str">
            <v>DIST. LEWIS</v>
          </cell>
          <cell r="I826">
            <v>12.205</v>
          </cell>
        </row>
        <row r="827">
          <cell r="A827" t="str">
            <v>19-00826</v>
          </cell>
          <cell r="B827" t="str">
            <v>DIST. LEWIS</v>
          </cell>
          <cell r="C827" t="str">
            <v>A</v>
          </cell>
          <cell r="D827" t="str">
            <v>NO</v>
          </cell>
          <cell r="E827" t="str">
            <v>BOSQUE DE LOS PIGMEOS,EL - ALLENDE,ISABEL</v>
          </cell>
          <cell r="F827" t="str">
            <v>LIBRO</v>
          </cell>
          <cell r="G827">
            <v>520511239</v>
          </cell>
          <cell r="H827" t="str">
            <v>DIST. LEWIS</v>
          </cell>
          <cell r="I827">
            <v>11.67</v>
          </cell>
        </row>
        <row r="828">
          <cell r="A828" t="str">
            <v>19-00827</v>
          </cell>
          <cell r="B828" t="str">
            <v>DIST. LEWIS</v>
          </cell>
          <cell r="C828" t="str">
            <v>D</v>
          </cell>
          <cell r="D828" t="str">
            <v>N/A</v>
          </cell>
          <cell r="E828" t="str">
            <v>HIJA DE LA FORTUNA ALLENDE,ISABEL DISCONTINUED</v>
          </cell>
          <cell r="F828" t="str">
            <v>LIBRO</v>
          </cell>
          <cell r="G828">
            <v>520511245</v>
          </cell>
          <cell r="H828" t="str">
            <v>DIST. LEWIS</v>
          </cell>
          <cell r="I828">
            <v>9.77</v>
          </cell>
        </row>
        <row r="829">
          <cell r="A829" t="str">
            <v>19-00828</v>
          </cell>
          <cell r="B829" t="str">
            <v>DIST. LEWIS</v>
          </cell>
          <cell r="C829" t="str">
            <v>D</v>
          </cell>
          <cell r="D829" t="str">
            <v>N/A</v>
          </cell>
          <cell r="E829" t="str">
            <v>INES DEL ALMA MIA.(T.DURA) ALLENDE,ISABEL DISCONTINUED</v>
          </cell>
          <cell r="F829" t="str">
            <v>LIBRO</v>
          </cell>
          <cell r="G829">
            <v>520511413</v>
          </cell>
          <cell r="H829" t="str">
            <v>DIST. LEWIS</v>
          </cell>
          <cell r="I829">
            <v>0</v>
          </cell>
        </row>
        <row r="830">
          <cell r="A830" t="str">
            <v>19-00829</v>
          </cell>
          <cell r="B830" t="str">
            <v>DIST. LEWIS</v>
          </cell>
          <cell r="C830" t="str">
            <v>D</v>
          </cell>
          <cell r="D830" t="str">
            <v>N/A</v>
          </cell>
          <cell r="E830" t="str">
            <v>AL FIN LIBRE BENITEZ,J.J. DISCONTINUED</v>
          </cell>
          <cell r="F830" t="str">
            <v>LIBRO</v>
          </cell>
          <cell r="G830">
            <v>520506416</v>
          </cell>
          <cell r="H830" t="str">
            <v>DIST. LEWIS</v>
          </cell>
          <cell r="I830">
            <v>8.3699999999999992</v>
          </cell>
        </row>
        <row r="831">
          <cell r="A831" t="str">
            <v>19-00830</v>
          </cell>
          <cell r="B831" t="str">
            <v>DIST. LEWIS</v>
          </cell>
          <cell r="C831" t="str">
            <v>A</v>
          </cell>
          <cell r="D831" t="str">
            <v>NO</v>
          </cell>
          <cell r="E831" t="str">
            <v>PEREGRINO,EL COELHO,PABLO</v>
          </cell>
          <cell r="F831" t="str">
            <v>LIBRO</v>
          </cell>
          <cell r="G831">
            <v>520511473</v>
          </cell>
          <cell r="H831" t="str">
            <v>DIST. LEWIS</v>
          </cell>
          <cell r="I831">
            <v>0</v>
          </cell>
        </row>
        <row r="832">
          <cell r="A832" t="str">
            <v>19-00831</v>
          </cell>
          <cell r="B832" t="str">
            <v>DIST. LEWIS</v>
          </cell>
          <cell r="C832" t="str">
            <v>A</v>
          </cell>
          <cell r="D832" t="str">
            <v>NO</v>
          </cell>
          <cell r="E832" t="str">
            <v>A ORILLAS DEL RIO PIEDRA - COELHO,PAULO</v>
          </cell>
          <cell r="F832" t="str">
            <v>LIBRO</v>
          </cell>
          <cell r="G832">
            <v>520511348</v>
          </cell>
          <cell r="H832" t="str">
            <v>DIST. LEWIS</v>
          </cell>
          <cell r="I832">
            <v>10.324</v>
          </cell>
        </row>
        <row r="833">
          <cell r="A833" t="str">
            <v>19-00832</v>
          </cell>
          <cell r="B833" t="str">
            <v>DIST. LEWIS</v>
          </cell>
          <cell r="C833" t="str">
            <v>A</v>
          </cell>
          <cell r="D833" t="str">
            <v>NO</v>
          </cell>
          <cell r="E833" t="str">
            <v>ALEPH COELHO,PAULO</v>
          </cell>
          <cell r="F833" t="str">
            <v>LIBRO</v>
          </cell>
          <cell r="G833">
            <v>520511650</v>
          </cell>
          <cell r="H833" t="str">
            <v>DIST. LEWIS</v>
          </cell>
          <cell r="I833">
            <v>9.3249999999999993</v>
          </cell>
        </row>
        <row r="834">
          <cell r="A834" t="str">
            <v>19-00833</v>
          </cell>
          <cell r="B834" t="str">
            <v>DIST. LEWIS</v>
          </cell>
          <cell r="C834" t="str">
            <v>A</v>
          </cell>
          <cell r="D834" t="str">
            <v>NO</v>
          </cell>
          <cell r="E834" t="str">
            <v>VENCEDOR ESTA SOLO,EL COELHO,PAULO</v>
          </cell>
          <cell r="F834" t="str">
            <v>LIBRO</v>
          </cell>
          <cell r="G834">
            <v>522705650</v>
          </cell>
          <cell r="H834" t="str">
            <v>DIST. LEWIS</v>
          </cell>
          <cell r="I834">
            <v>0</v>
          </cell>
        </row>
        <row r="835">
          <cell r="A835" t="str">
            <v>19-00834</v>
          </cell>
          <cell r="B835" t="str">
            <v>H. MANCHA</v>
          </cell>
          <cell r="C835" t="str">
            <v>A</v>
          </cell>
          <cell r="D835" t="str">
            <v>NO</v>
          </cell>
          <cell r="E835" t="str">
            <v>7 HABITOS DE LOS ADOLESCENTES,LOS COVEY,SEAN</v>
          </cell>
          <cell r="F835" t="str">
            <v>LIBRO</v>
          </cell>
          <cell r="G835">
            <v>520511238</v>
          </cell>
          <cell r="H835" t="str">
            <v>H. MANCHA</v>
          </cell>
          <cell r="I835">
            <v>9.3230000000000004</v>
          </cell>
        </row>
        <row r="836">
          <cell r="A836" t="str">
            <v>19-00835</v>
          </cell>
          <cell r="B836" t="str">
            <v>DIST. LEWIS</v>
          </cell>
          <cell r="C836" t="str">
            <v>D</v>
          </cell>
          <cell r="D836" t="str">
            <v>N/A</v>
          </cell>
          <cell r="E836" t="str">
            <v>6 DECISIONES MAS IMPORTANTES DE TU COVEY,SEAN DISCONTINUED</v>
          </cell>
          <cell r="F836" t="str">
            <v>LIBRO</v>
          </cell>
          <cell r="G836">
            <v>520511515</v>
          </cell>
          <cell r="H836" t="str">
            <v>DIST. LEWIS</v>
          </cell>
          <cell r="I836">
            <v>0</v>
          </cell>
        </row>
        <row r="837">
          <cell r="A837" t="str">
            <v>19-00836</v>
          </cell>
          <cell r="B837" t="str">
            <v>DIST. LEWIS</v>
          </cell>
          <cell r="C837" t="str">
            <v>D</v>
          </cell>
          <cell r="D837" t="str">
            <v>N/A</v>
          </cell>
          <cell r="E837" t="str">
            <v>ARTE DE LA INFIDELIDAD,EL GRATAS,ENRIQUE DISCONTINUED</v>
          </cell>
          <cell r="F837" t="str">
            <v>LIBRO</v>
          </cell>
          <cell r="G837">
            <v>522202177</v>
          </cell>
          <cell r="H837" t="str">
            <v>DIST. LEWIS</v>
          </cell>
          <cell r="I837">
            <v>0</v>
          </cell>
        </row>
        <row r="838">
          <cell r="A838" t="str">
            <v>19-00837</v>
          </cell>
          <cell r="B838" t="str">
            <v>DIST. LEWIS</v>
          </cell>
          <cell r="C838" t="str">
            <v>D</v>
          </cell>
          <cell r="D838" t="str">
            <v>N/A</v>
          </cell>
          <cell r="E838" t="str">
            <v>DROGAS KUHN,CYNTHIA DISCONTINUED</v>
          </cell>
          <cell r="F838" t="str">
            <v>LIBRO</v>
          </cell>
          <cell r="G838">
            <v>520511604</v>
          </cell>
          <cell r="H838" t="str">
            <v>DIST. LEWIS</v>
          </cell>
          <cell r="I838">
            <v>0</v>
          </cell>
        </row>
        <row r="839">
          <cell r="A839" t="str">
            <v>19-00838</v>
          </cell>
          <cell r="B839" t="str">
            <v>DIST. LEWIS</v>
          </cell>
          <cell r="C839" t="str">
            <v>D</v>
          </cell>
          <cell r="D839" t="str">
            <v>N/A</v>
          </cell>
          <cell r="E839" t="str">
            <v>MISION EXITO MANDINO,OG DISCONTINUED</v>
          </cell>
          <cell r="F839" t="str">
            <v>LIBRO</v>
          </cell>
          <cell r="G839">
            <v>520505209</v>
          </cell>
          <cell r="H839" t="str">
            <v>DIST. LEWIS</v>
          </cell>
          <cell r="I839">
            <v>0</v>
          </cell>
        </row>
        <row r="840">
          <cell r="A840" t="str">
            <v>19-00839</v>
          </cell>
          <cell r="B840" t="str">
            <v>DIST. LEWIS</v>
          </cell>
          <cell r="C840" t="str">
            <v>D</v>
          </cell>
          <cell r="D840" t="str">
            <v>N/A</v>
          </cell>
          <cell r="E840" t="str">
            <v>SOPA O SEXO MARTINEZ E,MARIA E. DISCONTINUED</v>
          </cell>
          <cell r="F840" t="str">
            <v>LIBRO</v>
          </cell>
          <cell r="G840">
            <v>520505226</v>
          </cell>
          <cell r="H840" t="str">
            <v>DIST. LEWIS</v>
          </cell>
          <cell r="I840">
            <v>16.07</v>
          </cell>
        </row>
        <row r="841">
          <cell r="A841" t="str">
            <v>19-00840</v>
          </cell>
          <cell r="B841" t="str">
            <v>DIST. LEWIS</v>
          </cell>
          <cell r="C841" t="str">
            <v>D</v>
          </cell>
          <cell r="D841" t="str">
            <v>N/A</v>
          </cell>
          <cell r="E841" t="str">
            <v>EN BUSCA DEL EQUILIBRIO WAYNE W.,DYER</v>
          </cell>
          <cell r="F841" t="str">
            <v>LIBRO</v>
          </cell>
          <cell r="G841">
            <v>520511436</v>
          </cell>
          <cell r="H841" t="str">
            <v>H. MANCHA</v>
          </cell>
          <cell r="I841">
            <v>7.165</v>
          </cell>
        </row>
        <row r="842">
          <cell r="A842" t="str">
            <v>19-00841</v>
          </cell>
          <cell r="B842" t="str">
            <v>FOSTER</v>
          </cell>
          <cell r="C842" t="str">
            <v>D</v>
          </cell>
          <cell r="D842" t="str">
            <v>N/A</v>
          </cell>
          <cell r="E842" t="str">
            <v>DSY-LB4011 FOSTER TC LAPTOP BAG MICKEY DISCONTINUED</v>
          </cell>
          <cell r="F842" t="str">
            <v>BAG</v>
          </cell>
          <cell r="G842" t="str">
            <v>DSY-LB4011</v>
          </cell>
          <cell r="H842" t="str">
            <v>FOSTER</v>
          </cell>
          <cell r="I842">
            <v>27</v>
          </cell>
        </row>
        <row r="843">
          <cell r="A843" t="str">
            <v>19-00842</v>
          </cell>
          <cell r="B843" t="str">
            <v>FOSTER</v>
          </cell>
          <cell r="C843" t="str">
            <v>D</v>
          </cell>
          <cell r="D843" t="str">
            <v>N/A</v>
          </cell>
          <cell r="E843" t="str">
            <v>DSY-LB4014 FOSTER TC LAPTOP BAG MICKEY DISCONTINUED</v>
          </cell>
          <cell r="F843" t="str">
            <v>BAG</v>
          </cell>
          <cell r="G843" t="str">
            <v>DSY-LB4014</v>
          </cell>
          <cell r="H843" t="str">
            <v>FOSTER</v>
          </cell>
          <cell r="I843">
            <v>27</v>
          </cell>
        </row>
        <row r="844">
          <cell r="A844" t="str">
            <v>19-00843</v>
          </cell>
          <cell r="B844" t="str">
            <v>FOSTER</v>
          </cell>
          <cell r="C844" t="str">
            <v>D</v>
          </cell>
          <cell r="D844" t="str">
            <v>N/A</v>
          </cell>
          <cell r="E844" t="str">
            <v>CPK-EP2350/1/2 FOSTER TC HEADPHONE DISCONTINUED</v>
          </cell>
          <cell r="F844" t="str">
            <v>HEADPHONE</v>
          </cell>
          <cell r="G844" t="str">
            <v>CPK-EP2350/1/2</v>
          </cell>
          <cell r="H844" t="str">
            <v>FOSTER</v>
          </cell>
          <cell r="I844">
            <v>0</v>
          </cell>
        </row>
        <row r="845">
          <cell r="A845" t="str">
            <v>19-00844</v>
          </cell>
          <cell r="B845" t="str">
            <v>FOSTER</v>
          </cell>
          <cell r="C845" t="str">
            <v>D</v>
          </cell>
          <cell r="D845" t="str">
            <v>N/A</v>
          </cell>
          <cell r="E845" t="str">
            <v>DSY-HP750 FOSTER TC HEADPHONE PRINCESAS DISCONTINUED</v>
          </cell>
          <cell r="F845" t="str">
            <v>HEADPHONE</v>
          </cell>
          <cell r="G845" t="str">
            <v>DSY-HP750</v>
          </cell>
          <cell r="H845" t="str">
            <v>FOSTER</v>
          </cell>
          <cell r="I845">
            <v>5.95</v>
          </cell>
        </row>
        <row r="846">
          <cell r="A846" t="str">
            <v>19-00845</v>
          </cell>
          <cell r="B846" t="str">
            <v>FOSTER</v>
          </cell>
          <cell r="C846" t="str">
            <v>D</v>
          </cell>
          <cell r="D846" t="str">
            <v>N/A</v>
          </cell>
          <cell r="E846" t="str">
            <v>DSY-HP731 FOSTER TC HEADPHONE CARS DISCONTINUED</v>
          </cell>
          <cell r="F846" t="str">
            <v>HEADPHONE</v>
          </cell>
          <cell r="G846" t="str">
            <v>DSY-HP731</v>
          </cell>
          <cell r="H846" t="str">
            <v>FOSTER</v>
          </cell>
          <cell r="I846">
            <v>9.5</v>
          </cell>
        </row>
        <row r="847">
          <cell r="A847" t="str">
            <v>19-00846</v>
          </cell>
          <cell r="B847" t="str">
            <v>FOSTER</v>
          </cell>
          <cell r="C847" t="str">
            <v>D</v>
          </cell>
          <cell r="D847" t="str">
            <v>N/A</v>
          </cell>
          <cell r="E847" t="str">
            <v>CPL-HP1801 FOSTER TC HEADPHONE ABSTRACT LINE DISCONTINUED</v>
          </cell>
          <cell r="F847" t="str">
            <v>HEADPHONE</v>
          </cell>
          <cell r="G847" t="str">
            <v>CPL-HP1801</v>
          </cell>
          <cell r="H847" t="str">
            <v>FOSTER</v>
          </cell>
          <cell r="I847">
            <v>0</v>
          </cell>
        </row>
        <row r="848">
          <cell r="A848" t="str">
            <v>19-00847</v>
          </cell>
          <cell r="B848" t="str">
            <v>FOSTER</v>
          </cell>
          <cell r="C848" t="str">
            <v>D</v>
          </cell>
          <cell r="D848" t="str">
            <v>N/A</v>
          </cell>
          <cell r="E848" t="str">
            <v>DSY-SK601 FOSTER TC SKIN FOR LAPTOP MICKEY DISCONTINUED</v>
          </cell>
          <cell r="F848" t="str">
            <v>LAPTON SKIN</v>
          </cell>
          <cell r="G848" t="str">
            <v>DSY-SK601</v>
          </cell>
          <cell r="H848" t="str">
            <v>FOSTER</v>
          </cell>
          <cell r="I848">
            <v>0</v>
          </cell>
        </row>
        <row r="849">
          <cell r="A849" t="str">
            <v>19-00848</v>
          </cell>
          <cell r="B849" t="str">
            <v>FOSTER</v>
          </cell>
          <cell r="C849" t="str">
            <v>D</v>
          </cell>
          <cell r="D849" t="str">
            <v>N/A</v>
          </cell>
          <cell r="E849" t="str">
            <v>CPL-LB1501K FOSTER TC LAPTOP SLEEVE ABSTRACT LINE DISCONTINUED</v>
          </cell>
          <cell r="F849" t="str">
            <v>LAPTON SKIN</v>
          </cell>
          <cell r="G849" t="str">
            <v>CPL-LB1501K</v>
          </cell>
          <cell r="H849" t="str">
            <v>FOSTER</v>
          </cell>
          <cell r="I849">
            <v>8.4499999999999993</v>
          </cell>
        </row>
        <row r="850">
          <cell r="A850" t="str">
            <v>19-00849</v>
          </cell>
          <cell r="B850" t="str">
            <v>FOSTER</v>
          </cell>
          <cell r="C850" t="str">
            <v>D</v>
          </cell>
          <cell r="D850" t="str">
            <v>N/A</v>
          </cell>
          <cell r="E850" t="str">
            <v>CPL-LB1501 FOSTER TC LAPTOP SLEEVE ABSTRACT LINE DISCONTINUED</v>
          </cell>
          <cell r="F850" t="str">
            <v>LAPTON SKIN</v>
          </cell>
          <cell r="G850" t="str">
            <v>CPL-LB1501</v>
          </cell>
          <cell r="H850" t="str">
            <v>FOSTER</v>
          </cell>
          <cell r="I850">
            <v>15.75</v>
          </cell>
        </row>
        <row r="851">
          <cell r="A851" t="str">
            <v>19-00850</v>
          </cell>
          <cell r="B851" t="str">
            <v>FOSTER</v>
          </cell>
          <cell r="C851" t="str">
            <v>D</v>
          </cell>
          <cell r="D851" t="str">
            <v>N/A</v>
          </cell>
          <cell r="E851" t="str">
            <v>DSY-LB3002 FOSTER TC LAPTOP SLEEVE 15" CARS DISCONTINUED</v>
          </cell>
          <cell r="F851" t="str">
            <v>LAPTON SKIN</v>
          </cell>
          <cell r="G851" t="str">
            <v>DSY-LB3002</v>
          </cell>
          <cell r="H851" t="str">
            <v>FOSTER</v>
          </cell>
          <cell r="I851">
            <v>0</v>
          </cell>
        </row>
        <row r="852">
          <cell r="A852" t="str">
            <v>19-00851</v>
          </cell>
          <cell r="B852" t="str">
            <v>FOSTER</v>
          </cell>
          <cell r="C852" t="str">
            <v>D</v>
          </cell>
          <cell r="D852" t="str">
            <v>N/A</v>
          </cell>
          <cell r="E852" t="str">
            <v>CPL-MO1001 FOSTER TC OPTICAL MOUSE ABSTRACT LINE DISCONTINUED</v>
          </cell>
          <cell r="F852" t="str">
            <v>MOUSE</v>
          </cell>
          <cell r="G852" t="str">
            <v>CPL-MO1001</v>
          </cell>
          <cell r="H852" t="str">
            <v>FOSTER</v>
          </cell>
          <cell r="I852">
            <v>8.4499999999999993</v>
          </cell>
        </row>
        <row r="853">
          <cell r="A853" t="str">
            <v>19-00852</v>
          </cell>
          <cell r="B853" t="str">
            <v>FOSTER</v>
          </cell>
          <cell r="C853" t="str">
            <v>D</v>
          </cell>
          <cell r="D853" t="str">
            <v>N/A</v>
          </cell>
          <cell r="E853" t="str">
            <v>CPL-MO1005 FOSTER TC OPTICAL MOUSE ANIMAL LINE DISCONTINUED</v>
          </cell>
          <cell r="F853" t="str">
            <v>MOUSE</v>
          </cell>
          <cell r="G853" t="str">
            <v>CPL-MO1005</v>
          </cell>
          <cell r="H853" t="str">
            <v>FOSTER</v>
          </cell>
          <cell r="I853">
            <v>8.4499999999999993</v>
          </cell>
        </row>
        <row r="854">
          <cell r="A854" t="str">
            <v>19-00853</v>
          </cell>
          <cell r="B854" t="str">
            <v>FOSTER</v>
          </cell>
          <cell r="C854" t="str">
            <v>D</v>
          </cell>
          <cell r="D854" t="str">
            <v>N/A</v>
          </cell>
          <cell r="E854" t="str">
            <v>DSY-MO150 FOSTER TC OPTICAL MOUSE MICKEY DISCONTINUED</v>
          </cell>
          <cell r="F854" t="str">
            <v>MOUSE</v>
          </cell>
          <cell r="G854" t="str">
            <v>DSY-MO150 FOSTER</v>
          </cell>
          <cell r="H854" t="str">
            <v>FOSTER</v>
          </cell>
          <cell r="I854">
            <v>10.5</v>
          </cell>
        </row>
        <row r="855">
          <cell r="A855" t="str">
            <v>19-00854</v>
          </cell>
          <cell r="B855" t="str">
            <v>FOSTER</v>
          </cell>
          <cell r="C855" t="str">
            <v>D</v>
          </cell>
          <cell r="D855" t="str">
            <v>N/A</v>
          </cell>
          <cell r="E855" t="str">
            <v>DSY-MM200 FOSTER TC MINI MOUSE MICKEY DISCONTINUED</v>
          </cell>
          <cell r="F855" t="str">
            <v>MOUSE</v>
          </cell>
          <cell r="G855" t="str">
            <v>DSY-MM200</v>
          </cell>
          <cell r="H855" t="str">
            <v>FOSTER</v>
          </cell>
          <cell r="I855">
            <v>10.5</v>
          </cell>
        </row>
        <row r="856">
          <cell r="A856" t="str">
            <v>19-00855</v>
          </cell>
          <cell r="B856" t="str">
            <v>FOSTER</v>
          </cell>
          <cell r="C856" t="str">
            <v>D</v>
          </cell>
          <cell r="D856" t="str">
            <v>N/A</v>
          </cell>
          <cell r="E856" t="str">
            <v>DSY-MO111 FOSTER TC OPTICAL MOUSE CARS DISCONTINUED</v>
          </cell>
          <cell r="F856" t="str">
            <v>MOUSE</v>
          </cell>
          <cell r="G856" t="str">
            <v>DSY-MO111</v>
          </cell>
          <cell r="H856" t="str">
            <v>FOSTER</v>
          </cell>
          <cell r="I856">
            <v>10.5</v>
          </cell>
        </row>
        <row r="857">
          <cell r="A857" t="str">
            <v>19-00856</v>
          </cell>
          <cell r="B857" t="str">
            <v>FOSTER</v>
          </cell>
          <cell r="C857" t="str">
            <v>D</v>
          </cell>
          <cell r="D857" t="str">
            <v>N/A</v>
          </cell>
          <cell r="E857" t="str">
            <v>DSY-MO105 FOSTER TC OPTICAL MOUSE PRINCESAS DISCONTINUED</v>
          </cell>
          <cell r="F857" t="str">
            <v>MOUSE</v>
          </cell>
          <cell r="G857" t="str">
            <v>DSY-MO105</v>
          </cell>
          <cell r="H857" t="str">
            <v>FOSTER</v>
          </cell>
          <cell r="I857">
            <v>0</v>
          </cell>
        </row>
        <row r="858">
          <cell r="A858" t="str">
            <v>19-00857</v>
          </cell>
          <cell r="B858" t="str">
            <v>FOSTER</v>
          </cell>
          <cell r="C858" t="str">
            <v>D</v>
          </cell>
          <cell r="D858" t="str">
            <v>N/A</v>
          </cell>
          <cell r="E858" t="str">
            <v>DSY-MM212 FOSTER TC MINI MOUSE PRINCESAS DISCONTINUED</v>
          </cell>
          <cell r="F858" t="str">
            <v>MOUSE</v>
          </cell>
          <cell r="G858" t="str">
            <v>DSY-MM212</v>
          </cell>
          <cell r="H858" t="str">
            <v>FOSTER</v>
          </cell>
          <cell r="I858">
            <v>10.5</v>
          </cell>
        </row>
        <row r="859">
          <cell r="A859" t="str">
            <v>19-00858</v>
          </cell>
          <cell r="B859" t="str">
            <v>FOSTER</v>
          </cell>
          <cell r="C859" t="str">
            <v>D</v>
          </cell>
          <cell r="D859" t="str">
            <v>N/A</v>
          </cell>
          <cell r="E859" t="str">
            <v>CPL-TP1901 FOSTER TC OPTICAL MOUSE + PAD ABSTRACT LINE DISCONTINUED</v>
          </cell>
          <cell r="F859" t="str">
            <v>MOUSE</v>
          </cell>
          <cell r="G859" t="str">
            <v>CPL-TP1901</v>
          </cell>
          <cell r="H859" t="str">
            <v>FOSTER</v>
          </cell>
          <cell r="I859">
            <v>10.5</v>
          </cell>
        </row>
        <row r="860">
          <cell r="A860" t="str">
            <v>19-00859</v>
          </cell>
          <cell r="B860" t="str">
            <v>FOSTER</v>
          </cell>
          <cell r="C860" t="str">
            <v>D</v>
          </cell>
          <cell r="D860" t="str">
            <v>N/A</v>
          </cell>
          <cell r="E860" t="str">
            <v>CPL-TP1905 FOSTER TC OPTICAL MOUSE + PAD ANIMAL LINE DISCONTINUED</v>
          </cell>
          <cell r="F860" t="str">
            <v>MOUSE</v>
          </cell>
          <cell r="G860" t="str">
            <v>CPL-TP1905</v>
          </cell>
          <cell r="H860" t="str">
            <v>FOSTER</v>
          </cell>
          <cell r="I860">
            <v>0</v>
          </cell>
        </row>
        <row r="861">
          <cell r="A861" t="str">
            <v>19-00860</v>
          </cell>
          <cell r="B861" t="str">
            <v>FOSTER</v>
          </cell>
          <cell r="C861" t="str">
            <v>D</v>
          </cell>
          <cell r="D861" t="str">
            <v>N/A</v>
          </cell>
          <cell r="E861" t="str">
            <v>DSY-TP3003 FOSTER TC OPTICAL MOUSE + PAD MICKEY DISCONTINUED</v>
          </cell>
          <cell r="F861" t="str">
            <v>MOUSE</v>
          </cell>
          <cell r="G861" t="str">
            <v>DSY-TP3003</v>
          </cell>
          <cell r="H861" t="str">
            <v>FOSTER</v>
          </cell>
          <cell r="I861">
            <v>0</v>
          </cell>
        </row>
        <row r="862">
          <cell r="A862" t="str">
            <v>19-00861</v>
          </cell>
          <cell r="B862" t="str">
            <v>FOSTER</v>
          </cell>
          <cell r="C862" t="str">
            <v>D</v>
          </cell>
          <cell r="D862" t="str">
            <v>N/A</v>
          </cell>
          <cell r="E862" t="str">
            <v>DSY-TP3002 FOSTER TC OPTICAL MOUSE + PAD MICKEY DISCONTINUED</v>
          </cell>
          <cell r="F862" t="str">
            <v>MOUSE</v>
          </cell>
          <cell r="G862" t="str">
            <v>DSY-TP3002</v>
          </cell>
          <cell r="H862" t="str">
            <v>FOSTER</v>
          </cell>
          <cell r="I862">
            <v>12.75</v>
          </cell>
        </row>
        <row r="863">
          <cell r="A863" t="str">
            <v>19-00862</v>
          </cell>
          <cell r="B863" t="str">
            <v>FOSTER</v>
          </cell>
          <cell r="C863" t="str">
            <v>D</v>
          </cell>
          <cell r="D863" t="str">
            <v>N/A</v>
          </cell>
          <cell r="E863" t="str">
            <v>DSY-TP1060 FOSTER TC OPTICAL MOUSE + PAD MINNIE DISCONTINUED</v>
          </cell>
          <cell r="F863" t="str">
            <v>MOUSE</v>
          </cell>
          <cell r="G863" t="str">
            <v>DSY-TP1060</v>
          </cell>
          <cell r="H863" t="str">
            <v>FOSTER</v>
          </cell>
          <cell r="I863">
            <v>12.75</v>
          </cell>
        </row>
        <row r="864">
          <cell r="A864" t="str">
            <v>19-00863</v>
          </cell>
          <cell r="B864" t="str">
            <v>FOSTER</v>
          </cell>
          <cell r="C864" t="str">
            <v>D</v>
          </cell>
          <cell r="D864" t="str">
            <v>N/A</v>
          </cell>
          <cell r="E864" t="str">
            <v>DSY-TP1001 FOSTER TC OPTICAL MOUSE + PAD CARS DISCONTINUED</v>
          </cell>
          <cell r="F864" t="str">
            <v>MOUSE</v>
          </cell>
          <cell r="G864" t="str">
            <v>DSY-TP1001</v>
          </cell>
          <cell r="H864" t="str">
            <v>FOSTER</v>
          </cell>
          <cell r="I864">
            <v>12.75</v>
          </cell>
        </row>
        <row r="865">
          <cell r="A865" t="str">
            <v>19-00864</v>
          </cell>
          <cell r="B865" t="str">
            <v>FOSTER</v>
          </cell>
          <cell r="C865" t="str">
            <v>D</v>
          </cell>
          <cell r="D865" t="str">
            <v>N/A</v>
          </cell>
          <cell r="E865" t="str">
            <v>DSY-TP2003 FOSTER TC MINI MOUSE + PAD PRINCESAS DISCONTINUED</v>
          </cell>
          <cell r="F865" t="str">
            <v>MOUSE</v>
          </cell>
          <cell r="G865" t="str">
            <v>DSY-TP2003</v>
          </cell>
          <cell r="H865" t="str">
            <v>FOSTER</v>
          </cell>
          <cell r="I865">
            <v>0</v>
          </cell>
        </row>
        <row r="866">
          <cell r="A866" t="str">
            <v>19-00865</v>
          </cell>
          <cell r="B866" t="str">
            <v>FOSTER</v>
          </cell>
          <cell r="C866" t="str">
            <v>D</v>
          </cell>
          <cell r="D866" t="str">
            <v>N/A</v>
          </cell>
          <cell r="E866" t="str">
            <v>DSY-TP2002 FOSTER TC OPTICAL MOUSE + PAD PRINCESAS DISCONTINUED</v>
          </cell>
          <cell r="F866" t="str">
            <v>MOUSE</v>
          </cell>
          <cell r="G866" t="str">
            <v>DSY-TP2002</v>
          </cell>
          <cell r="H866" t="str">
            <v>FOSTER</v>
          </cell>
          <cell r="I866">
            <v>12.75</v>
          </cell>
        </row>
        <row r="867">
          <cell r="A867" t="str">
            <v>19-00866</v>
          </cell>
          <cell r="B867" t="str">
            <v>FOSTER</v>
          </cell>
          <cell r="C867" t="str">
            <v>D</v>
          </cell>
          <cell r="D867" t="str">
            <v>N/A</v>
          </cell>
          <cell r="E867" t="str">
            <v>CPL-MW1101 FOSTER TC WIRLESS MOUSE ABSTRACT LINE DISCONTINUED</v>
          </cell>
          <cell r="F867" t="str">
            <v>MOUSE</v>
          </cell>
          <cell r="G867" t="str">
            <v>CPL-MW1101</v>
          </cell>
          <cell r="H867" t="str">
            <v>FOSTER</v>
          </cell>
          <cell r="I867">
            <v>14.75</v>
          </cell>
        </row>
        <row r="868">
          <cell r="A868" t="str">
            <v>19-00867</v>
          </cell>
          <cell r="B868" t="str">
            <v>FOSTER</v>
          </cell>
          <cell r="C868" t="str">
            <v>D</v>
          </cell>
          <cell r="D868" t="str">
            <v>N/A</v>
          </cell>
          <cell r="E868" t="str">
            <v>CPL-MW1105 FOSTER TC WIRLESS MOUSE ANIMAL LINE DISCONTINUED</v>
          </cell>
          <cell r="F868" t="str">
            <v>MOUSE</v>
          </cell>
          <cell r="G868" t="str">
            <v>CPL-MW1105</v>
          </cell>
          <cell r="H868" t="str">
            <v>FOSTER</v>
          </cell>
          <cell r="I868">
            <v>14.75</v>
          </cell>
        </row>
        <row r="869">
          <cell r="A869" t="str">
            <v>19-00868</v>
          </cell>
          <cell r="B869" t="str">
            <v>FOSTER</v>
          </cell>
          <cell r="C869" t="str">
            <v>D</v>
          </cell>
          <cell r="D869" t="str">
            <v>N/A</v>
          </cell>
          <cell r="E869" t="str">
            <v>DSY-MW2116 FOSTER TC WIRLESS MOUSE PRINCESAS DISCONTINUED</v>
          </cell>
          <cell r="F869" t="str">
            <v>MOUSE</v>
          </cell>
          <cell r="G869" t="str">
            <v>DSY-MW2116</v>
          </cell>
          <cell r="H869" t="str">
            <v>FOSTER</v>
          </cell>
          <cell r="I869">
            <v>17.95</v>
          </cell>
        </row>
        <row r="870">
          <cell r="A870" t="str">
            <v>19-00869</v>
          </cell>
          <cell r="B870" t="str">
            <v>FOSTER</v>
          </cell>
          <cell r="C870" t="str">
            <v>D</v>
          </cell>
          <cell r="D870" t="str">
            <v>N/A</v>
          </cell>
          <cell r="E870" t="str">
            <v>DSY-LB3002K FOSTER LAPTPBAG CAR 10" DISCONTINUED</v>
          </cell>
          <cell r="F870" t="str">
            <v>BOLSA</v>
          </cell>
          <cell r="G870" t="str">
            <v>DSY-LB3002K</v>
          </cell>
          <cell r="H870" t="str">
            <v>FOSTER</v>
          </cell>
          <cell r="I870">
            <v>12.95</v>
          </cell>
        </row>
        <row r="871">
          <cell r="A871" t="str">
            <v>19-00870</v>
          </cell>
          <cell r="B871" t="str">
            <v>FOSTER</v>
          </cell>
          <cell r="C871" t="str">
            <v>D</v>
          </cell>
          <cell r="D871" t="str">
            <v>N/A</v>
          </cell>
          <cell r="E871" t="str">
            <v>DSY-TP3004 FOSTER DISNEY TWO PACK MICKEY DISCONTINUED</v>
          </cell>
          <cell r="F871" t="str">
            <v>BOLSA</v>
          </cell>
          <cell r="G871" t="str">
            <v>DSY-TP3004</v>
          </cell>
          <cell r="H871" t="str">
            <v>FOSTER</v>
          </cell>
          <cell r="I871">
            <v>12.75</v>
          </cell>
        </row>
        <row r="872">
          <cell r="A872" t="str">
            <v>19-00871</v>
          </cell>
          <cell r="B872" t="str">
            <v>DIST. LEWIS</v>
          </cell>
          <cell r="C872" t="str">
            <v>D</v>
          </cell>
          <cell r="D872" t="str">
            <v>N/A</v>
          </cell>
          <cell r="E872" t="str">
            <v>PRUEBA DE FUEGO, DASHNER  JAMES DISCONTINUED</v>
          </cell>
          <cell r="F872" t="str">
            <v>REVISTA</v>
          </cell>
          <cell r="G872">
            <v>1521001925</v>
          </cell>
          <cell r="H872" t="str">
            <v>DIS. LEWIS</v>
          </cell>
          <cell r="I872">
            <v>9.77</v>
          </cell>
        </row>
        <row r="873">
          <cell r="A873" t="str">
            <v>19-00872</v>
          </cell>
          <cell r="B873" t="str">
            <v>DIST. LEWIS</v>
          </cell>
          <cell r="C873" t="str">
            <v>D</v>
          </cell>
          <cell r="D873" t="str">
            <v>N/A</v>
          </cell>
          <cell r="E873" t="str">
            <v>FOOD &amp; WINE DISCONTINUED</v>
          </cell>
          <cell r="F873" t="str">
            <v>MAGAZINE</v>
          </cell>
          <cell r="H873" t="str">
            <v>DIS. LEWIS</v>
          </cell>
          <cell r="I873">
            <v>4.4000000000000004</v>
          </cell>
        </row>
        <row r="874">
          <cell r="A874" t="str">
            <v>19-00873</v>
          </cell>
          <cell r="B874" t="str">
            <v>DIST. LEWIS</v>
          </cell>
          <cell r="C874" t="str">
            <v>D</v>
          </cell>
          <cell r="D874" t="str">
            <v>N/A</v>
          </cell>
          <cell r="E874" t="str">
            <v>MUNDO SOCIAL DISCONTINUED</v>
          </cell>
          <cell r="F874" t="str">
            <v>MAGAZINE</v>
          </cell>
          <cell r="H874" t="str">
            <v>DIS. LEWIS</v>
          </cell>
          <cell r="I874">
            <v>2.8</v>
          </cell>
        </row>
        <row r="875">
          <cell r="A875" t="str">
            <v>19-00874</v>
          </cell>
          <cell r="B875" t="str">
            <v>DIST. LEWIS</v>
          </cell>
          <cell r="C875" t="str">
            <v>D</v>
          </cell>
          <cell r="D875" t="str">
            <v>N/A</v>
          </cell>
          <cell r="E875" t="str">
            <v>NATIONAL ENQUIERER DISCONTINUED</v>
          </cell>
          <cell r="F875" t="str">
            <v>MAGAZINE</v>
          </cell>
          <cell r="H875" t="str">
            <v>DIS. LEWIS</v>
          </cell>
          <cell r="I875">
            <v>0</v>
          </cell>
        </row>
        <row r="876">
          <cell r="A876" t="str">
            <v>19-00875</v>
          </cell>
          <cell r="B876" t="str">
            <v>DIST. LEWIS</v>
          </cell>
          <cell r="C876" t="str">
            <v>D</v>
          </cell>
          <cell r="D876" t="str">
            <v>N/A</v>
          </cell>
          <cell r="E876" t="str">
            <v>US WEEKLY DISCONTINUED</v>
          </cell>
          <cell r="F876" t="str">
            <v>MAGAZINE</v>
          </cell>
          <cell r="H876" t="str">
            <v>DIS. LEWIS</v>
          </cell>
          <cell r="I876">
            <v>0</v>
          </cell>
        </row>
        <row r="877">
          <cell r="A877" t="str">
            <v>19-00876</v>
          </cell>
          <cell r="B877" t="str">
            <v>DIST. LEWIS</v>
          </cell>
          <cell r="C877" t="str">
            <v>D</v>
          </cell>
          <cell r="D877" t="str">
            <v>N/A</v>
          </cell>
          <cell r="E877" t="str">
            <v>TIME DISCONTINUED</v>
          </cell>
          <cell r="F877" t="str">
            <v>MAGAZINE</v>
          </cell>
          <cell r="H877" t="str">
            <v>DIS. LEWIS</v>
          </cell>
          <cell r="I877">
            <v>0</v>
          </cell>
        </row>
        <row r="878">
          <cell r="A878" t="str">
            <v>19-00877</v>
          </cell>
          <cell r="B878" t="str">
            <v>DIST. LEWIS</v>
          </cell>
          <cell r="C878" t="str">
            <v>D</v>
          </cell>
          <cell r="D878" t="str">
            <v>N/A</v>
          </cell>
          <cell r="E878" t="str">
            <v>HONDA TUNNING DISCONTINUED</v>
          </cell>
          <cell r="F878" t="str">
            <v>MAGAZINE</v>
          </cell>
          <cell r="H878" t="str">
            <v>DIS. LEWIS</v>
          </cell>
          <cell r="I878">
            <v>5.56</v>
          </cell>
        </row>
        <row r="879">
          <cell r="A879" t="str">
            <v>19-00878</v>
          </cell>
          <cell r="B879" t="str">
            <v>DIST. LEWIS</v>
          </cell>
          <cell r="C879" t="str">
            <v>D</v>
          </cell>
          <cell r="D879" t="str">
            <v>N/A</v>
          </cell>
          <cell r="E879" t="str">
            <v>VIVIR BIEN LIFE STYLE DISCONTINUED</v>
          </cell>
          <cell r="F879" t="str">
            <v>MAGAZINE</v>
          </cell>
          <cell r="H879" t="str">
            <v>DIS. LEWIS</v>
          </cell>
          <cell r="I879">
            <v>0</v>
          </cell>
        </row>
        <row r="880">
          <cell r="A880" t="str">
            <v>19-00879</v>
          </cell>
          <cell r="B880" t="str">
            <v>DIST. LEWIS</v>
          </cell>
          <cell r="C880" t="str">
            <v>D</v>
          </cell>
          <cell r="D880" t="str">
            <v>N/A</v>
          </cell>
          <cell r="E880" t="str">
            <v>MAXIN DISCONTINUED</v>
          </cell>
          <cell r="F880" t="str">
            <v>MAGAZINE</v>
          </cell>
          <cell r="H880" t="str">
            <v>DIS. LEWIS</v>
          </cell>
          <cell r="I880">
            <v>5.56</v>
          </cell>
        </row>
        <row r="881">
          <cell r="A881" t="str">
            <v>19-00880</v>
          </cell>
          <cell r="B881" t="str">
            <v>FOSTER</v>
          </cell>
          <cell r="C881" t="str">
            <v>A</v>
          </cell>
          <cell r="D881" t="str">
            <v>NO</v>
          </cell>
          <cell r="E881" t="str">
            <v>15645 FOSTER PELUCHE MICKEY 10'' C/ CAJA</v>
          </cell>
          <cell r="F881" t="str">
            <v>PLUSH</v>
          </cell>
          <cell r="G881">
            <v>15645</v>
          </cell>
          <cell r="H881" t="str">
            <v>FOSTER</v>
          </cell>
          <cell r="I881">
            <v>6.3</v>
          </cell>
        </row>
        <row r="882">
          <cell r="A882" t="str">
            <v>19-00881</v>
          </cell>
          <cell r="B882" t="str">
            <v>FOSTER</v>
          </cell>
          <cell r="C882" t="str">
            <v>A</v>
          </cell>
          <cell r="D882" t="str">
            <v>NO</v>
          </cell>
          <cell r="E882" t="str">
            <v>15646 FOSTER PELUCHE MINNIE 10'' C/ CAJA</v>
          </cell>
          <cell r="F882" t="str">
            <v>PLUSH</v>
          </cell>
          <cell r="G882">
            <v>15646</v>
          </cell>
          <cell r="H882" t="str">
            <v>FOSTER</v>
          </cell>
          <cell r="I882">
            <v>6.3</v>
          </cell>
        </row>
        <row r="883">
          <cell r="A883" t="str">
            <v>19-00882</v>
          </cell>
          <cell r="B883" t="str">
            <v>FOSTER</v>
          </cell>
          <cell r="C883" t="str">
            <v>A</v>
          </cell>
          <cell r="D883" t="str">
            <v>NO</v>
          </cell>
          <cell r="E883" t="str">
            <v>15647 FOSTER PELUCHE PLUTO 10'' C/ CAJA</v>
          </cell>
          <cell r="F883" t="str">
            <v>PLUSH</v>
          </cell>
          <cell r="G883">
            <v>15647</v>
          </cell>
          <cell r="H883" t="str">
            <v>FOSTER</v>
          </cell>
          <cell r="I883">
            <v>6.3</v>
          </cell>
        </row>
        <row r="884">
          <cell r="A884" t="str">
            <v>19-00883</v>
          </cell>
          <cell r="B884" t="str">
            <v>FOSTER</v>
          </cell>
          <cell r="C884" t="str">
            <v>A</v>
          </cell>
          <cell r="D884" t="str">
            <v>NO</v>
          </cell>
          <cell r="E884" t="str">
            <v>15648 FOSTER PELUCHE GOOFY 10'' C/ CAJA</v>
          </cell>
          <cell r="F884" t="str">
            <v>PLUSH</v>
          </cell>
          <cell r="G884">
            <v>15648</v>
          </cell>
          <cell r="H884" t="str">
            <v>FOSTER</v>
          </cell>
          <cell r="I884">
            <v>6.3</v>
          </cell>
        </row>
        <row r="885">
          <cell r="A885" t="str">
            <v>19-00884</v>
          </cell>
          <cell r="B885" t="str">
            <v>FOSTER</v>
          </cell>
          <cell r="C885" t="str">
            <v>A</v>
          </cell>
          <cell r="D885" t="str">
            <v>NO</v>
          </cell>
          <cell r="E885" t="str">
            <v>15649 FOSTER PELUCHE 10'' DONALD C/ CAJA</v>
          </cell>
          <cell r="F885" t="str">
            <v>PLUSH</v>
          </cell>
          <cell r="G885">
            <v>15649</v>
          </cell>
          <cell r="H885" t="str">
            <v>FOSTER</v>
          </cell>
          <cell r="I885">
            <v>6.3</v>
          </cell>
        </row>
        <row r="886">
          <cell r="A886" t="str">
            <v>19-00885</v>
          </cell>
          <cell r="B886" t="str">
            <v>FOSTER</v>
          </cell>
          <cell r="C886" t="str">
            <v>A</v>
          </cell>
          <cell r="D886" t="str">
            <v>NO</v>
          </cell>
          <cell r="E886" t="str">
            <v>15650 FOSTER PELUCHE DAISY 10'' C/ CAJA</v>
          </cell>
          <cell r="F886" t="str">
            <v>PLUSH</v>
          </cell>
          <cell r="G886">
            <v>15650</v>
          </cell>
          <cell r="H886" t="str">
            <v>FOSTER</v>
          </cell>
          <cell r="I886">
            <v>6.3</v>
          </cell>
        </row>
        <row r="887">
          <cell r="A887" t="str">
            <v>19-00886</v>
          </cell>
          <cell r="B887" t="str">
            <v>FOSTER</v>
          </cell>
          <cell r="C887" t="str">
            <v>D</v>
          </cell>
          <cell r="D887" t="str">
            <v>N/A</v>
          </cell>
          <cell r="E887" t="str">
            <v>16262 FOSTER PELUCHE 9'' BEAB BAG DISCONTINUED</v>
          </cell>
          <cell r="F887" t="str">
            <v>PLUSH</v>
          </cell>
          <cell r="G887">
            <v>16262</v>
          </cell>
          <cell r="H887" t="str">
            <v>FOSTER</v>
          </cell>
          <cell r="I887">
            <v>4.5</v>
          </cell>
        </row>
        <row r="888">
          <cell r="A888" t="str">
            <v>19-00887</v>
          </cell>
          <cell r="B888" t="str">
            <v>FOSTER</v>
          </cell>
          <cell r="C888" t="str">
            <v>D</v>
          </cell>
          <cell r="D888" t="str">
            <v>N/A</v>
          </cell>
          <cell r="E888" t="str">
            <v>16263 FOSTER PELUCHE 9'' BEAB BAG DISCONTINUED</v>
          </cell>
          <cell r="F888" t="str">
            <v>PLUSH</v>
          </cell>
          <cell r="G888">
            <v>16263</v>
          </cell>
          <cell r="H888" t="str">
            <v>FOSTER</v>
          </cell>
          <cell r="I888">
            <v>4.5</v>
          </cell>
        </row>
        <row r="889">
          <cell r="A889" t="str">
            <v>19-00888</v>
          </cell>
          <cell r="B889" t="str">
            <v>N/A</v>
          </cell>
          <cell r="C889" t="str">
            <v>D</v>
          </cell>
          <cell r="D889" t="str">
            <v>N/A</v>
          </cell>
          <cell r="E889" t="str">
            <v>NATIVO SWEATERS DE MUJER DISCONTINUED</v>
          </cell>
          <cell r="F889" t="str">
            <v>T-SHIRT</v>
          </cell>
          <cell r="G889" t="str">
            <v>25227-21</v>
          </cell>
          <cell r="H889" t="str">
            <v>NATIVO</v>
          </cell>
          <cell r="I889">
            <v>7.5</v>
          </cell>
        </row>
        <row r="890">
          <cell r="A890" t="str">
            <v>19-00889</v>
          </cell>
          <cell r="B890" t="str">
            <v>N/A</v>
          </cell>
          <cell r="C890" t="str">
            <v>D</v>
          </cell>
          <cell r="D890" t="str">
            <v>N/A</v>
          </cell>
          <cell r="E890" t="str">
            <v>NATIVO SWEATERS DE HOMBRE DISCONTINUED</v>
          </cell>
          <cell r="F890" t="str">
            <v>T-SHIRT</v>
          </cell>
          <cell r="G890" t="str">
            <v>25227-21</v>
          </cell>
          <cell r="H890" t="str">
            <v>NATIVO</v>
          </cell>
          <cell r="I890">
            <v>7.5</v>
          </cell>
        </row>
        <row r="891">
          <cell r="A891" t="str">
            <v>19-00890</v>
          </cell>
          <cell r="B891" t="str">
            <v>N/A</v>
          </cell>
          <cell r="C891" t="str">
            <v>D</v>
          </cell>
          <cell r="D891" t="str">
            <v>N/A</v>
          </cell>
          <cell r="E891" t="str">
            <v>NATIVO SWEATERS DE NINOS DISCONTINUED</v>
          </cell>
          <cell r="F891" t="str">
            <v>T-SHIRT</v>
          </cell>
          <cell r="G891" t="str">
            <v>25227-21</v>
          </cell>
          <cell r="H891" t="str">
            <v>NATIVO</v>
          </cell>
          <cell r="I891">
            <v>7.5</v>
          </cell>
        </row>
        <row r="892">
          <cell r="A892" t="str">
            <v>19-00891</v>
          </cell>
          <cell r="B892" t="str">
            <v>FOSTER</v>
          </cell>
          <cell r="C892" t="str">
            <v>D</v>
          </cell>
          <cell r="D892" t="str">
            <v>N/A</v>
          </cell>
          <cell r="E892" t="str">
            <v>59661NP FOSTER INTEX CHALECO SALVAVIDAS DISCONTINUED</v>
          </cell>
          <cell r="F892" t="str">
            <v>LIFEVEST</v>
          </cell>
          <cell r="G892" t="str">
            <v>59661NP</v>
          </cell>
          <cell r="H892" t="str">
            <v>FOSTER</v>
          </cell>
          <cell r="I892">
            <v>1.35</v>
          </cell>
        </row>
        <row r="893">
          <cell r="A893" t="str">
            <v>19-00892</v>
          </cell>
          <cell r="B893" t="str">
            <v>FOSTER</v>
          </cell>
          <cell r="C893" t="str">
            <v>D</v>
          </cell>
          <cell r="D893" t="str">
            <v>N/A</v>
          </cell>
          <cell r="E893" t="str">
            <v>56642 FOSTER INTEX ALITAS SALVAVIDAS 25x15 cms</v>
          </cell>
          <cell r="F893" t="str">
            <v>LIFEVEST</v>
          </cell>
          <cell r="G893">
            <v>56642</v>
          </cell>
          <cell r="H893" t="str">
            <v>FOSTER</v>
          </cell>
          <cell r="I893">
            <v>0.65</v>
          </cell>
        </row>
        <row r="894">
          <cell r="A894" t="str">
            <v>19-00893</v>
          </cell>
          <cell r="B894" t="str">
            <v>FOSTER</v>
          </cell>
          <cell r="C894" t="str">
            <v>D</v>
          </cell>
          <cell r="D894" t="str">
            <v>N/A</v>
          </cell>
          <cell r="E894" t="str">
            <v>58652NP FOSTER INTEX ALITAS SALVAVIDAS 23x15 cms</v>
          </cell>
          <cell r="F894" t="str">
            <v>LIFEVEST</v>
          </cell>
          <cell r="G894" t="str">
            <v>58652NP</v>
          </cell>
          <cell r="H894" t="str">
            <v>FOSTER</v>
          </cell>
          <cell r="I894">
            <v>0.7</v>
          </cell>
        </row>
        <row r="895">
          <cell r="A895" t="str">
            <v>19-00894</v>
          </cell>
          <cell r="B895" t="str">
            <v>FOSTER</v>
          </cell>
          <cell r="C895" t="str">
            <v>D</v>
          </cell>
          <cell r="D895" t="str">
            <v>N/A</v>
          </cell>
          <cell r="E895" t="str">
            <v>56644NP FOSTER POOH ALITAS SALVAVIDAS 23x15 cms</v>
          </cell>
          <cell r="F895" t="str">
            <v>LIFEVEST</v>
          </cell>
          <cell r="G895" t="str">
            <v>56644NP</v>
          </cell>
          <cell r="H895" t="str">
            <v>FOSTER</v>
          </cell>
          <cell r="I895">
            <v>0.8</v>
          </cell>
        </row>
        <row r="896">
          <cell r="A896" t="str">
            <v>19-00895</v>
          </cell>
          <cell r="B896" t="str">
            <v>TELEFOTO INT.</v>
          </cell>
          <cell r="C896" t="str">
            <v>D</v>
          </cell>
          <cell r="D896" t="str">
            <v>N/A</v>
          </cell>
          <cell r="E896" t="str">
            <v>LKCC20 LOOK MINI CARGADOR USB CON DOBLE PUERTO</v>
          </cell>
          <cell r="F896" t="str">
            <v>CHARGER</v>
          </cell>
          <cell r="G896" t="str">
            <v>LKCC20</v>
          </cell>
          <cell r="H896" t="str">
            <v>LOOK</v>
          </cell>
          <cell r="I896">
            <v>8</v>
          </cell>
        </row>
        <row r="897">
          <cell r="A897" t="str">
            <v>19-00896</v>
          </cell>
          <cell r="B897" t="str">
            <v>TELEFOTO INT.</v>
          </cell>
          <cell r="C897" t="str">
            <v>D</v>
          </cell>
          <cell r="D897" t="str">
            <v>N/A</v>
          </cell>
          <cell r="E897" t="str">
            <v>LKCPC100 LOOK CARG. DE BAT.  AA2  P/CELULAR</v>
          </cell>
          <cell r="F897" t="str">
            <v>CHARGER</v>
          </cell>
          <cell r="G897" t="str">
            <v>LKCPC100</v>
          </cell>
          <cell r="H897" t="str">
            <v>LOOK</v>
          </cell>
          <cell r="I897">
            <v>6</v>
          </cell>
        </row>
        <row r="898">
          <cell r="A898" t="str">
            <v>19-00897</v>
          </cell>
          <cell r="B898" t="str">
            <v>TELEFOTO INT.</v>
          </cell>
          <cell r="C898" t="str">
            <v>D</v>
          </cell>
          <cell r="D898" t="str">
            <v>N/A</v>
          </cell>
          <cell r="E898" t="str">
            <v>LKRC400 LOOK CARGADOR RAPIDO DE 4 BAT.2500 AMP AA/AAA 4HRS</v>
          </cell>
          <cell r="F898" t="str">
            <v>CHARGER</v>
          </cell>
          <cell r="G898" t="str">
            <v>LKRC400</v>
          </cell>
          <cell r="H898" t="str">
            <v>LOOK</v>
          </cell>
          <cell r="I898">
            <v>12</v>
          </cell>
        </row>
        <row r="899">
          <cell r="A899" t="str">
            <v>19-00898</v>
          </cell>
          <cell r="B899" t="str">
            <v>TELEFOTO INT.</v>
          </cell>
          <cell r="C899" t="str">
            <v>D</v>
          </cell>
          <cell r="D899" t="str">
            <v>N/A</v>
          </cell>
          <cell r="E899" t="str">
            <v>LKRC500 LOOK CARGADOR RAPIDO 1HR DE 4 BAT. 2700 AMP.  AA/AAA</v>
          </cell>
          <cell r="F899" t="str">
            <v>CHARGER</v>
          </cell>
          <cell r="G899" t="str">
            <v>LKRC500</v>
          </cell>
          <cell r="H899" t="str">
            <v>LOOK</v>
          </cell>
          <cell r="I899">
            <v>15</v>
          </cell>
        </row>
        <row r="900">
          <cell r="A900" t="str">
            <v>19-00899</v>
          </cell>
          <cell r="B900" t="str">
            <v>TELEFOTO INT.</v>
          </cell>
          <cell r="C900" t="str">
            <v>D</v>
          </cell>
          <cell r="D900" t="str">
            <v>N/A</v>
          </cell>
          <cell r="E900" t="str">
            <v>LKSC200 LOOK CARGADOR DE BAT 2 AA DE 2500 AMP</v>
          </cell>
          <cell r="F900" t="str">
            <v>CHARGER</v>
          </cell>
          <cell r="G900" t="str">
            <v>LKSC200</v>
          </cell>
          <cell r="H900" t="str">
            <v>LOOK</v>
          </cell>
          <cell r="I900">
            <v>5</v>
          </cell>
        </row>
        <row r="901">
          <cell r="A901" t="str">
            <v>19-00900</v>
          </cell>
          <cell r="B901" t="str">
            <v>TELEFOTO INT.</v>
          </cell>
          <cell r="C901" t="str">
            <v>D</v>
          </cell>
          <cell r="D901" t="str">
            <v>N/A</v>
          </cell>
          <cell r="E901" t="str">
            <v>LKUSB300C LOOK CARGADOR DE BATERIAS  USB AA, AAA 2 BATERIAS</v>
          </cell>
          <cell r="F901" t="str">
            <v>CHARGER</v>
          </cell>
          <cell r="G901" t="str">
            <v>LKUSB300C</v>
          </cell>
          <cell r="H901" t="str">
            <v>LOOK</v>
          </cell>
          <cell r="I901">
            <v>8</v>
          </cell>
        </row>
        <row r="902">
          <cell r="A902" t="str">
            <v>19-00901</v>
          </cell>
          <cell r="B902" t="str">
            <v>TELEFOTO INT.</v>
          </cell>
          <cell r="C902" t="str">
            <v>D</v>
          </cell>
          <cell r="D902" t="str">
            <v>N/A</v>
          </cell>
          <cell r="E902" t="str">
            <v>LKCL1790S LOOK KIT DE  LIMPIEZA DE  CAMARAS,</v>
          </cell>
          <cell r="F902" t="str">
            <v>CLEAN KIT</v>
          </cell>
          <cell r="G902" t="str">
            <v>LKCL1790S</v>
          </cell>
          <cell r="H902" t="str">
            <v>LOOK</v>
          </cell>
          <cell r="I902">
            <v>3.5</v>
          </cell>
        </row>
        <row r="903">
          <cell r="A903" t="str">
            <v>19-00902</v>
          </cell>
          <cell r="B903" t="str">
            <v>TELEFOTO INT.</v>
          </cell>
          <cell r="C903" t="str">
            <v>D</v>
          </cell>
          <cell r="D903" t="str">
            <v>N/A</v>
          </cell>
          <cell r="E903" t="str">
            <v>LKSDHC4GB LOOK MEMORIA SD HC 4GB</v>
          </cell>
          <cell r="F903" t="str">
            <v>MEMORIA</v>
          </cell>
          <cell r="G903" t="str">
            <v>LKSDHC4GB</v>
          </cell>
          <cell r="H903" t="str">
            <v>LOOK</v>
          </cell>
          <cell r="I903">
            <v>6</v>
          </cell>
        </row>
        <row r="904">
          <cell r="A904" t="str">
            <v>19-00903</v>
          </cell>
          <cell r="B904" t="str">
            <v>TELEFOTO INT.</v>
          </cell>
          <cell r="C904" t="str">
            <v>D</v>
          </cell>
          <cell r="D904" t="str">
            <v>N/A</v>
          </cell>
          <cell r="E904" t="str">
            <v>LKSDHC8GB LOOK MEMORIA SD HC 8GB</v>
          </cell>
          <cell r="F904" t="str">
            <v>MEMORIA</v>
          </cell>
          <cell r="G904" t="str">
            <v>LKSDHC8GB</v>
          </cell>
          <cell r="H904" t="str">
            <v>LOOK</v>
          </cell>
          <cell r="I904">
            <v>10</v>
          </cell>
        </row>
        <row r="905">
          <cell r="A905" t="str">
            <v>19-00904</v>
          </cell>
          <cell r="B905" t="str">
            <v>TELEFOTO INT.</v>
          </cell>
          <cell r="C905" t="str">
            <v>D</v>
          </cell>
          <cell r="D905" t="str">
            <v>N/A</v>
          </cell>
          <cell r="E905" t="str">
            <v>LKC735 LOOK CARGADOR DE  BATERIA UNIVERSAL DE LITIO</v>
          </cell>
          <cell r="F905" t="str">
            <v>CHARGER</v>
          </cell>
          <cell r="G905" t="str">
            <v>LKC735</v>
          </cell>
          <cell r="H905" t="str">
            <v>LOOK</v>
          </cell>
          <cell r="I905">
            <v>15</v>
          </cell>
        </row>
        <row r="906">
          <cell r="A906" t="str">
            <v>19-00905</v>
          </cell>
          <cell r="B906" t="str">
            <v>TELEFOTO INT.</v>
          </cell>
          <cell r="C906" t="str">
            <v>D</v>
          </cell>
          <cell r="D906" t="str">
            <v>N/A</v>
          </cell>
          <cell r="E906" t="str">
            <v>LKSUF15 LOOK CAMARA DESECHABLE PARA EXTERIORES  CON FLASH Y</v>
          </cell>
          <cell r="F906" t="str">
            <v>CAMERA</v>
          </cell>
          <cell r="G906" t="str">
            <v>LKSUF15</v>
          </cell>
          <cell r="H906" t="str">
            <v>LOOK</v>
          </cell>
          <cell r="I906">
            <v>2.95</v>
          </cell>
        </row>
        <row r="907">
          <cell r="A907" t="str">
            <v>19-00906</v>
          </cell>
          <cell r="B907" t="str">
            <v>TELEFOTO INT.</v>
          </cell>
          <cell r="C907" t="str">
            <v>D</v>
          </cell>
          <cell r="D907" t="str">
            <v>N/A</v>
          </cell>
          <cell r="E907" t="str">
            <v>LKSWP25 LOOK CAMARA ACUATICA 14 PIES DE PROFUNDIDAD, SURTIDA</v>
          </cell>
          <cell r="F907" t="str">
            <v>CAMERA</v>
          </cell>
          <cell r="G907" t="str">
            <v>LKSWP25</v>
          </cell>
          <cell r="H907" t="str">
            <v>LOOK</v>
          </cell>
          <cell r="I907">
            <v>3.5</v>
          </cell>
        </row>
        <row r="908">
          <cell r="A908" t="str">
            <v>19-00907</v>
          </cell>
          <cell r="B908" t="str">
            <v>TELEFOTO INT.</v>
          </cell>
          <cell r="C908" t="str">
            <v>D</v>
          </cell>
          <cell r="D908" t="str">
            <v>N/A</v>
          </cell>
          <cell r="E908" t="str">
            <v>LK4AARB LOOK BATERIA RECARGABLE LOOK DIGITAL DE 2500mAh 1.2v</v>
          </cell>
          <cell r="F908" t="str">
            <v>BATTERY</v>
          </cell>
          <cell r="G908" t="str">
            <v>LK4AARB</v>
          </cell>
          <cell r="H908" t="str">
            <v>LOOK</v>
          </cell>
          <cell r="I908">
            <v>5</v>
          </cell>
        </row>
        <row r="909">
          <cell r="A909" t="str">
            <v>19-00908</v>
          </cell>
          <cell r="B909" t="str">
            <v>N/A</v>
          </cell>
          <cell r="C909" t="str">
            <v>D</v>
          </cell>
          <cell r="D909" t="str">
            <v>N/A</v>
          </cell>
          <cell r="E909" t="str">
            <v>SC-TITAN-METGR SKULLCANDY TITAN EARBUD DISCONTINUED</v>
          </cell>
          <cell r="F909" t="str">
            <v>HEADPHONES</v>
          </cell>
          <cell r="G909" t="str">
            <v>SC-TITAN-METGR</v>
          </cell>
          <cell r="H909" t="str">
            <v>SKULLCANDY</v>
          </cell>
          <cell r="I909">
            <v>24.98</v>
          </cell>
        </row>
        <row r="910">
          <cell r="A910" t="str">
            <v>19-00909</v>
          </cell>
          <cell r="B910" t="str">
            <v>N/A</v>
          </cell>
          <cell r="C910" t="str">
            <v>D</v>
          </cell>
          <cell r="D910" t="str">
            <v>N/A</v>
          </cell>
          <cell r="E910" t="str">
            <v>SC-TITAN-MACRED SKULLCANDY TITAN EARBUD DISCONTINUED</v>
          </cell>
          <cell r="F910" t="str">
            <v>HEADPHONES</v>
          </cell>
          <cell r="G910" t="str">
            <v>SC-TITAN-MACRED</v>
          </cell>
          <cell r="H910" t="str">
            <v>SKULLCANDY</v>
          </cell>
          <cell r="I910">
            <v>24.98</v>
          </cell>
        </row>
        <row r="911">
          <cell r="A911" t="str">
            <v>19-00910</v>
          </cell>
          <cell r="B911" t="str">
            <v>N/A</v>
          </cell>
          <cell r="C911" t="str">
            <v>D</v>
          </cell>
          <cell r="D911" t="str">
            <v>N/A</v>
          </cell>
          <cell r="E911" t="str">
            <v>SC-TITAN-MACPINK SKULLCANDY TITAN EARBUD DISCONTINUED</v>
          </cell>
          <cell r="F911" t="str">
            <v>HEADPHONES</v>
          </cell>
          <cell r="G911" t="str">
            <v>SC-TITAN-MACPINK</v>
          </cell>
          <cell r="H911" t="str">
            <v>SKULLCANDY</v>
          </cell>
          <cell r="I911">
            <v>24.98</v>
          </cell>
        </row>
        <row r="912">
          <cell r="A912" t="str">
            <v>19-00911</v>
          </cell>
          <cell r="B912" t="str">
            <v>N/A</v>
          </cell>
          <cell r="C912" t="str">
            <v>D</v>
          </cell>
          <cell r="D912" t="str">
            <v>N/A</v>
          </cell>
          <cell r="E912" t="str">
            <v>SC-TITAN-SILVER SKULLCANDY TITAN EARBUD DISCONTINUED</v>
          </cell>
          <cell r="F912" t="str">
            <v>HEADPHONES</v>
          </cell>
          <cell r="G912" t="str">
            <v>SC-TITAN-SILVER</v>
          </cell>
          <cell r="H912" t="str">
            <v>SKULLCANDY</v>
          </cell>
          <cell r="I912">
            <v>24.98</v>
          </cell>
        </row>
        <row r="913">
          <cell r="A913" t="str">
            <v>19-00912</v>
          </cell>
          <cell r="B913" t="str">
            <v>N/A</v>
          </cell>
          <cell r="C913" t="str">
            <v>D</v>
          </cell>
          <cell r="D913" t="str">
            <v>N/A</v>
          </cell>
          <cell r="E913" t="str">
            <v>SC-TITAN-PURPLE SKULLCANDY TITAN EARBUD DISCONTINUED</v>
          </cell>
          <cell r="F913" t="str">
            <v>HEADPHONES</v>
          </cell>
          <cell r="G913" t="str">
            <v>SC-TITAN-PURPLE</v>
          </cell>
          <cell r="H913" t="str">
            <v>SKULLCANDY</v>
          </cell>
          <cell r="I913">
            <v>24.98</v>
          </cell>
        </row>
        <row r="914">
          <cell r="A914" t="str">
            <v>19-00913</v>
          </cell>
          <cell r="B914" t="str">
            <v>N/A</v>
          </cell>
          <cell r="C914" t="str">
            <v>D</v>
          </cell>
          <cell r="D914" t="str">
            <v>N/A</v>
          </cell>
          <cell r="E914" t="str">
            <v>S2TTCB-047 SKULLCANDY TITAN BLACK/CHROME DISCONTINUED</v>
          </cell>
          <cell r="F914" t="str">
            <v>HEADPHONES</v>
          </cell>
          <cell r="G914" t="str">
            <v>S2TTCB-047</v>
          </cell>
          <cell r="H914" t="str">
            <v>SKULLCANDY</v>
          </cell>
          <cell r="I914">
            <v>20</v>
          </cell>
        </row>
        <row r="915">
          <cell r="A915" t="str">
            <v>19-00914</v>
          </cell>
          <cell r="B915" t="str">
            <v>N/A</v>
          </cell>
          <cell r="C915" t="str">
            <v>D</v>
          </cell>
          <cell r="D915" t="str">
            <v>N/A</v>
          </cell>
          <cell r="E915" t="str">
            <v>S2FMCY-003 SKULLCANDY FMJ BLACK W/MIC DISCONTINUED</v>
          </cell>
          <cell r="F915" t="str">
            <v>HEADPHONES</v>
          </cell>
          <cell r="G915" t="str">
            <v>S2FMCY-003</v>
          </cell>
          <cell r="H915" t="str">
            <v>SKULLCANDY</v>
          </cell>
          <cell r="I915">
            <v>34.869999999999997</v>
          </cell>
        </row>
        <row r="916">
          <cell r="A916" t="str">
            <v>19-00915</v>
          </cell>
          <cell r="B916" t="str">
            <v>N/A</v>
          </cell>
          <cell r="C916" t="str">
            <v>D</v>
          </cell>
          <cell r="D916" t="str">
            <v>N/A</v>
          </cell>
          <cell r="E916" t="str">
            <v>S2FMCY-015 SKULLCANDY FMJ CHROME W/MIC DISCONTINUED</v>
          </cell>
          <cell r="F916" t="str">
            <v>HEADPHONES</v>
          </cell>
          <cell r="G916" t="str">
            <v>S2FMCY-015</v>
          </cell>
          <cell r="H916" t="str">
            <v>SKULLCANDY</v>
          </cell>
          <cell r="I916">
            <v>34.869999999999997</v>
          </cell>
        </row>
        <row r="917">
          <cell r="A917" t="str">
            <v>19-00916</v>
          </cell>
          <cell r="B917" t="str">
            <v>N/A</v>
          </cell>
          <cell r="C917" t="str">
            <v>D</v>
          </cell>
          <cell r="D917" t="str">
            <v>N/A</v>
          </cell>
          <cell r="E917" t="str">
            <v>S2FFDM-063 SKULLCANDY 50/50 SHOE BLUE DISCONTINUED</v>
          </cell>
          <cell r="F917" t="str">
            <v>HEADPHONES</v>
          </cell>
          <cell r="G917" t="str">
            <v>S2FFDM-063</v>
          </cell>
          <cell r="H917" t="str">
            <v>SKULLCANDY</v>
          </cell>
          <cell r="I917">
            <v>23.5</v>
          </cell>
        </row>
        <row r="918">
          <cell r="A918" t="str">
            <v>19-00917</v>
          </cell>
          <cell r="B918" t="str">
            <v>FOSTER</v>
          </cell>
          <cell r="C918" t="str">
            <v>D</v>
          </cell>
          <cell r="D918" t="str">
            <v>N/A</v>
          </cell>
          <cell r="E918" t="str">
            <v>PDP0600085 FOSTER PELUCHE 10'' C/ CAJA BAMBI DISCONTINUED</v>
          </cell>
          <cell r="F918" t="str">
            <v>PELUCHE</v>
          </cell>
          <cell r="G918" t="str">
            <v>PDP0600085</v>
          </cell>
          <cell r="H918" t="str">
            <v>FOSTER</v>
          </cell>
          <cell r="I918">
            <v>7.5</v>
          </cell>
        </row>
        <row r="919">
          <cell r="A919" t="str">
            <v>19-00918</v>
          </cell>
          <cell r="B919" t="str">
            <v>FOSTER</v>
          </cell>
          <cell r="C919" t="str">
            <v>D</v>
          </cell>
          <cell r="D919" t="str">
            <v>N/A</v>
          </cell>
          <cell r="E919" t="str">
            <v>PDP0600087 FOSTER PELUCHE 10'' C/ CAJA DUMBO DISCONTINUED</v>
          </cell>
          <cell r="F919" t="str">
            <v>PELUCHE</v>
          </cell>
          <cell r="G919" t="str">
            <v>PDP0600087</v>
          </cell>
          <cell r="H919" t="str">
            <v>FOSTER</v>
          </cell>
          <cell r="I919">
            <v>7.5</v>
          </cell>
        </row>
        <row r="920">
          <cell r="A920" t="str">
            <v>19-00919</v>
          </cell>
          <cell r="B920" t="str">
            <v>FOSTER</v>
          </cell>
          <cell r="C920" t="str">
            <v>D</v>
          </cell>
          <cell r="D920" t="str">
            <v>N/A</v>
          </cell>
          <cell r="E920" t="str">
            <v>PDP0600091 FOSTER PELUCHE 10'' C/ CAJA REY LEON DISCONTINUED</v>
          </cell>
          <cell r="F920" t="str">
            <v>PELUCHE</v>
          </cell>
          <cell r="G920" t="str">
            <v>PDP0600091</v>
          </cell>
          <cell r="H920" t="str">
            <v>FOSTER</v>
          </cell>
          <cell r="I920">
            <v>7.5</v>
          </cell>
        </row>
        <row r="921">
          <cell r="A921" t="str">
            <v>19-00920</v>
          </cell>
          <cell r="B921" t="str">
            <v>DIST. LEWIS</v>
          </cell>
          <cell r="C921" t="str">
            <v>D</v>
          </cell>
          <cell r="D921" t="str">
            <v>N/A</v>
          </cell>
          <cell r="E921" t="str">
            <v>DIST. LEWIS ESPACIOS</v>
          </cell>
          <cell r="F921" t="str">
            <v>REVISTA</v>
          </cell>
          <cell r="H921" t="str">
            <v>DIST. LEWIS</v>
          </cell>
          <cell r="I921">
            <v>0</v>
          </cell>
        </row>
        <row r="922">
          <cell r="A922" t="str">
            <v>19-00921</v>
          </cell>
          <cell r="B922" t="str">
            <v>DIST. LEWIS</v>
          </cell>
          <cell r="C922" t="str">
            <v>D</v>
          </cell>
          <cell r="D922" t="str">
            <v>N/A</v>
          </cell>
          <cell r="E922" t="str">
            <v>DIST. LEWIS NOTAS PARA TI</v>
          </cell>
          <cell r="F922" t="str">
            <v>REVISTA</v>
          </cell>
          <cell r="H922" t="str">
            <v>DIST. LEWIS</v>
          </cell>
          <cell r="I922">
            <v>0</v>
          </cell>
        </row>
        <row r="923">
          <cell r="A923" t="str">
            <v>19-00922</v>
          </cell>
          <cell r="B923" t="str">
            <v>DIST. LEWIS</v>
          </cell>
          <cell r="C923" t="str">
            <v>D</v>
          </cell>
          <cell r="D923" t="str">
            <v>N/A</v>
          </cell>
          <cell r="E923" t="str">
            <v>DIST. LEWIS MUSCULAR DEVELOPMENT LATINO MAG</v>
          </cell>
          <cell r="F923" t="str">
            <v>REVISTA</v>
          </cell>
          <cell r="H923" t="str">
            <v>DIST. LEWIS</v>
          </cell>
          <cell r="I923">
            <v>0</v>
          </cell>
        </row>
        <row r="924">
          <cell r="A924" t="str">
            <v>19-00923</v>
          </cell>
          <cell r="B924" t="str">
            <v>DIST. LEWIS</v>
          </cell>
          <cell r="C924" t="str">
            <v>D</v>
          </cell>
          <cell r="D924" t="str">
            <v>N/A</v>
          </cell>
          <cell r="E924" t="str">
            <v>DIST. LEWIS FACES / REBEL INK</v>
          </cell>
          <cell r="F924" t="str">
            <v>REVISTA</v>
          </cell>
          <cell r="H924" t="str">
            <v>DIST. LEWIS</v>
          </cell>
          <cell r="I924">
            <v>0</v>
          </cell>
        </row>
        <row r="925">
          <cell r="A925" t="str">
            <v>19-00924</v>
          </cell>
          <cell r="B925" t="str">
            <v>N/A</v>
          </cell>
          <cell r="C925" t="str">
            <v>D</v>
          </cell>
          <cell r="D925" t="str">
            <v>N/A</v>
          </cell>
          <cell r="E925" t="str">
            <v>CT102 WENGER  SHELTER CRIMSON</v>
          </cell>
          <cell r="F925" t="str">
            <v>TIENDA DE CAMPAÑA</v>
          </cell>
          <cell r="G925" t="str">
            <v>CT102</v>
          </cell>
          <cell r="H925" t="str">
            <v>WENGER</v>
          </cell>
          <cell r="I925">
            <v>0</v>
          </cell>
        </row>
        <row r="926">
          <cell r="A926" t="str">
            <v>19-00925</v>
          </cell>
          <cell r="B926" t="str">
            <v>N/A</v>
          </cell>
          <cell r="C926" t="str">
            <v>D</v>
          </cell>
          <cell r="D926" t="str">
            <v>N/A</v>
          </cell>
          <cell r="E926" t="str">
            <v>CT150 WENGER 2 PERSON FIBERGLASS POLED TENT  CRIMSON</v>
          </cell>
          <cell r="F926" t="str">
            <v>TIENDA DE CAMPAÑA</v>
          </cell>
          <cell r="G926" t="str">
            <v>CT150</v>
          </cell>
          <cell r="H926" t="str">
            <v>WENGER</v>
          </cell>
          <cell r="I926">
            <v>0</v>
          </cell>
        </row>
        <row r="927">
          <cell r="A927" t="str">
            <v>19-00926</v>
          </cell>
          <cell r="B927" t="str">
            <v>N/A</v>
          </cell>
          <cell r="C927" t="str">
            <v>D</v>
          </cell>
          <cell r="D927" t="str">
            <v>N/A</v>
          </cell>
          <cell r="E927" t="str">
            <v>CT151 WENGER 4 PERSON FIBERGLASS POLED TENT CRIMSON</v>
          </cell>
          <cell r="F927" t="str">
            <v>TIENDA DE CAMPAÑA</v>
          </cell>
          <cell r="G927" t="str">
            <v>CT151</v>
          </cell>
          <cell r="H927" t="str">
            <v>WENGER</v>
          </cell>
          <cell r="I927">
            <v>0</v>
          </cell>
        </row>
        <row r="928">
          <cell r="A928" t="str">
            <v>19-00927</v>
          </cell>
          <cell r="B928" t="str">
            <v>N/A</v>
          </cell>
          <cell r="C928" t="str">
            <v>D</v>
          </cell>
          <cell r="D928" t="str">
            <v>N/A</v>
          </cell>
          <cell r="E928" t="str">
            <v>WENGER KASTERN SLEEPING BAG BLACK</v>
          </cell>
          <cell r="F928" t="str">
            <v>BOLSAS DE DORMIR</v>
          </cell>
          <cell r="G928" t="str">
            <v>CT151</v>
          </cell>
          <cell r="H928" t="str">
            <v>WENGER</v>
          </cell>
          <cell r="I928">
            <v>0</v>
          </cell>
        </row>
        <row r="929">
          <cell r="A929" t="str">
            <v>19-00928</v>
          </cell>
          <cell r="B929" t="str">
            <v>N/A</v>
          </cell>
          <cell r="C929" t="str">
            <v>D</v>
          </cell>
          <cell r="D929" t="str">
            <v>N/A</v>
          </cell>
          <cell r="E929" t="str">
            <v>CB103 WENGER GIRLS 40 DEGREE SLEEPING BAG DARK CHEDDAR</v>
          </cell>
          <cell r="F929" t="str">
            <v>BOLSAS DE DORMIR</v>
          </cell>
          <cell r="G929" t="str">
            <v>CB103</v>
          </cell>
          <cell r="H929" t="str">
            <v>WENGER</v>
          </cell>
          <cell r="I929">
            <v>0</v>
          </cell>
        </row>
        <row r="930">
          <cell r="A930" t="str">
            <v>19-00929</v>
          </cell>
          <cell r="B930" t="str">
            <v>N/A</v>
          </cell>
          <cell r="C930" t="str">
            <v>D</v>
          </cell>
          <cell r="D930" t="str">
            <v>N/A</v>
          </cell>
          <cell r="E930" t="str">
            <v>CB104 WENGER BOYS 40 DEGREE SLEEPING BAG WOODBINE</v>
          </cell>
          <cell r="F930" t="str">
            <v>BOLSAS DE DORMIR</v>
          </cell>
          <cell r="G930" t="str">
            <v>CB104</v>
          </cell>
          <cell r="H930" t="str">
            <v>WENGER</v>
          </cell>
          <cell r="I930">
            <v>0</v>
          </cell>
        </row>
        <row r="931">
          <cell r="A931" t="str">
            <v>19-00930</v>
          </cell>
          <cell r="B931" t="str">
            <v>N/A</v>
          </cell>
          <cell r="C931" t="str">
            <v>D</v>
          </cell>
          <cell r="D931" t="str">
            <v>N/A</v>
          </cell>
          <cell r="E931" t="str">
            <v>CB106 WENGER 35 DEGREE SLEEPING BAG CHARCOAL</v>
          </cell>
          <cell r="F931" t="str">
            <v>BOLSAS DE DORMIR</v>
          </cell>
          <cell r="G931" t="str">
            <v>CB106</v>
          </cell>
          <cell r="H931" t="str">
            <v>WENGER</v>
          </cell>
          <cell r="I931">
            <v>0</v>
          </cell>
        </row>
        <row r="932">
          <cell r="A932" t="str">
            <v>19-00931</v>
          </cell>
          <cell r="B932" t="str">
            <v>N/A</v>
          </cell>
          <cell r="C932" t="str">
            <v>D</v>
          </cell>
          <cell r="D932" t="str">
            <v>N/A</v>
          </cell>
          <cell r="E932" t="str">
            <v>CB107 WENGER 25 DEGREE SLEEPING BAG CRIMSON</v>
          </cell>
          <cell r="F932" t="str">
            <v>BOLSAS DE DORMIR</v>
          </cell>
          <cell r="G932" t="str">
            <v>CB107</v>
          </cell>
          <cell r="H932" t="str">
            <v>WENGER</v>
          </cell>
          <cell r="I932">
            <v>0</v>
          </cell>
        </row>
        <row r="933">
          <cell r="A933" t="str">
            <v>19-00932</v>
          </cell>
          <cell r="B933" t="str">
            <v>N/A</v>
          </cell>
          <cell r="C933" t="str">
            <v>D</v>
          </cell>
          <cell r="D933" t="str">
            <v>N/A</v>
          </cell>
          <cell r="E933" t="str">
            <v>CB108 WENGER 45 DEGREE DOUBLEWIDE SLEEPING BAG BLACK</v>
          </cell>
          <cell r="F933" t="str">
            <v>BOLSAS DE DORMIR</v>
          </cell>
          <cell r="G933" t="str">
            <v>CB108</v>
          </cell>
          <cell r="H933" t="str">
            <v>WENGER</v>
          </cell>
          <cell r="I933">
            <v>0</v>
          </cell>
        </row>
        <row r="934">
          <cell r="A934" t="str">
            <v>19-00933</v>
          </cell>
          <cell r="B934" t="str">
            <v>N/A</v>
          </cell>
          <cell r="C934" t="str">
            <v>D</v>
          </cell>
          <cell r="D934" t="str">
            <v>N/A</v>
          </cell>
          <cell r="E934" t="str">
            <v>CS123 WENGER INSULATED PICNIC PACK COFFEE LIQUOR</v>
          </cell>
          <cell r="F934" t="str">
            <v>BOLSA DE PICNIC</v>
          </cell>
          <cell r="G934" t="str">
            <v>CS123</v>
          </cell>
          <cell r="H934" t="str">
            <v>WENGER</v>
          </cell>
          <cell r="I934">
            <v>0</v>
          </cell>
        </row>
        <row r="935">
          <cell r="A935" t="str">
            <v>19-00934</v>
          </cell>
          <cell r="B935" t="str">
            <v>N/A</v>
          </cell>
          <cell r="C935" t="str">
            <v>D</v>
          </cell>
          <cell r="D935" t="str">
            <v>N/A</v>
          </cell>
          <cell r="E935" t="str">
            <v>CS120 WENGER DUFFEL WITH SHOULDER STRAPS CHIVE</v>
          </cell>
          <cell r="F935" t="str">
            <v>BOLSA DE PICNIC</v>
          </cell>
          <cell r="G935" t="str">
            <v>CS120</v>
          </cell>
          <cell r="H935" t="str">
            <v>WENGER</v>
          </cell>
          <cell r="I935">
            <v>0</v>
          </cell>
        </row>
        <row r="936">
          <cell r="A936" t="str">
            <v>19-00935</v>
          </cell>
          <cell r="B936" t="str">
            <v>N/A</v>
          </cell>
          <cell r="C936" t="str">
            <v>D</v>
          </cell>
          <cell r="D936" t="str">
            <v>N/A</v>
          </cell>
          <cell r="E936" t="str">
            <v>CS121 WENGER STORAGE DUFFEL WITH ORGANIZING CUBES BLACK</v>
          </cell>
          <cell r="F936" t="str">
            <v>BOLSA DE PICNIC</v>
          </cell>
          <cell r="G936" t="str">
            <v>CS121</v>
          </cell>
          <cell r="H936" t="str">
            <v>WENGER</v>
          </cell>
          <cell r="I936">
            <v>0</v>
          </cell>
        </row>
        <row r="937">
          <cell r="A937" t="str">
            <v>19-00936</v>
          </cell>
          <cell r="B937" t="str">
            <v>N/A</v>
          </cell>
          <cell r="C937" t="str">
            <v>D</v>
          </cell>
          <cell r="D937" t="str">
            <v>N/A</v>
          </cell>
          <cell r="E937" t="str">
            <v>CL146 WENGER HEADLAMP RED</v>
          </cell>
          <cell r="F937" t="str">
            <v>ACCESSORIES</v>
          </cell>
          <cell r="G937" t="str">
            <v>CL146</v>
          </cell>
          <cell r="H937" t="str">
            <v>WENGER</v>
          </cell>
          <cell r="I937">
            <v>0</v>
          </cell>
        </row>
        <row r="938">
          <cell r="A938" t="str">
            <v>19-00937</v>
          </cell>
          <cell r="B938" t="str">
            <v>N/A</v>
          </cell>
          <cell r="C938" t="str">
            <v>D</v>
          </cell>
          <cell r="D938" t="str">
            <v>N/A</v>
          </cell>
          <cell r="E938" t="str">
            <v>CL139 WENGER MEDIUM LANTERN WHITE</v>
          </cell>
          <cell r="F938" t="str">
            <v>ACCESSORIES</v>
          </cell>
          <cell r="G938" t="str">
            <v>CL139</v>
          </cell>
          <cell r="H938" t="str">
            <v>WENGER</v>
          </cell>
          <cell r="I938">
            <v>0</v>
          </cell>
        </row>
        <row r="939">
          <cell r="A939" t="str">
            <v>19-00938</v>
          </cell>
          <cell r="B939" t="str">
            <v>N/A</v>
          </cell>
          <cell r="C939" t="str">
            <v>D</v>
          </cell>
          <cell r="D939" t="str">
            <v>N/A</v>
          </cell>
          <cell r="E939" t="str">
            <v>CL140 WENGER LARGE LANTERN CLEAR RED</v>
          </cell>
          <cell r="F939" t="str">
            <v>ACCESSORIES</v>
          </cell>
          <cell r="G939" t="str">
            <v>CL140</v>
          </cell>
          <cell r="H939" t="str">
            <v>WENGER</v>
          </cell>
          <cell r="I939">
            <v>0</v>
          </cell>
        </row>
        <row r="940">
          <cell r="A940" t="str">
            <v>19-00939</v>
          </cell>
          <cell r="B940" t="str">
            <v>N/A</v>
          </cell>
          <cell r="C940" t="str">
            <v>D</v>
          </cell>
          <cell r="D940" t="str">
            <v>N/A</v>
          </cell>
          <cell r="E940" t="str">
            <v>CL148 WENGER COMBINATION LANTERN GOLD</v>
          </cell>
          <cell r="F940" t="str">
            <v>ACCESSORIES</v>
          </cell>
          <cell r="G940" t="str">
            <v>CL148</v>
          </cell>
          <cell r="H940" t="str">
            <v>WENGER</v>
          </cell>
          <cell r="I940">
            <v>0</v>
          </cell>
        </row>
        <row r="941">
          <cell r="A941" t="str">
            <v>19-00940</v>
          </cell>
          <cell r="B941" t="str">
            <v>N/A</v>
          </cell>
          <cell r="C941" t="str">
            <v>D</v>
          </cell>
          <cell r="D941" t="str">
            <v>N/A</v>
          </cell>
          <cell r="E941" t="str">
            <v>CO142 WENGER BASIC CAMP PILLOW DARK GULL GREY</v>
          </cell>
          <cell r="F941" t="str">
            <v>ACCESSORIES</v>
          </cell>
          <cell r="G941" t="str">
            <v>CO142</v>
          </cell>
          <cell r="H941" t="str">
            <v>WENGER</v>
          </cell>
          <cell r="I941">
            <v>0</v>
          </cell>
        </row>
        <row r="942">
          <cell r="A942" t="str">
            <v>19-00941</v>
          </cell>
          <cell r="B942" t="str">
            <v>N/A</v>
          </cell>
          <cell r="C942" t="str">
            <v>D</v>
          </cell>
          <cell r="D942" t="str">
            <v>N/A</v>
          </cell>
          <cell r="E942" t="str">
            <v>CO143 WENGER DELUXE  CAMP PILLOW DARK GULL GREY</v>
          </cell>
          <cell r="F942" t="str">
            <v>ACCESSORIES</v>
          </cell>
          <cell r="G942" t="str">
            <v>CO143</v>
          </cell>
          <cell r="H942" t="str">
            <v>WENGER</v>
          </cell>
          <cell r="I942">
            <v>0</v>
          </cell>
        </row>
        <row r="943">
          <cell r="A943" t="str">
            <v>19-00942</v>
          </cell>
          <cell r="B943" t="str">
            <v>N/A</v>
          </cell>
          <cell r="C943" t="str">
            <v>D</v>
          </cell>
          <cell r="D943" t="str">
            <v>N/A</v>
          </cell>
          <cell r="E943" t="str">
            <v>CF145 WENGER LARGE QUAD CHAIR DARK GREEN/LIGHT GREEN</v>
          </cell>
          <cell r="F943" t="str">
            <v>MUEBLES</v>
          </cell>
          <cell r="G943" t="str">
            <v>CF145</v>
          </cell>
          <cell r="H943" t="str">
            <v>WENGER</v>
          </cell>
          <cell r="I943">
            <v>0</v>
          </cell>
        </row>
        <row r="944">
          <cell r="A944" t="str">
            <v>19-00943</v>
          </cell>
          <cell r="B944" t="str">
            <v>N/A</v>
          </cell>
          <cell r="C944" t="str">
            <v>D</v>
          </cell>
          <cell r="D944" t="str">
            <v>N/A</v>
          </cell>
          <cell r="E944" t="str">
            <v>SWISSBRAND U25 TA-004/UNIVERSAL ADAPTER BLACK</v>
          </cell>
          <cell r="F944" t="str">
            <v>ACCESORIES</v>
          </cell>
          <cell r="G944" t="str">
            <v>U25</v>
          </cell>
          <cell r="H944" t="str">
            <v>SWISSBRAND</v>
          </cell>
          <cell r="I944">
            <v>0</v>
          </cell>
        </row>
        <row r="945">
          <cell r="A945" t="str">
            <v>19-00944</v>
          </cell>
          <cell r="B945" t="str">
            <v>N/A</v>
          </cell>
          <cell r="C945" t="str">
            <v>D</v>
          </cell>
          <cell r="D945" t="str">
            <v>N/A</v>
          </cell>
          <cell r="E945" t="str">
            <v>SWISSBRAND U25 TA-006/USB PORT ADAPTER BLACK</v>
          </cell>
          <cell r="F945" t="str">
            <v>ACCESORIES</v>
          </cell>
          <cell r="G945" t="str">
            <v>U25</v>
          </cell>
          <cell r="H945" t="str">
            <v>SWISSBRAND</v>
          </cell>
          <cell r="I945">
            <v>0</v>
          </cell>
        </row>
        <row r="946">
          <cell r="A946" t="str">
            <v>19-00945</v>
          </cell>
          <cell r="B946" t="str">
            <v>N/A</v>
          </cell>
          <cell r="C946" t="str">
            <v>D</v>
          </cell>
          <cell r="D946" t="str">
            <v>N/A</v>
          </cell>
          <cell r="E946" t="str">
            <v>SWISSBRAND U25 TCP-004/PILLOW TRAVEL BLACK</v>
          </cell>
          <cell r="F946" t="str">
            <v>ACCESORIES</v>
          </cell>
          <cell r="G946" t="str">
            <v>U25</v>
          </cell>
          <cell r="H946" t="str">
            <v>SWISSBRAND</v>
          </cell>
          <cell r="I946">
            <v>0</v>
          </cell>
        </row>
        <row r="947">
          <cell r="A947" t="str">
            <v>19-00946</v>
          </cell>
          <cell r="B947" t="str">
            <v>N/A</v>
          </cell>
          <cell r="C947" t="str">
            <v>D</v>
          </cell>
          <cell r="D947" t="str">
            <v>N/A</v>
          </cell>
          <cell r="E947" t="str">
            <v>SWISSBRAND U25 TAS-002/LUGGAGE STRAP BLACK/METAL</v>
          </cell>
          <cell r="F947" t="str">
            <v>ACCESORIES</v>
          </cell>
          <cell r="G947" t="str">
            <v>U25</v>
          </cell>
          <cell r="H947" t="str">
            <v>SWISSBRAND</v>
          </cell>
          <cell r="I947">
            <v>0</v>
          </cell>
        </row>
        <row r="948">
          <cell r="A948" t="str">
            <v>19-00947</v>
          </cell>
          <cell r="B948" t="str">
            <v>N/A</v>
          </cell>
          <cell r="C948" t="str">
            <v>D</v>
          </cell>
          <cell r="D948" t="str">
            <v>N/A</v>
          </cell>
          <cell r="E948" t="str">
            <v>SWISSBRAND U25 TAS-004/LOCKS BLACK/METAL</v>
          </cell>
          <cell r="F948" t="str">
            <v>ACCESORIES</v>
          </cell>
          <cell r="G948" t="str">
            <v>U25</v>
          </cell>
          <cell r="H948" t="str">
            <v>SWISSBRAND</v>
          </cell>
          <cell r="I948">
            <v>0</v>
          </cell>
        </row>
        <row r="949">
          <cell r="A949" t="str">
            <v>19-00948</v>
          </cell>
          <cell r="B949" t="str">
            <v>N/A</v>
          </cell>
          <cell r="C949" t="str">
            <v>D</v>
          </cell>
          <cell r="D949" t="str">
            <v>N/A</v>
          </cell>
          <cell r="E949" t="str">
            <v>SWISSBRAND U25 TAS-024/LOCKS BLACK/METAL</v>
          </cell>
          <cell r="F949" t="str">
            <v>ACCESORIES</v>
          </cell>
          <cell r="G949" t="str">
            <v>U25</v>
          </cell>
          <cell r="H949" t="str">
            <v>SWISSBRAND</v>
          </cell>
          <cell r="I949">
            <v>0</v>
          </cell>
        </row>
        <row r="950">
          <cell r="A950" t="str">
            <v>19-00949</v>
          </cell>
          <cell r="B950" t="str">
            <v>N/A</v>
          </cell>
          <cell r="C950" t="str">
            <v>D</v>
          </cell>
          <cell r="D950" t="str">
            <v>N/A</v>
          </cell>
          <cell r="E950" t="str">
            <v>S2INDZ-022 SKULLCANDY  INK EARBIDS GOLD DISCONTINUED</v>
          </cell>
          <cell r="F950" t="str">
            <v>AUDIFONOS</v>
          </cell>
          <cell r="G950" t="str">
            <v>S2INDZ-022</v>
          </cell>
          <cell r="H950" t="str">
            <v>SKULLCANDY</v>
          </cell>
          <cell r="I950">
            <v>11</v>
          </cell>
        </row>
        <row r="951">
          <cell r="A951" t="str">
            <v>19-00950</v>
          </cell>
          <cell r="B951" t="str">
            <v>N/A</v>
          </cell>
          <cell r="C951" t="str">
            <v>D</v>
          </cell>
          <cell r="D951" t="str">
            <v>N/A</v>
          </cell>
          <cell r="E951" t="str">
            <v>S2BLDY-058 SKULLCANDY  RIOT RASTA IN EARPHONES DISCONTINUED</v>
          </cell>
          <cell r="F951" t="str">
            <v>AUDIFONOS</v>
          </cell>
          <cell r="G951" t="str">
            <v>S2BLDY-058</v>
          </cell>
          <cell r="H951" t="str">
            <v>SKULLCANDY</v>
          </cell>
          <cell r="I951">
            <v>10</v>
          </cell>
        </row>
        <row r="952">
          <cell r="A952" t="str">
            <v>19-00951</v>
          </cell>
          <cell r="B952" t="str">
            <v>DIST. LEWIS</v>
          </cell>
          <cell r="C952" t="str">
            <v>A</v>
          </cell>
          <cell r="D952" t="str">
            <v>NO</v>
          </cell>
          <cell r="E952" t="str">
            <v>ALIENTO  AYERS,JACKIE</v>
          </cell>
          <cell r="F952" t="str">
            <v>BOOK</v>
          </cell>
          <cell r="G952">
            <v>520506280</v>
          </cell>
          <cell r="H952" t="str">
            <v>DIST. LEWIS</v>
          </cell>
          <cell r="I952">
            <v>17.47</v>
          </cell>
        </row>
        <row r="953">
          <cell r="A953" t="str">
            <v>19-00952</v>
          </cell>
          <cell r="B953" t="str">
            <v>DIST. LEWIS</v>
          </cell>
          <cell r="C953" t="str">
            <v>A</v>
          </cell>
          <cell r="D953" t="str">
            <v>NO</v>
          </cell>
          <cell r="E953" t="str">
            <v>AURORA BOREAL  LARSSON,ASA</v>
          </cell>
          <cell r="F953" t="str">
            <v>BOOK</v>
          </cell>
          <cell r="G953">
            <v>520506246</v>
          </cell>
          <cell r="H953" t="str">
            <v>DIST. LEWIS</v>
          </cell>
          <cell r="I953">
            <v>18.170000000000002</v>
          </cell>
        </row>
        <row r="954">
          <cell r="A954" t="str">
            <v>19-00953</v>
          </cell>
          <cell r="B954" t="str">
            <v>DIST. LEWIS</v>
          </cell>
          <cell r="C954" t="str">
            <v>A</v>
          </cell>
          <cell r="D954" t="str">
            <v>NO</v>
          </cell>
          <cell r="E954" t="str">
            <v>ARTE DE NO AMARGARSE LA VIDA, EL  SANTANDREU,RAFAEL</v>
          </cell>
          <cell r="F954" t="str">
            <v>BOOK</v>
          </cell>
          <cell r="G954">
            <v>520507695</v>
          </cell>
          <cell r="H954" t="str">
            <v>DIST. LEWIS</v>
          </cell>
          <cell r="I954">
            <v>18.170000000000002</v>
          </cell>
        </row>
        <row r="955">
          <cell r="A955" t="str">
            <v>19-00954</v>
          </cell>
          <cell r="B955" t="str">
            <v>DIST. LEWIS</v>
          </cell>
          <cell r="C955" t="str">
            <v>A</v>
          </cell>
          <cell r="D955" t="str">
            <v>NO</v>
          </cell>
          <cell r="E955" t="str">
            <v>BOSQUE DE LOS PIGMEOS ALLENDE,ISABEL</v>
          </cell>
          <cell r="F955" t="str">
            <v>BOOK</v>
          </cell>
          <cell r="G955">
            <v>520511239</v>
          </cell>
          <cell r="H955" t="str">
            <v>DIST. LEWIS</v>
          </cell>
          <cell r="I955">
            <v>0</v>
          </cell>
        </row>
        <row r="956">
          <cell r="A956" t="str">
            <v>19-00955</v>
          </cell>
          <cell r="B956" t="str">
            <v>DIST. LEWIS</v>
          </cell>
          <cell r="C956" t="str">
            <v>A</v>
          </cell>
          <cell r="D956" t="str">
            <v>NO</v>
          </cell>
          <cell r="E956" t="str">
            <v>DE AMOR Y DE SOMBRA ALLENDE,ISABEL</v>
          </cell>
          <cell r="F956" t="str">
            <v>BOOK</v>
          </cell>
          <cell r="G956">
            <v>520504702</v>
          </cell>
          <cell r="H956" t="str">
            <v>DIST. LEWIS</v>
          </cell>
          <cell r="I956">
            <v>0</v>
          </cell>
        </row>
        <row r="957">
          <cell r="A957" t="str">
            <v>19-00956</v>
          </cell>
          <cell r="B957" t="str">
            <v>DIST. LEWIS</v>
          </cell>
          <cell r="C957" t="str">
            <v>A</v>
          </cell>
          <cell r="D957" t="str">
            <v>NO</v>
          </cell>
          <cell r="E957" t="str">
            <v>JUSTIN BIEBER, MI HISTORIA BIEBER, JUSTIN</v>
          </cell>
          <cell r="F957" t="str">
            <v>BOOK</v>
          </cell>
          <cell r="G957">
            <v>520506433</v>
          </cell>
          <cell r="H957" t="str">
            <v>DIST. LEWIS</v>
          </cell>
          <cell r="I957">
            <v>0</v>
          </cell>
        </row>
        <row r="958">
          <cell r="A958" t="str">
            <v>19-00957</v>
          </cell>
          <cell r="B958" t="str">
            <v>DIST. LEWIS</v>
          </cell>
          <cell r="C958" t="str">
            <v>A</v>
          </cell>
          <cell r="D958" t="str">
            <v>NO</v>
          </cell>
          <cell r="E958" t="str">
            <v>101 MODOS DE OLVIDAR A TU EX BOSCO,FEDERICA</v>
          </cell>
          <cell r="F958" t="str">
            <v>BOOK</v>
          </cell>
          <cell r="G958">
            <v>520507692</v>
          </cell>
          <cell r="H958" t="str">
            <v>DIST. LEWIS</v>
          </cell>
          <cell r="I958">
            <v>0</v>
          </cell>
        </row>
        <row r="959">
          <cell r="A959" t="str">
            <v>19-00958</v>
          </cell>
          <cell r="B959" t="str">
            <v>DIST. LEWIS</v>
          </cell>
          <cell r="C959" t="str">
            <v>A</v>
          </cell>
          <cell r="D959" t="str">
            <v>NO</v>
          </cell>
          <cell r="E959" t="str">
            <v>DEMONIO Y LA SENORITA PRYM COELHO,PAULO</v>
          </cell>
          <cell r="F959" t="str">
            <v>BOOK</v>
          </cell>
          <cell r="G959">
            <v>520511457</v>
          </cell>
          <cell r="H959" t="str">
            <v>DIST. LEWIS</v>
          </cell>
          <cell r="I959">
            <v>9.77</v>
          </cell>
        </row>
        <row r="960">
          <cell r="A960" t="str">
            <v>19-00959</v>
          </cell>
          <cell r="B960" t="str">
            <v>DIST. LEWIS</v>
          </cell>
          <cell r="C960" t="str">
            <v>A</v>
          </cell>
          <cell r="D960" t="str">
            <v>NO</v>
          </cell>
          <cell r="E960" t="str">
            <v>VENCEDOR ESTA SOLO,EL COELHO,PAULO</v>
          </cell>
          <cell r="F960" t="str">
            <v>BOOK</v>
          </cell>
          <cell r="G960">
            <v>522705650</v>
          </cell>
          <cell r="H960" t="str">
            <v>DIST. LEWIS</v>
          </cell>
          <cell r="I960">
            <v>0</v>
          </cell>
        </row>
        <row r="961">
          <cell r="A961" t="str">
            <v>19-00960</v>
          </cell>
          <cell r="B961" t="str">
            <v>DIST. LEWIS</v>
          </cell>
          <cell r="C961" t="str">
            <v>A</v>
          </cell>
          <cell r="D961" t="str">
            <v>NO</v>
          </cell>
          <cell r="E961" t="str">
            <v>ZAHIR,EL COELHO,PAULO</v>
          </cell>
          <cell r="F961" t="str">
            <v>BOOK</v>
          </cell>
          <cell r="G961">
            <v>520511263</v>
          </cell>
          <cell r="H961" t="str">
            <v>DIST. LEWIS</v>
          </cell>
          <cell r="I961">
            <v>0</v>
          </cell>
        </row>
        <row r="962">
          <cell r="A962" t="str">
            <v>19-00961</v>
          </cell>
          <cell r="B962" t="str">
            <v>DIST. LEWIS</v>
          </cell>
          <cell r="C962" t="str">
            <v>A</v>
          </cell>
          <cell r="D962" t="str">
            <v>NO</v>
          </cell>
          <cell r="E962" t="str">
            <v>MOSQUETEROS DE GUARDIOLA, LOS CUBEIRO,LUAN C</v>
          </cell>
          <cell r="F962" t="str">
            <v>BOOK</v>
          </cell>
          <cell r="G962">
            <v>520506543</v>
          </cell>
          <cell r="H962" t="str">
            <v>DIST. LEWIS</v>
          </cell>
          <cell r="I962">
            <v>0</v>
          </cell>
        </row>
        <row r="963">
          <cell r="A963" t="str">
            <v>19-00962</v>
          </cell>
          <cell r="B963" t="str">
            <v>DIST. LEWIS</v>
          </cell>
          <cell r="C963" t="str">
            <v>A</v>
          </cell>
          <cell r="D963" t="str">
            <v>NO</v>
          </cell>
          <cell r="E963" t="str">
            <v>COMO ENCONTRAR A TU PRINCIPE AZUL HELMANIS,LISA</v>
          </cell>
          <cell r="F963" t="str">
            <v>BOOK</v>
          </cell>
          <cell r="G963">
            <v>522611453</v>
          </cell>
          <cell r="H963" t="str">
            <v>DIST. LEWIS</v>
          </cell>
          <cell r="I963">
            <v>12.57</v>
          </cell>
        </row>
        <row r="964">
          <cell r="A964" t="str">
            <v>19-00963</v>
          </cell>
          <cell r="B964" t="str">
            <v>ORKHON GROUP</v>
          </cell>
          <cell r="C964" t="str">
            <v>A</v>
          </cell>
          <cell r="D964" t="str">
            <v>N/A</v>
          </cell>
          <cell r="E964" t="str">
            <v>2E-5657/0910-10 ALTAMAR BRACELET</v>
          </cell>
          <cell r="F964" t="str">
            <v>BRAZALETE</v>
          </cell>
          <cell r="G964">
            <v>107185</v>
          </cell>
          <cell r="H964" t="str">
            <v>ALTAMAR</v>
          </cell>
          <cell r="I964">
            <v>0.98</v>
          </cell>
        </row>
        <row r="965">
          <cell r="A965" t="str">
            <v>19-00964</v>
          </cell>
          <cell r="B965" t="str">
            <v>ORKHON GROUP</v>
          </cell>
          <cell r="C965" t="str">
            <v>A</v>
          </cell>
          <cell r="D965" t="str">
            <v>N/A</v>
          </cell>
          <cell r="E965" t="str">
            <v>2E-5823/SM120 ALTAMAR PULSERA</v>
          </cell>
          <cell r="F965" t="str">
            <v>PULSERA</v>
          </cell>
          <cell r="G965">
            <v>107355</v>
          </cell>
          <cell r="H965" t="str">
            <v>ALTAMAR</v>
          </cell>
          <cell r="I965">
            <v>0.98</v>
          </cell>
        </row>
        <row r="966">
          <cell r="A966" t="str">
            <v>19-00965</v>
          </cell>
          <cell r="B966" t="str">
            <v>ORKHON GROUP</v>
          </cell>
          <cell r="C966" t="str">
            <v>A</v>
          </cell>
          <cell r="D966" t="str">
            <v>N/A</v>
          </cell>
          <cell r="E966" t="str">
            <v>2E-5759/SM131 ALTAMAR COLLAR</v>
          </cell>
          <cell r="F966" t="str">
            <v>COLLAR</v>
          </cell>
          <cell r="G966">
            <v>107356</v>
          </cell>
          <cell r="H966" t="str">
            <v>ALTAMAR</v>
          </cell>
          <cell r="I966">
            <v>1.55</v>
          </cell>
        </row>
        <row r="967">
          <cell r="A967" t="str">
            <v>19-00966</v>
          </cell>
          <cell r="B967" t="str">
            <v>ORKHON GROUP</v>
          </cell>
          <cell r="C967" t="str">
            <v>A</v>
          </cell>
          <cell r="D967" t="str">
            <v>N/A</v>
          </cell>
          <cell r="E967" t="str">
            <v>38547/BX792 ALTAMAR SOMBRERO</v>
          </cell>
          <cell r="F967" t="str">
            <v>SOMBRERO</v>
          </cell>
          <cell r="G967">
            <v>114002</v>
          </cell>
          <cell r="H967" t="str">
            <v>ALTAMAR</v>
          </cell>
          <cell r="I967">
            <v>5.92</v>
          </cell>
        </row>
        <row r="968">
          <cell r="A968" t="str">
            <v>19-00967</v>
          </cell>
          <cell r="B968" t="str">
            <v>ORKHON GROUP</v>
          </cell>
          <cell r="C968" t="str">
            <v>A</v>
          </cell>
          <cell r="D968" t="str">
            <v>N/A</v>
          </cell>
          <cell r="E968" t="str">
            <v>38547/BX693 ALTAMAR SOMBRERO</v>
          </cell>
          <cell r="F968" t="str">
            <v>SOMBRERO</v>
          </cell>
          <cell r="G968">
            <v>114005</v>
          </cell>
          <cell r="H968" t="str">
            <v>ALTAMAR</v>
          </cell>
          <cell r="I968">
            <v>5.92</v>
          </cell>
        </row>
        <row r="969">
          <cell r="A969" t="str">
            <v>19-00968</v>
          </cell>
          <cell r="B969" t="str">
            <v>ORKHON GROUP</v>
          </cell>
          <cell r="C969" t="str">
            <v>A</v>
          </cell>
          <cell r="D969" t="str">
            <v>N/A</v>
          </cell>
          <cell r="E969" t="str">
            <v>38547/BN78 ALTAMAR SOMBRERO</v>
          </cell>
          <cell r="F969" t="str">
            <v>SOMBRERO</v>
          </cell>
          <cell r="G969">
            <v>114011</v>
          </cell>
          <cell r="H969" t="str">
            <v>ALTAMAR</v>
          </cell>
          <cell r="I969">
            <v>6.91</v>
          </cell>
        </row>
        <row r="970">
          <cell r="A970" t="str">
            <v>19-00969</v>
          </cell>
          <cell r="B970" t="str">
            <v>ORKHON GROUP</v>
          </cell>
          <cell r="C970" t="str">
            <v>A</v>
          </cell>
          <cell r="D970" t="str">
            <v>N/A</v>
          </cell>
          <cell r="E970" t="str">
            <v>1F-11022/1107-290 ALTAMAR BOLSO DE PLAYA</v>
          </cell>
          <cell r="F970" t="str">
            <v>BOLSO</v>
          </cell>
          <cell r="G970">
            <v>114140</v>
          </cell>
          <cell r="H970" t="str">
            <v>ALTAMAR</v>
          </cell>
          <cell r="I970">
            <v>13</v>
          </cell>
        </row>
        <row r="971">
          <cell r="A971" t="str">
            <v>19-00970</v>
          </cell>
          <cell r="B971" t="str">
            <v>ORKHON GROUP</v>
          </cell>
          <cell r="C971" t="str">
            <v>A</v>
          </cell>
          <cell r="D971" t="str">
            <v>N/A</v>
          </cell>
          <cell r="E971" t="str">
            <v>1F-11022/1107-292 ALTAMAR BOLSO DE PLAYA</v>
          </cell>
          <cell r="F971" t="str">
            <v>BOLSO</v>
          </cell>
          <cell r="G971">
            <v>114141</v>
          </cell>
          <cell r="H971" t="str">
            <v>ALTAMAR</v>
          </cell>
          <cell r="I971">
            <v>20</v>
          </cell>
        </row>
        <row r="972">
          <cell r="A972" t="str">
            <v>19-00971</v>
          </cell>
          <cell r="B972" t="str">
            <v>ORKHON GROUP</v>
          </cell>
          <cell r="C972" t="str">
            <v>A</v>
          </cell>
          <cell r="D972" t="str">
            <v>N/A</v>
          </cell>
          <cell r="E972" t="str">
            <v>1F-11022/1107-291 ALTAMAR BOLSO DE PLAYA</v>
          </cell>
          <cell r="F972" t="str">
            <v>BOLSO</v>
          </cell>
          <cell r="G972">
            <v>114143</v>
          </cell>
          <cell r="H972" t="str">
            <v>ALTAMAR</v>
          </cell>
          <cell r="I972">
            <v>15</v>
          </cell>
        </row>
        <row r="973">
          <cell r="A973" t="str">
            <v>19-00972</v>
          </cell>
          <cell r="B973" t="str">
            <v>ORKHON GROUP</v>
          </cell>
          <cell r="C973" t="str">
            <v>A</v>
          </cell>
          <cell r="D973" t="str">
            <v>N/A</v>
          </cell>
          <cell r="E973" t="str">
            <v>1F-11022/1107-287 ALTAMAR BOLSO DE PLAYA</v>
          </cell>
          <cell r="F973" t="str">
            <v>BOLSO</v>
          </cell>
          <cell r="G973">
            <v>114144</v>
          </cell>
          <cell r="H973" t="str">
            <v>ALTAMAR</v>
          </cell>
          <cell r="I973">
            <v>13.75</v>
          </cell>
        </row>
        <row r="974">
          <cell r="A974" t="str">
            <v>19-00973</v>
          </cell>
          <cell r="B974" t="str">
            <v>ORKHON GROUP</v>
          </cell>
          <cell r="C974" t="str">
            <v>A</v>
          </cell>
          <cell r="D974" t="str">
            <v>N/A</v>
          </cell>
          <cell r="E974" t="str">
            <v>1F-11022/1107-288 ALTAMAR BOLSO DE PLAYA</v>
          </cell>
          <cell r="F974" t="str">
            <v>BOLSO</v>
          </cell>
          <cell r="G974">
            <v>114145</v>
          </cell>
          <cell r="H974" t="str">
            <v>ALTAMAR</v>
          </cell>
          <cell r="I974">
            <v>15.4</v>
          </cell>
        </row>
        <row r="975">
          <cell r="A975" t="str">
            <v>19-00974</v>
          </cell>
          <cell r="B975" t="str">
            <v>ORKHON GROUP</v>
          </cell>
          <cell r="C975" t="str">
            <v>A</v>
          </cell>
          <cell r="D975" t="str">
            <v>N/A</v>
          </cell>
          <cell r="E975" t="str">
            <v>1F-11022/1107-286 ALTAMAR BOLSO DE PLAYA</v>
          </cell>
          <cell r="F975" t="str">
            <v>BOLSO</v>
          </cell>
          <cell r="G975">
            <v>114146</v>
          </cell>
          <cell r="H975" t="str">
            <v>ALTAMAR</v>
          </cell>
          <cell r="I975">
            <v>8.8000000000000007</v>
          </cell>
        </row>
        <row r="976">
          <cell r="A976" t="str">
            <v>19-00975</v>
          </cell>
          <cell r="B976" t="str">
            <v>ORKHON GROUP</v>
          </cell>
          <cell r="C976" t="str">
            <v>A</v>
          </cell>
          <cell r="D976" t="str">
            <v>N/A</v>
          </cell>
          <cell r="E976" t="str">
            <v>46298/F42054 ALTAMAR PAREO</v>
          </cell>
          <cell r="F976" t="str">
            <v>PAREO</v>
          </cell>
          <cell r="G976">
            <v>114231</v>
          </cell>
          <cell r="H976" t="str">
            <v>ALTAMAR</v>
          </cell>
          <cell r="I976">
            <v>10.15</v>
          </cell>
        </row>
        <row r="977">
          <cell r="A977" t="str">
            <v>19-00976</v>
          </cell>
          <cell r="B977" t="str">
            <v>ORKHON GROUP</v>
          </cell>
          <cell r="C977" t="str">
            <v>A</v>
          </cell>
          <cell r="D977" t="str">
            <v>N/A</v>
          </cell>
          <cell r="E977" t="str">
            <v>46298/1107-338 ALTAMAR PAREO</v>
          </cell>
          <cell r="F977" t="str">
            <v>PAREO</v>
          </cell>
          <cell r="G977">
            <v>114233</v>
          </cell>
          <cell r="H977" t="str">
            <v>ALTAMAR</v>
          </cell>
          <cell r="I977">
            <v>8.33</v>
          </cell>
        </row>
        <row r="978">
          <cell r="A978" t="str">
            <v>19-00977</v>
          </cell>
          <cell r="B978" t="str">
            <v>ORKHON GROUP</v>
          </cell>
          <cell r="C978" t="str">
            <v>A</v>
          </cell>
          <cell r="D978" t="str">
            <v>N/A</v>
          </cell>
          <cell r="E978" t="str">
            <v>46298/1274 ALTAMAR PAREO</v>
          </cell>
          <cell r="F978" t="str">
            <v>PAREO</v>
          </cell>
          <cell r="G978">
            <v>114234</v>
          </cell>
          <cell r="H978" t="str">
            <v>ALTAMAR</v>
          </cell>
          <cell r="I978">
            <v>11.37</v>
          </cell>
        </row>
        <row r="979">
          <cell r="A979" t="str">
            <v>19-00978</v>
          </cell>
          <cell r="B979" t="str">
            <v>ORKHON GROUP</v>
          </cell>
          <cell r="C979" t="str">
            <v>A</v>
          </cell>
          <cell r="D979" t="str">
            <v>N/A</v>
          </cell>
          <cell r="E979" t="str">
            <v>46298/1201 ALTAMAR PAREO</v>
          </cell>
          <cell r="F979" t="str">
            <v>PAREO</v>
          </cell>
          <cell r="G979">
            <v>114235</v>
          </cell>
          <cell r="H979" t="str">
            <v>ALTAMAR</v>
          </cell>
          <cell r="I979">
            <v>11.37</v>
          </cell>
        </row>
        <row r="980">
          <cell r="A980" t="str">
            <v>19-00979</v>
          </cell>
          <cell r="B980" t="str">
            <v>ORKHON GROUP</v>
          </cell>
          <cell r="C980" t="str">
            <v>A</v>
          </cell>
          <cell r="D980" t="str">
            <v>N/A</v>
          </cell>
          <cell r="E980" t="str">
            <v>46265/1107-349 ALTAMAR PAREO</v>
          </cell>
          <cell r="F980" t="str">
            <v>PAREO</v>
          </cell>
          <cell r="G980">
            <v>114474</v>
          </cell>
          <cell r="H980" t="str">
            <v>ALTAMAR</v>
          </cell>
          <cell r="I980">
            <v>3.38</v>
          </cell>
        </row>
        <row r="981">
          <cell r="A981" t="str">
            <v>19-00980</v>
          </cell>
          <cell r="B981" t="str">
            <v>ORKHON GROUP</v>
          </cell>
          <cell r="C981" t="str">
            <v>A</v>
          </cell>
          <cell r="D981" t="str">
            <v>N/A</v>
          </cell>
          <cell r="E981" t="str">
            <v>46265/1107-352 ALTAMAR PAREO</v>
          </cell>
          <cell r="F981" t="str">
            <v>PAREO</v>
          </cell>
          <cell r="G981">
            <v>114476</v>
          </cell>
          <cell r="H981" t="str">
            <v>ALTAMAR</v>
          </cell>
          <cell r="I981">
            <v>3.38</v>
          </cell>
        </row>
        <row r="982">
          <cell r="A982" t="str">
            <v>19-00981</v>
          </cell>
          <cell r="B982" t="str">
            <v>ORKHON GROUP</v>
          </cell>
          <cell r="C982" t="str">
            <v>A</v>
          </cell>
          <cell r="D982" t="str">
            <v>N/A</v>
          </cell>
          <cell r="E982" t="str">
            <v>38774/1107-325 ALTAMAR HAT</v>
          </cell>
          <cell r="F982" t="str">
            <v>SOMBRERO</v>
          </cell>
          <cell r="G982">
            <v>114507</v>
          </cell>
          <cell r="H982" t="str">
            <v>ALTAMAR</v>
          </cell>
          <cell r="I982">
            <v>5.94</v>
          </cell>
        </row>
        <row r="983">
          <cell r="A983" t="str">
            <v>19-00982</v>
          </cell>
          <cell r="B983" t="str">
            <v>ORKHON GROUP</v>
          </cell>
          <cell r="C983" t="str">
            <v>A</v>
          </cell>
          <cell r="D983" t="str">
            <v>N/A</v>
          </cell>
          <cell r="E983" t="str">
            <v>38774/1107-326 ALTAMAR HAT</v>
          </cell>
          <cell r="F983" t="str">
            <v>SOMBRERO</v>
          </cell>
          <cell r="G983">
            <v>114508</v>
          </cell>
          <cell r="H983" t="str">
            <v>ALTAMAR</v>
          </cell>
          <cell r="I983">
            <v>5.94</v>
          </cell>
        </row>
        <row r="984">
          <cell r="A984" t="str">
            <v>19-00983</v>
          </cell>
          <cell r="B984" t="str">
            <v>ORKHON GROUP</v>
          </cell>
          <cell r="C984" t="str">
            <v>A</v>
          </cell>
          <cell r="D984" t="str">
            <v>N/A</v>
          </cell>
          <cell r="E984" t="str">
            <v>38774/1107-324 ALTAMAR HAT</v>
          </cell>
          <cell r="F984" t="str">
            <v>SOMBRERO</v>
          </cell>
          <cell r="G984">
            <v>114509</v>
          </cell>
          <cell r="H984" t="str">
            <v>ALTAMAR</v>
          </cell>
          <cell r="I984">
            <v>6.07</v>
          </cell>
        </row>
        <row r="985">
          <cell r="A985" t="str">
            <v>19-00984</v>
          </cell>
          <cell r="B985" t="str">
            <v>ORKHON GROUP</v>
          </cell>
          <cell r="C985" t="str">
            <v>A</v>
          </cell>
          <cell r="D985" t="str">
            <v>N/A</v>
          </cell>
          <cell r="E985" t="str">
            <v>38774/1107-332 ALTAMAR HAT</v>
          </cell>
          <cell r="F985" t="str">
            <v>SOMBRERO</v>
          </cell>
          <cell r="G985">
            <v>114510</v>
          </cell>
          <cell r="H985" t="str">
            <v>ALTAMAR</v>
          </cell>
          <cell r="I985">
            <v>6.27</v>
          </cell>
        </row>
        <row r="986">
          <cell r="A986" t="str">
            <v>19-00985</v>
          </cell>
          <cell r="B986" t="str">
            <v>ORKHON GROUP</v>
          </cell>
          <cell r="C986" t="str">
            <v>A</v>
          </cell>
          <cell r="D986" t="str">
            <v>N/A</v>
          </cell>
          <cell r="E986" t="str">
            <v>38774/1107-333 ALTAMAR HAT</v>
          </cell>
          <cell r="F986" t="str">
            <v>SOMBRERO</v>
          </cell>
          <cell r="G986">
            <v>114511</v>
          </cell>
          <cell r="H986" t="str">
            <v>ALTAMAR</v>
          </cell>
          <cell r="I986">
            <v>6.19</v>
          </cell>
        </row>
        <row r="987">
          <cell r="A987" t="str">
            <v>19-00986</v>
          </cell>
          <cell r="B987" t="str">
            <v>ORKHON GROUP</v>
          </cell>
          <cell r="C987" t="str">
            <v>A</v>
          </cell>
          <cell r="D987" t="str">
            <v>N/A</v>
          </cell>
          <cell r="E987" t="str">
            <v>39217/1107-302 ALTAMAR SOMBRERO</v>
          </cell>
          <cell r="F987" t="str">
            <v>SOMBRERO</v>
          </cell>
          <cell r="G987">
            <v>114514</v>
          </cell>
          <cell r="H987" t="str">
            <v>ALTAMAR</v>
          </cell>
          <cell r="I987">
            <v>6.22</v>
          </cell>
        </row>
        <row r="988">
          <cell r="A988" t="str">
            <v>19-00987</v>
          </cell>
          <cell r="B988" t="str">
            <v>ORKHON GROUP</v>
          </cell>
          <cell r="C988" t="str">
            <v>A</v>
          </cell>
          <cell r="D988" t="str">
            <v>N/A</v>
          </cell>
          <cell r="E988" t="str">
            <v>39217/1107-310 ALTAMAR SOMBRERO</v>
          </cell>
          <cell r="F988" t="str">
            <v>SOMBRERO</v>
          </cell>
          <cell r="G988">
            <v>114520</v>
          </cell>
          <cell r="H988" t="str">
            <v>ALTAMAR</v>
          </cell>
          <cell r="I988">
            <v>6.96</v>
          </cell>
        </row>
        <row r="989">
          <cell r="A989" t="str">
            <v>19-00988</v>
          </cell>
          <cell r="B989" t="str">
            <v>ORKHON GROUP</v>
          </cell>
          <cell r="C989" t="str">
            <v>A</v>
          </cell>
          <cell r="D989" t="str">
            <v>N/A</v>
          </cell>
          <cell r="E989" t="str">
            <v>39217/1107-312 ALTAMAR SOMBRERO</v>
          </cell>
          <cell r="F989" t="str">
            <v>SOMBRERO</v>
          </cell>
          <cell r="G989">
            <v>114521</v>
          </cell>
          <cell r="H989" t="str">
            <v>ALTAMAR</v>
          </cell>
          <cell r="I989">
            <v>6.42</v>
          </cell>
        </row>
        <row r="990">
          <cell r="A990" t="str">
            <v>19-00989</v>
          </cell>
          <cell r="B990" t="str">
            <v>ORKHON GROUP</v>
          </cell>
          <cell r="C990" t="str">
            <v>A</v>
          </cell>
          <cell r="D990" t="str">
            <v>N/A</v>
          </cell>
          <cell r="E990" t="str">
            <v>39217/1107-316 ALTAMAR SOMBRERO</v>
          </cell>
          <cell r="F990" t="str">
            <v>SOMBRERO</v>
          </cell>
          <cell r="G990">
            <v>114524</v>
          </cell>
          <cell r="H990" t="str">
            <v>ALTAMAR</v>
          </cell>
          <cell r="I990">
            <v>8.74</v>
          </cell>
        </row>
        <row r="991">
          <cell r="A991" t="str">
            <v>19-00990</v>
          </cell>
          <cell r="B991" t="str">
            <v>ORKHON GROUP</v>
          </cell>
          <cell r="C991" t="str">
            <v>A</v>
          </cell>
          <cell r="D991" t="str">
            <v>N/A</v>
          </cell>
          <cell r="E991" t="str">
            <v>39217/1107-322 ALTAMAR SOMBRERO</v>
          </cell>
          <cell r="F991" t="str">
            <v>SOMBRERO</v>
          </cell>
          <cell r="G991">
            <v>114527</v>
          </cell>
          <cell r="H991" t="str">
            <v>ALTAMAR</v>
          </cell>
          <cell r="I991">
            <v>8.4600000000000009</v>
          </cell>
        </row>
        <row r="992">
          <cell r="A992" t="str">
            <v>19-00991</v>
          </cell>
          <cell r="B992" t="str">
            <v>ORKHON GROUP</v>
          </cell>
          <cell r="C992" t="str">
            <v>A</v>
          </cell>
          <cell r="D992" t="str">
            <v>N/A</v>
          </cell>
          <cell r="E992" t="str">
            <v>2E5823/SM118 ALTAMAR COLLAR+REGALO</v>
          </cell>
          <cell r="F992" t="str">
            <v>COLLAR</v>
          </cell>
          <cell r="G992">
            <v>165</v>
          </cell>
          <cell r="H992" t="str">
            <v>ALTAMAR</v>
          </cell>
          <cell r="I992">
            <v>0.8</v>
          </cell>
        </row>
        <row r="993">
          <cell r="A993" t="str">
            <v>19-00992</v>
          </cell>
          <cell r="B993" t="str">
            <v>DESIGN GO</v>
          </cell>
          <cell r="C993" t="str">
            <v>A</v>
          </cell>
          <cell r="D993" t="str">
            <v>NO</v>
          </cell>
          <cell r="E993" t="str">
            <v>674 GO TRAVEL RFID ORGANIZER</v>
          </cell>
          <cell r="F993" t="str">
            <v>ORGANIZADOR</v>
          </cell>
          <cell r="G993">
            <v>674</v>
          </cell>
          <cell r="H993" t="str">
            <v>GO TRAVEL</v>
          </cell>
          <cell r="I993">
            <v>9.702</v>
          </cell>
        </row>
        <row r="994">
          <cell r="A994" t="str">
            <v>19-00993</v>
          </cell>
          <cell r="B994" t="str">
            <v>DESIGN GO</v>
          </cell>
          <cell r="C994" t="str">
            <v>D</v>
          </cell>
          <cell r="D994" t="str">
            <v>N/A</v>
          </cell>
          <cell r="E994" t="str">
            <v>711 DESIGN GO SLEEP SET DISCONTINUED</v>
          </cell>
          <cell r="F994" t="str">
            <v>TAPONES OIDO</v>
          </cell>
          <cell r="G994">
            <v>711</v>
          </cell>
          <cell r="H994" t="str">
            <v>DESIGN GO</v>
          </cell>
          <cell r="I994">
            <v>5.25</v>
          </cell>
        </row>
        <row r="995">
          <cell r="A995" t="str">
            <v>19-00994</v>
          </cell>
          <cell r="B995" t="str">
            <v>DESIGN GO</v>
          </cell>
          <cell r="C995" t="str">
            <v>D</v>
          </cell>
          <cell r="D995" t="str">
            <v>N/A</v>
          </cell>
          <cell r="E995" t="str">
            <v>761 DESIGN GO SUN SOAKER DISCONTINUED</v>
          </cell>
          <cell r="F995" t="str">
            <v>ALMOHADA</v>
          </cell>
          <cell r="G995">
            <v>761</v>
          </cell>
          <cell r="H995" t="str">
            <v>DESIGN GO</v>
          </cell>
          <cell r="I995">
            <v>5.25</v>
          </cell>
        </row>
        <row r="996">
          <cell r="A996" t="str">
            <v>19-00995</v>
          </cell>
          <cell r="B996" t="str">
            <v>DESIGN GO</v>
          </cell>
          <cell r="C996" t="str">
            <v>D</v>
          </cell>
          <cell r="D996" t="str">
            <v>N/A</v>
          </cell>
          <cell r="E996" t="str">
            <v>766 GO TRAVEL DRY IPAD DISCONTINUED</v>
          </cell>
          <cell r="F996" t="str">
            <v>ESTUCHE</v>
          </cell>
          <cell r="G996">
            <v>766</v>
          </cell>
          <cell r="H996" t="str">
            <v>GO TRAVEL</v>
          </cell>
          <cell r="I996">
            <v>8.25</v>
          </cell>
        </row>
        <row r="997">
          <cell r="A997" t="str">
            <v>19-00996</v>
          </cell>
          <cell r="B997" t="str">
            <v>DESIGN GO</v>
          </cell>
          <cell r="C997" t="str">
            <v>D</v>
          </cell>
          <cell r="D997" t="str">
            <v>N/A</v>
          </cell>
          <cell r="E997" t="str">
            <v>917 DESIGN GO SHARE PHONES DISCONTINUED</v>
          </cell>
          <cell r="F997" t="str">
            <v>AUDIFONOS</v>
          </cell>
          <cell r="G997">
            <v>917</v>
          </cell>
          <cell r="H997" t="str">
            <v>DESIGN GO</v>
          </cell>
          <cell r="I997">
            <v>6.3</v>
          </cell>
        </row>
        <row r="998">
          <cell r="A998" t="str">
            <v>19-00997</v>
          </cell>
          <cell r="B998" t="str">
            <v>DESIGN GO</v>
          </cell>
          <cell r="C998" t="str">
            <v>A</v>
          </cell>
          <cell r="D998" t="str">
            <v>NO</v>
          </cell>
          <cell r="E998" t="str">
            <v>454 DESIGN GO BEAN SLEEPER</v>
          </cell>
          <cell r="F998" t="str">
            <v>ALMOHADA</v>
          </cell>
          <cell r="G998">
            <v>454</v>
          </cell>
          <cell r="H998" t="str">
            <v>DESIGN GO</v>
          </cell>
          <cell r="I998">
            <v>5.25</v>
          </cell>
        </row>
        <row r="999">
          <cell r="A999" t="str">
            <v>19-00998</v>
          </cell>
          <cell r="B999" t="str">
            <v>DESIGN GO</v>
          </cell>
          <cell r="C999" t="str">
            <v>D</v>
          </cell>
          <cell r="D999" t="str">
            <v>N/A</v>
          </cell>
          <cell r="E999" t="str">
            <v>455 DESIGN GO BEAN PILLOW DISCONTINUED</v>
          </cell>
          <cell r="F999" t="str">
            <v>ALMOHADA</v>
          </cell>
          <cell r="G999">
            <v>455</v>
          </cell>
          <cell r="H999" t="str">
            <v>DESIGN GO</v>
          </cell>
          <cell r="I999">
            <v>5.25</v>
          </cell>
        </row>
        <row r="1000">
          <cell r="A1000" t="str">
            <v>19-00999</v>
          </cell>
          <cell r="B1000" t="str">
            <v>ORKHON GROUP</v>
          </cell>
          <cell r="C1000" t="str">
            <v>A</v>
          </cell>
          <cell r="D1000" t="str">
            <v>N/A</v>
          </cell>
          <cell r="E1000" t="str">
            <v>38547/BX767 ALTAMAR SOMBRERO</v>
          </cell>
          <cell r="F1000" t="str">
            <v>SOMBRERO</v>
          </cell>
          <cell r="G1000">
            <v>114008</v>
          </cell>
          <cell r="H1000" t="str">
            <v>ALTAMAR</v>
          </cell>
          <cell r="I1000">
            <v>8.74</v>
          </cell>
        </row>
        <row r="1001">
          <cell r="A1001" t="str">
            <v>19-01000</v>
          </cell>
          <cell r="B1001" t="str">
            <v>ORKHON GROUP</v>
          </cell>
          <cell r="C1001" t="str">
            <v>A</v>
          </cell>
          <cell r="D1001" t="str">
            <v>N/A</v>
          </cell>
          <cell r="E1001" t="str">
            <v>38547/BN114-1 ALTAMAR SOMBRERO</v>
          </cell>
          <cell r="F1001" t="str">
            <v>SOMBRERO</v>
          </cell>
          <cell r="G1001">
            <v>114013</v>
          </cell>
          <cell r="H1001" t="str">
            <v>ALTAMAR</v>
          </cell>
          <cell r="I1001">
            <v>6.9</v>
          </cell>
        </row>
        <row r="1002">
          <cell r="A1002" t="str">
            <v>19-01001</v>
          </cell>
          <cell r="B1002" t="str">
            <v>ORKHON GROUP</v>
          </cell>
          <cell r="C1002" t="str">
            <v>A</v>
          </cell>
          <cell r="D1002" t="str">
            <v>N/A</v>
          </cell>
          <cell r="E1002" t="str">
            <v>46298/F42052 ALTAMAR PAREO</v>
          </cell>
          <cell r="F1002" t="str">
            <v>PAREO</v>
          </cell>
          <cell r="G1002">
            <v>114232</v>
          </cell>
          <cell r="H1002" t="str">
            <v>ALTAMAR</v>
          </cell>
          <cell r="I1002">
            <v>10.15</v>
          </cell>
        </row>
        <row r="1003">
          <cell r="A1003" t="str">
            <v>19-01002</v>
          </cell>
          <cell r="B1003" t="str">
            <v>ORKHON GROUP</v>
          </cell>
          <cell r="C1003" t="str">
            <v>A</v>
          </cell>
          <cell r="D1003" t="str">
            <v>N/A</v>
          </cell>
          <cell r="E1003" t="str">
            <v>46265/1107-351 ALTAMAR PAREO</v>
          </cell>
          <cell r="F1003" t="str">
            <v>PAREO</v>
          </cell>
          <cell r="G1003">
            <v>114475</v>
          </cell>
          <cell r="H1003" t="str">
            <v>ALTAMAR</v>
          </cell>
          <cell r="I1003">
            <v>4.38</v>
          </cell>
        </row>
        <row r="1004">
          <cell r="A1004" t="str">
            <v>19-01003</v>
          </cell>
          <cell r="B1004" t="str">
            <v>ORKHON GROUP</v>
          </cell>
          <cell r="C1004" t="str">
            <v>A</v>
          </cell>
          <cell r="D1004" t="str">
            <v>N/A</v>
          </cell>
          <cell r="E1004" t="str">
            <v>46265/1107-359 ALTAMAR PAREO</v>
          </cell>
          <cell r="F1004" t="str">
            <v>PAREO</v>
          </cell>
          <cell r="G1004">
            <v>114482</v>
          </cell>
          <cell r="H1004" t="str">
            <v>ALTAMAR</v>
          </cell>
          <cell r="I1004">
            <v>6.2</v>
          </cell>
        </row>
        <row r="1005">
          <cell r="A1005" t="str">
            <v>19-01004</v>
          </cell>
          <cell r="B1005" t="str">
            <v>ORKHON GROUP</v>
          </cell>
          <cell r="C1005" t="str">
            <v>A</v>
          </cell>
          <cell r="D1005" t="str">
            <v>N/A</v>
          </cell>
          <cell r="E1005" t="str">
            <v>39217/1107-304 ALTAMAR SOMBRERO</v>
          </cell>
          <cell r="F1005" t="str">
            <v>SOMBRERO</v>
          </cell>
          <cell r="G1005">
            <v>114515</v>
          </cell>
          <cell r="H1005" t="str">
            <v>ALTAMAR</v>
          </cell>
          <cell r="I1005">
            <v>8.4600000000000009</v>
          </cell>
        </row>
        <row r="1006">
          <cell r="A1006" t="str">
            <v>19-01005</v>
          </cell>
          <cell r="B1006" t="str">
            <v>ORKHON GROUP</v>
          </cell>
          <cell r="C1006" t="str">
            <v>A</v>
          </cell>
          <cell r="D1006" t="str">
            <v>N/A</v>
          </cell>
          <cell r="E1006" t="str">
            <v>39217/1107-308 ALTAMAR SOMBRERO</v>
          </cell>
          <cell r="F1006" t="str">
            <v>SOMBRERO</v>
          </cell>
          <cell r="G1006">
            <v>114519</v>
          </cell>
          <cell r="H1006" t="str">
            <v>ALTAMAR</v>
          </cell>
          <cell r="I1006">
            <v>9.4</v>
          </cell>
        </row>
        <row r="1007">
          <cell r="A1007" t="str">
            <v>19-01006</v>
          </cell>
          <cell r="B1007" t="str">
            <v>ORKHON GROUP</v>
          </cell>
          <cell r="C1007" t="str">
            <v>A</v>
          </cell>
          <cell r="D1007" t="str">
            <v>N/A</v>
          </cell>
          <cell r="E1007" t="str">
            <v>38457/BX822 ALTAMAR SOMBRERO</v>
          </cell>
          <cell r="F1007" t="str">
            <v>SOMBRERO</v>
          </cell>
          <cell r="G1007">
            <v>114001</v>
          </cell>
          <cell r="H1007" t="str">
            <v>ALTAMAR</v>
          </cell>
          <cell r="I1007">
            <v>6.95</v>
          </cell>
        </row>
        <row r="1008">
          <cell r="A1008" t="str">
            <v>19-01007</v>
          </cell>
          <cell r="B1008" t="str">
            <v>ORKHON GROUP</v>
          </cell>
          <cell r="C1008" t="str">
            <v>A</v>
          </cell>
          <cell r="D1008" t="str">
            <v>N/A</v>
          </cell>
          <cell r="E1008" t="str">
            <v>38547/BN286 ALTAMAR SOMBRERO</v>
          </cell>
          <cell r="F1008" t="str">
            <v>SOMBRERO</v>
          </cell>
          <cell r="G1008">
            <v>114003</v>
          </cell>
          <cell r="H1008" t="str">
            <v>ALTAMAR</v>
          </cell>
          <cell r="I1008">
            <v>6.95</v>
          </cell>
        </row>
        <row r="1009">
          <cell r="A1009" t="str">
            <v>19-01008</v>
          </cell>
          <cell r="B1009" t="str">
            <v>ORKHON GROUP</v>
          </cell>
          <cell r="C1009" t="str">
            <v>A</v>
          </cell>
          <cell r="D1009" t="str">
            <v>N/A</v>
          </cell>
          <cell r="E1009" t="str">
            <v>38547/BX652 ALTAMAR SOMBRERO</v>
          </cell>
          <cell r="F1009" t="str">
            <v>SOMBRERO</v>
          </cell>
          <cell r="G1009">
            <v>114006</v>
          </cell>
          <cell r="H1009" t="str">
            <v>ALTAMAR</v>
          </cell>
          <cell r="I1009">
            <v>8.4600000000000009</v>
          </cell>
        </row>
        <row r="1010">
          <cell r="A1010" t="str">
            <v>19-01009</v>
          </cell>
          <cell r="B1010" t="str">
            <v>ORKHON GROUP</v>
          </cell>
          <cell r="C1010" t="str">
            <v>A</v>
          </cell>
          <cell r="D1010" t="str">
            <v>N/A</v>
          </cell>
          <cell r="E1010" t="str">
            <v>1G-11662/0908 ALTAMAR CARTERA</v>
          </cell>
          <cell r="F1010" t="str">
            <v>CARTERA</v>
          </cell>
          <cell r="G1010">
            <v>114462</v>
          </cell>
          <cell r="H1010" t="str">
            <v>ALTAMAR</v>
          </cell>
          <cell r="I1010">
            <v>15.4</v>
          </cell>
        </row>
        <row r="1011">
          <cell r="A1011" t="str">
            <v>19-01010</v>
          </cell>
          <cell r="B1011" t="str">
            <v>ORKHON GROUP</v>
          </cell>
          <cell r="C1011" t="str">
            <v>A</v>
          </cell>
          <cell r="D1011" t="str">
            <v>N/A</v>
          </cell>
          <cell r="E1011" t="str">
            <v>1G-11662/580 ALTAMAR CARTERA</v>
          </cell>
          <cell r="F1011" t="str">
            <v>CARTERA</v>
          </cell>
          <cell r="G1011">
            <v>114463</v>
          </cell>
          <cell r="H1011" t="str">
            <v>ALTAMAR</v>
          </cell>
          <cell r="I1011">
            <v>15</v>
          </cell>
        </row>
        <row r="1012">
          <cell r="A1012" t="str">
            <v>19-01011</v>
          </cell>
          <cell r="B1012" t="str">
            <v>ORKHON GROUP</v>
          </cell>
          <cell r="C1012" t="str">
            <v>A</v>
          </cell>
          <cell r="D1012" t="str">
            <v>N/A</v>
          </cell>
          <cell r="E1012" t="str">
            <v>1G-11662/A288 ALTAMAR CARTERA</v>
          </cell>
          <cell r="F1012" t="str">
            <v>CARTERA</v>
          </cell>
          <cell r="G1012">
            <v>114464</v>
          </cell>
          <cell r="H1012" t="str">
            <v>ALTAMAR</v>
          </cell>
          <cell r="I1012">
            <v>20</v>
          </cell>
        </row>
        <row r="1013">
          <cell r="A1013" t="str">
            <v>19-01012</v>
          </cell>
          <cell r="B1013" t="str">
            <v>ORKHON GROUP</v>
          </cell>
          <cell r="C1013" t="str">
            <v>A</v>
          </cell>
          <cell r="D1013" t="str">
            <v>N/A</v>
          </cell>
          <cell r="E1013" t="str">
            <v>1G-11662/A287 ALTAMAR CARTERA</v>
          </cell>
          <cell r="F1013" t="str">
            <v>CARTERA</v>
          </cell>
          <cell r="G1013">
            <v>114465</v>
          </cell>
          <cell r="H1013" t="str">
            <v>ALTAMAR</v>
          </cell>
          <cell r="I1013">
            <v>13</v>
          </cell>
        </row>
        <row r="1014">
          <cell r="A1014" t="str">
            <v>19-01013</v>
          </cell>
          <cell r="B1014" t="str">
            <v>ORKHON GROUP</v>
          </cell>
          <cell r="C1014" t="str">
            <v>A</v>
          </cell>
          <cell r="D1014" t="str">
            <v>N/A</v>
          </cell>
          <cell r="E1014" t="str">
            <v>1G-11662/123 ALTAMAR CARTERA</v>
          </cell>
          <cell r="F1014" t="str">
            <v>CARTERA</v>
          </cell>
          <cell r="G1014">
            <v>114466</v>
          </cell>
          <cell r="H1014" t="str">
            <v>ALTAMAR</v>
          </cell>
          <cell r="I1014">
            <v>13.75</v>
          </cell>
        </row>
        <row r="1015">
          <cell r="A1015" t="str">
            <v>19-01014</v>
          </cell>
          <cell r="B1015" t="str">
            <v>ORKHON GROUP</v>
          </cell>
          <cell r="C1015" t="str">
            <v>A</v>
          </cell>
          <cell r="D1015" t="str">
            <v>N/A</v>
          </cell>
          <cell r="E1015" t="str">
            <v>46265/1107-351 ALTAMAR PAREO</v>
          </cell>
          <cell r="F1015" t="str">
            <v>PAREO</v>
          </cell>
          <cell r="G1015">
            <v>114475</v>
          </cell>
          <cell r="H1015" t="str">
            <v>ALTAMAR</v>
          </cell>
          <cell r="I1015">
            <v>4.38</v>
          </cell>
        </row>
        <row r="1016">
          <cell r="A1016" t="str">
            <v>19-01015</v>
          </cell>
          <cell r="B1016" t="str">
            <v>ORKHON GROUP</v>
          </cell>
          <cell r="C1016" t="str">
            <v>A</v>
          </cell>
          <cell r="D1016" t="str">
            <v>N/A</v>
          </cell>
          <cell r="E1016" t="str">
            <v>46265/1107-354 ALTAMAR PAREO</v>
          </cell>
          <cell r="F1016" t="str">
            <v>PAREO</v>
          </cell>
          <cell r="G1016">
            <v>114478</v>
          </cell>
          <cell r="H1016" t="str">
            <v>ALTAMAR</v>
          </cell>
          <cell r="I1016">
            <v>9.24</v>
          </cell>
        </row>
        <row r="1017">
          <cell r="A1017" t="str">
            <v>19-01016</v>
          </cell>
          <cell r="B1017" t="str">
            <v>ORKHON GROUP</v>
          </cell>
          <cell r="C1017" t="str">
            <v>A</v>
          </cell>
          <cell r="D1017" t="str">
            <v>N/A</v>
          </cell>
          <cell r="E1017" t="str">
            <v>38774/1107-327 ALTAMAR HAT</v>
          </cell>
          <cell r="F1017" t="str">
            <v>SOMBRERO</v>
          </cell>
          <cell r="G1017">
            <v>114506</v>
          </cell>
          <cell r="H1017" t="str">
            <v>ALTAMAR</v>
          </cell>
          <cell r="I1017">
            <v>6.07</v>
          </cell>
        </row>
        <row r="1018">
          <cell r="A1018" t="str">
            <v>19-01017</v>
          </cell>
          <cell r="B1018" t="str">
            <v>ORKHON GROUP</v>
          </cell>
          <cell r="C1018" t="str">
            <v>A</v>
          </cell>
          <cell r="D1018" t="str">
            <v>N/A</v>
          </cell>
          <cell r="E1018" t="str">
            <v>39217/1107-308 ALTAMAR SOMBRERO</v>
          </cell>
          <cell r="F1018" t="str">
            <v>SOMBRERO</v>
          </cell>
          <cell r="G1018">
            <v>114519</v>
          </cell>
          <cell r="H1018" t="str">
            <v>ALTAMAR</v>
          </cell>
          <cell r="I1018">
            <v>9.4</v>
          </cell>
        </row>
        <row r="1019">
          <cell r="A1019" t="str">
            <v>19-01018</v>
          </cell>
          <cell r="B1019" t="str">
            <v>N/A</v>
          </cell>
          <cell r="C1019" t="str">
            <v>D</v>
          </cell>
          <cell r="D1019" t="str">
            <v>N/A</v>
          </cell>
          <cell r="E1019" t="str">
            <v>XM1273-21 DFA-1  CAJA DE REGALO NAVIDAD</v>
          </cell>
          <cell r="F1019" t="str">
            <v>CAJA DE REGALO</v>
          </cell>
          <cell r="G1019" t="str">
            <v>XM1273-21 DFA-1</v>
          </cell>
          <cell r="I1019">
            <v>0</v>
          </cell>
        </row>
        <row r="1020">
          <cell r="A1020" t="str">
            <v>19-01019</v>
          </cell>
          <cell r="B1020" t="str">
            <v>N/A</v>
          </cell>
          <cell r="C1020" t="str">
            <v>D</v>
          </cell>
          <cell r="D1020" t="str">
            <v>N/A</v>
          </cell>
          <cell r="E1020" t="str">
            <v>XM1273-23 DFA -6 CAJAP/BOTELLA PLEGADA</v>
          </cell>
          <cell r="F1020" t="str">
            <v>CAJA DE REGALO</v>
          </cell>
          <cell r="G1020" t="str">
            <v>XM1273-23 DFA -6</v>
          </cell>
          <cell r="I1020">
            <v>0</v>
          </cell>
        </row>
        <row r="1021">
          <cell r="A1021" t="str">
            <v>19-01020</v>
          </cell>
          <cell r="B1021" t="str">
            <v>N/A</v>
          </cell>
          <cell r="C1021" t="str">
            <v>D</v>
          </cell>
          <cell r="D1021" t="str">
            <v>N/A</v>
          </cell>
          <cell r="E1021" t="str">
            <v>S6HEDY-139 SKULLCANDY OVER-EAR HESH SCOUT RASTA W/ MIC DISCONTINUED</v>
          </cell>
          <cell r="F1021" t="str">
            <v>AUDIFONOS</v>
          </cell>
          <cell r="G1021" t="str">
            <v>S6HEDY-139</v>
          </cell>
          <cell r="H1021" t="str">
            <v>SKULLCANDY</v>
          </cell>
          <cell r="I1021">
            <v>32.47</v>
          </cell>
        </row>
        <row r="1022">
          <cell r="A1022" t="str">
            <v>19-01021</v>
          </cell>
          <cell r="B1022" t="str">
            <v>N/A</v>
          </cell>
          <cell r="C1022" t="str">
            <v>D</v>
          </cell>
          <cell r="D1022" t="str">
            <v>N/A</v>
          </cell>
          <cell r="E1022" t="str">
            <v>S6HEDZ- 058 SKULLCANDY OVER-EAR HESH RASTA DISCONTINUED</v>
          </cell>
          <cell r="F1022" t="str">
            <v>AUDIFONOS</v>
          </cell>
          <cell r="G1022" t="str">
            <v>S6HEDZ- 058</v>
          </cell>
          <cell r="H1022" t="str">
            <v>SKULLCANDY</v>
          </cell>
          <cell r="I1022">
            <v>23.25</v>
          </cell>
        </row>
        <row r="1023">
          <cell r="A1023" t="str">
            <v>19-01022</v>
          </cell>
          <cell r="B1023" t="str">
            <v>N/A</v>
          </cell>
          <cell r="C1023" t="str">
            <v>D</v>
          </cell>
          <cell r="D1023" t="str">
            <v>N/A</v>
          </cell>
          <cell r="E1023" t="str">
            <v>S2INCZ-033 SKULLCANDY IN-EAR INK'D SC BLACK/BLACK DISCONTINUED</v>
          </cell>
          <cell r="F1023" t="str">
            <v>AUDIFONOS</v>
          </cell>
          <cell r="G1023" t="str">
            <v>S2INCZ-033</v>
          </cell>
          <cell r="H1023" t="str">
            <v>SKULLCANDY</v>
          </cell>
          <cell r="I1023">
            <v>8.6300000000000008</v>
          </cell>
        </row>
        <row r="1024">
          <cell r="A1024" t="str">
            <v>19-01023</v>
          </cell>
          <cell r="B1024" t="str">
            <v>N/A</v>
          </cell>
          <cell r="C1024" t="str">
            <v>D</v>
          </cell>
          <cell r="D1024" t="str">
            <v>N/A</v>
          </cell>
          <cell r="E1024" t="str">
            <v>S2INCZ-043 SKULLCANDY IN-EAR INK'D SC PURPLE/BLACK DISCONTINUED</v>
          </cell>
          <cell r="F1024" t="str">
            <v>AUDIFONOS</v>
          </cell>
          <cell r="G1024" t="str">
            <v>S2INCZ-043</v>
          </cell>
          <cell r="H1024" t="str">
            <v>SKULLCANDY</v>
          </cell>
          <cell r="I1024">
            <v>9.2799999999999994</v>
          </cell>
        </row>
        <row r="1025">
          <cell r="A1025" t="str">
            <v>19-01024</v>
          </cell>
          <cell r="B1025" t="str">
            <v>N/A</v>
          </cell>
          <cell r="C1025" t="str">
            <v>D</v>
          </cell>
          <cell r="D1025" t="str">
            <v>N/A</v>
          </cell>
          <cell r="E1025" t="str">
            <v>S2INCZ-040 SKULLCANDY IN-EAR INK'D SC PINK DISCONTINUED</v>
          </cell>
          <cell r="F1025" t="str">
            <v>AUDIFONOS</v>
          </cell>
          <cell r="G1025" t="str">
            <v>S2INCZ-040</v>
          </cell>
          <cell r="H1025" t="str">
            <v>SKULLCANDY</v>
          </cell>
          <cell r="I1025">
            <v>0</v>
          </cell>
        </row>
        <row r="1026">
          <cell r="A1026" t="str">
            <v>19-01025</v>
          </cell>
          <cell r="B1026" t="str">
            <v>N/A</v>
          </cell>
          <cell r="C1026" t="str">
            <v>D</v>
          </cell>
          <cell r="D1026" t="str">
            <v>N/A</v>
          </cell>
          <cell r="E1026" t="str">
            <v>S5LWDZ-022 SKULLCANDY LOWRIDER GOLD DISCONTINUED</v>
          </cell>
          <cell r="F1026" t="str">
            <v>AUDIFONOS</v>
          </cell>
          <cell r="G1026" t="str">
            <v>S5LWDZ-022</v>
          </cell>
          <cell r="H1026" t="str">
            <v>SKULLCANDY</v>
          </cell>
          <cell r="I1026">
            <v>20.93</v>
          </cell>
        </row>
        <row r="1027">
          <cell r="A1027" t="str">
            <v>19-01026</v>
          </cell>
          <cell r="B1027" t="str">
            <v>N/A</v>
          </cell>
          <cell r="C1027" t="str">
            <v>D</v>
          </cell>
          <cell r="D1027" t="str">
            <v>N/A</v>
          </cell>
          <cell r="E1027" t="str">
            <v>S5URDZ-126 SKULLCANDY UPROCK LIGHT BLUE DISCONTINUED</v>
          </cell>
          <cell r="F1027" t="str">
            <v>AUDIFONOS</v>
          </cell>
          <cell r="G1027" t="str">
            <v>S5URDZ-126</v>
          </cell>
          <cell r="H1027" t="str">
            <v>SKULLCANDY</v>
          </cell>
          <cell r="I1027">
            <v>13.95</v>
          </cell>
        </row>
        <row r="1028">
          <cell r="A1028" t="str">
            <v>19-01027</v>
          </cell>
          <cell r="B1028" t="str">
            <v>N/A</v>
          </cell>
          <cell r="C1028" t="str">
            <v>D</v>
          </cell>
          <cell r="D1028" t="str">
            <v>N/A</v>
          </cell>
          <cell r="E1028" t="str">
            <v>S5URDZ-130 SKULLCANDY UP ROCK NAVY DISCONTINUED</v>
          </cell>
          <cell r="F1028" t="str">
            <v>AUDIFONOS</v>
          </cell>
          <cell r="G1028" t="str">
            <v>S5URDZ-130</v>
          </cell>
          <cell r="H1028" t="str">
            <v>SKULLCANDY</v>
          </cell>
          <cell r="I1028">
            <v>13.95</v>
          </cell>
        </row>
        <row r="1029">
          <cell r="A1029" t="str">
            <v>19-01028</v>
          </cell>
          <cell r="B1029" t="str">
            <v>N/A</v>
          </cell>
          <cell r="C1029" t="str">
            <v>D</v>
          </cell>
          <cell r="D1029" t="str">
            <v>N/A</v>
          </cell>
          <cell r="E1029" t="str">
            <v>S5URDZ-059 SKULLCANDY UP ROCK RED DISCONTINUED</v>
          </cell>
          <cell r="F1029" t="str">
            <v>AUDIFONOS</v>
          </cell>
          <cell r="G1029" t="str">
            <v>S5URDZ-059</v>
          </cell>
          <cell r="H1029" t="str">
            <v>SKULLCANDY</v>
          </cell>
          <cell r="I1029">
            <v>13.95</v>
          </cell>
        </row>
        <row r="1030">
          <cell r="A1030" t="str">
            <v>19-01029</v>
          </cell>
          <cell r="B1030" t="str">
            <v>N/A</v>
          </cell>
          <cell r="C1030" t="str">
            <v>D</v>
          </cell>
          <cell r="D1030" t="str">
            <v>N/A</v>
          </cell>
          <cell r="E1030" t="str">
            <v>S6AGDZ-138 SKULLCANDY OVER-EAR AGENT RETRO HOOPS DISCONTINUED</v>
          </cell>
          <cell r="F1030" t="str">
            <v>AUDIFONOS</v>
          </cell>
          <cell r="G1030" t="str">
            <v>S6AGDZ-138</v>
          </cell>
          <cell r="H1030" t="str">
            <v>SKULLCANDY</v>
          </cell>
          <cell r="I1030">
            <v>24.18</v>
          </cell>
        </row>
        <row r="1031">
          <cell r="A1031" t="str">
            <v>19-01030</v>
          </cell>
          <cell r="B1031" t="str">
            <v>N/A</v>
          </cell>
          <cell r="C1031" t="str">
            <v>D</v>
          </cell>
          <cell r="D1031" t="str">
            <v>N/A</v>
          </cell>
          <cell r="E1031" t="str">
            <v>XM1273-21 DFA-2 CAJA DE REGALO NAVIDENA PLEGADA</v>
          </cell>
          <cell r="F1031" t="str">
            <v>CAJA DE REGALO</v>
          </cell>
          <cell r="G1031" t="str">
            <v>XM1273-21 DFA-2</v>
          </cell>
          <cell r="H1031" t="str">
            <v>TOMMY HILFIGER</v>
          </cell>
          <cell r="I1031">
            <v>0</v>
          </cell>
        </row>
        <row r="1032">
          <cell r="A1032" t="str">
            <v>19-01031</v>
          </cell>
          <cell r="B1032" t="str">
            <v>N/A</v>
          </cell>
          <cell r="C1032" t="str">
            <v>D</v>
          </cell>
          <cell r="D1032" t="str">
            <v>N/A</v>
          </cell>
          <cell r="E1032" t="str">
            <v>XM1273-21 DFA-3 CAJA DE REGALO NAVIDENA PLEGADA</v>
          </cell>
          <cell r="F1032" t="str">
            <v>CAJA DE REGALO</v>
          </cell>
          <cell r="G1032" t="str">
            <v>XM1273-21 DFA-3</v>
          </cell>
          <cell r="H1032" t="str">
            <v>TOMMY HILFIGER</v>
          </cell>
          <cell r="I1032">
            <v>0</v>
          </cell>
        </row>
        <row r="1033">
          <cell r="A1033" t="str">
            <v>19-01032</v>
          </cell>
          <cell r="B1033" t="str">
            <v>N/A</v>
          </cell>
          <cell r="C1033" t="str">
            <v>D</v>
          </cell>
          <cell r="D1033" t="str">
            <v>N/A</v>
          </cell>
          <cell r="E1033" t="str">
            <v>XM1273-21 DFA-4 CAJA DE REGALO NAVIDENA PLEGADA</v>
          </cell>
          <cell r="F1033" t="str">
            <v>CAJA DE REGALO</v>
          </cell>
          <cell r="G1033" t="str">
            <v>XM1273-21 DFA-4</v>
          </cell>
          <cell r="H1033" t="str">
            <v>TOMMY HILFIGER</v>
          </cell>
          <cell r="I1033">
            <v>0</v>
          </cell>
        </row>
        <row r="1034">
          <cell r="A1034" t="str">
            <v>19-01033</v>
          </cell>
          <cell r="B1034" t="str">
            <v>N/A</v>
          </cell>
          <cell r="C1034" t="str">
            <v>D</v>
          </cell>
          <cell r="D1034" t="str">
            <v>N/A</v>
          </cell>
          <cell r="E1034" t="str">
            <v>XM1273-21 DFA-5 CAJA DE REGALO NAVIDENA PLEGADA</v>
          </cell>
          <cell r="F1034" t="str">
            <v>CAJA DE REGALO</v>
          </cell>
          <cell r="G1034" t="str">
            <v>XM1273-21 DFA-5</v>
          </cell>
          <cell r="H1034" t="str">
            <v>TOMMY HILFIGER</v>
          </cell>
          <cell r="I1034">
            <v>0</v>
          </cell>
        </row>
        <row r="1035">
          <cell r="A1035" t="str">
            <v>19-01034</v>
          </cell>
          <cell r="B1035" t="str">
            <v>N/A</v>
          </cell>
          <cell r="C1035" t="str">
            <v>D</v>
          </cell>
          <cell r="D1035" t="str">
            <v>N/A</v>
          </cell>
          <cell r="E1035" t="str">
            <v>XM1273-23 DFA-7 CAJA P/BOTELLA  PLEGADA</v>
          </cell>
          <cell r="F1035" t="str">
            <v>CAJA DE REGALO</v>
          </cell>
          <cell r="G1035" t="str">
            <v>XM1273-23 DFA-7</v>
          </cell>
          <cell r="H1035" t="str">
            <v>TOMMY HILFIGER</v>
          </cell>
          <cell r="I1035">
            <v>0</v>
          </cell>
        </row>
        <row r="1036">
          <cell r="A1036" t="str">
            <v>19-01035</v>
          </cell>
          <cell r="B1036" t="str">
            <v>N/A</v>
          </cell>
          <cell r="C1036" t="str">
            <v>D</v>
          </cell>
          <cell r="D1036" t="str">
            <v>N/A</v>
          </cell>
          <cell r="E1036" t="str">
            <v>XM1273-23 DFA-8 CAJA P/BOTELLA  PLEGADA</v>
          </cell>
          <cell r="F1036" t="str">
            <v>CAJA DE REGALO</v>
          </cell>
          <cell r="G1036" t="str">
            <v>XM1273-23 DFA-8</v>
          </cell>
          <cell r="H1036" t="str">
            <v>TOMMY HILFIGER</v>
          </cell>
          <cell r="I1036">
            <v>0</v>
          </cell>
        </row>
        <row r="1037">
          <cell r="A1037" t="str">
            <v>19-01036</v>
          </cell>
          <cell r="B1037" t="str">
            <v>N/A</v>
          </cell>
          <cell r="C1037" t="str">
            <v>D</v>
          </cell>
          <cell r="D1037" t="str">
            <v>N/A</v>
          </cell>
          <cell r="E1037" t="str">
            <v>XM1273-23 DFA-9 CAJA P/BOTELLA  PLEGADA</v>
          </cell>
          <cell r="F1037" t="str">
            <v>CAJA DE REGALO</v>
          </cell>
          <cell r="G1037" t="str">
            <v>XM1273-23 DFA-9</v>
          </cell>
          <cell r="H1037" t="str">
            <v>TOMMY HILFIGER</v>
          </cell>
          <cell r="I1037">
            <v>0</v>
          </cell>
        </row>
        <row r="1038">
          <cell r="A1038" t="str">
            <v>19-01037</v>
          </cell>
          <cell r="B1038" t="str">
            <v>N/A</v>
          </cell>
          <cell r="C1038" t="str">
            <v>D</v>
          </cell>
          <cell r="D1038" t="str">
            <v>N/A</v>
          </cell>
          <cell r="E1038" t="str">
            <v>XM1273-23 DFA-10 CAJA P/BOTELLA  PLEGADA</v>
          </cell>
          <cell r="F1038" t="str">
            <v>CAJA DE REGALO</v>
          </cell>
          <cell r="G1038" t="str">
            <v>XM1273-23 DFA-10</v>
          </cell>
          <cell r="H1038" t="str">
            <v>TOMMY HILFIGER</v>
          </cell>
          <cell r="I1038">
            <v>0</v>
          </cell>
        </row>
        <row r="1039">
          <cell r="A1039" t="str">
            <v>19-01038</v>
          </cell>
          <cell r="B1039" t="str">
            <v>N/A</v>
          </cell>
          <cell r="C1039" t="str">
            <v>D</v>
          </cell>
          <cell r="D1039" t="str">
            <v>N/A</v>
          </cell>
          <cell r="E1039" t="str">
            <v>S6HEDZ-058 SKULLCANDY HESH RASTA DISCONTINUED</v>
          </cell>
          <cell r="F1039" t="str">
            <v>HEADPHONES</v>
          </cell>
          <cell r="G1039" t="str">
            <v>S6HEDZ-058</v>
          </cell>
          <cell r="H1039" t="str">
            <v>SKULLCANDY</v>
          </cell>
          <cell r="I1039">
            <v>23.25</v>
          </cell>
        </row>
        <row r="1040">
          <cell r="A1040" t="str">
            <v>19-01039</v>
          </cell>
          <cell r="B1040" t="str">
            <v>FOSTER</v>
          </cell>
          <cell r="C1040" t="str">
            <v>D</v>
          </cell>
          <cell r="D1040" t="str">
            <v>N/A</v>
          </cell>
          <cell r="E1040" t="str">
            <v>16632 FOSTER  COJIN CUDDLY PETS MARY 45CM DISCONTINUED</v>
          </cell>
          <cell r="G1040">
            <v>16632</v>
          </cell>
          <cell r="H1040" t="str">
            <v>FOSTER</v>
          </cell>
          <cell r="I1040">
            <v>4.5</v>
          </cell>
        </row>
        <row r="1041">
          <cell r="A1041" t="str">
            <v>19-01040</v>
          </cell>
          <cell r="B1041" t="str">
            <v>FOSTER</v>
          </cell>
          <cell r="C1041" t="str">
            <v>D</v>
          </cell>
          <cell r="D1041" t="str">
            <v>N/A</v>
          </cell>
          <cell r="E1041" t="str">
            <v>16257 MICKEY BEAN BAG PELUCHE DISCONTINUED</v>
          </cell>
          <cell r="F1041" t="str">
            <v>PELUCHE</v>
          </cell>
          <cell r="G1041">
            <v>16257</v>
          </cell>
          <cell r="H1041" t="str">
            <v>FOSTER</v>
          </cell>
          <cell r="I1041">
            <v>4.75</v>
          </cell>
        </row>
        <row r="1042">
          <cell r="A1042" t="str">
            <v>19-01041</v>
          </cell>
          <cell r="B1042" t="str">
            <v>FOSTER</v>
          </cell>
          <cell r="C1042" t="str">
            <v>D</v>
          </cell>
          <cell r="D1042" t="str">
            <v>N/A</v>
          </cell>
          <cell r="E1042" t="str">
            <v>16258 MINNIE BEAN BAG PELUCHE DISCONTINUED</v>
          </cell>
          <cell r="F1042" t="str">
            <v>PELUCHE</v>
          </cell>
          <cell r="G1042">
            <v>16258</v>
          </cell>
          <cell r="H1042" t="str">
            <v>FOSTER</v>
          </cell>
          <cell r="I1042">
            <v>4.75</v>
          </cell>
        </row>
        <row r="1043">
          <cell r="A1043" t="str">
            <v>19-01042</v>
          </cell>
          <cell r="B1043" t="str">
            <v>N/A</v>
          </cell>
          <cell r="C1043" t="str">
            <v>D</v>
          </cell>
          <cell r="D1043" t="str">
            <v>N/A</v>
          </cell>
          <cell r="E1043" t="str">
            <v>PUNTA CANA DISCOUNT BOOK</v>
          </cell>
          <cell r="F1043" t="str">
            <v>BOOK</v>
          </cell>
          <cell r="I1043">
            <v>0</v>
          </cell>
        </row>
        <row r="1044">
          <cell r="A1044" t="str">
            <v>19-01043</v>
          </cell>
          <cell r="B1044" t="str">
            <v>HOUSE CANDIE</v>
          </cell>
          <cell r="C1044" t="str">
            <v>D</v>
          </cell>
          <cell r="D1044" t="str">
            <v>N/A</v>
          </cell>
          <cell r="E1044" t="str">
            <v>M-76013 HOUSE CANDIE ALMOHADAS PARA CUELLO SURTIDOS DISCONTINUED</v>
          </cell>
          <cell r="F1044" t="str">
            <v>PILLOW</v>
          </cell>
          <cell r="G1044" t="str">
            <v>M-76013</v>
          </cell>
          <cell r="H1044" t="str">
            <v>HOUSE CANDIE</v>
          </cell>
          <cell r="I1044">
            <v>3.9</v>
          </cell>
        </row>
        <row r="1045">
          <cell r="A1045" t="str">
            <v>19-01044</v>
          </cell>
          <cell r="B1045" t="str">
            <v>HOUSE CANDIE</v>
          </cell>
          <cell r="C1045" t="str">
            <v>D</v>
          </cell>
          <cell r="D1045" t="str">
            <v>N/A</v>
          </cell>
          <cell r="E1045" t="str">
            <v>M-76024 HOUSE CANDIE ALMOHADAS PARA CUELLO DISCONTINUED</v>
          </cell>
          <cell r="F1045" t="str">
            <v>PILLOW</v>
          </cell>
          <cell r="G1045" t="str">
            <v>M-76024</v>
          </cell>
          <cell r="H1045" t="str">
            <v>HOUSE CANDIE</v>
          </cell>
          <cell r="I1045">
            <v>3.9</v>
          </cell>
        </row>
        <row r="1046">
          <cell r="A1046" t="str">
            <v>19-01045</v>
          </cell>
          <cell r="B1046" t="str">
            <v>HOUSE CANDIE</v>
          </cell>
          <cell r="C1046" t="str">
            <v>D</v>
          </cell>
          <cell r="D1046" t="str">
            <v>N/A</v>
          </cell>
          <cell r="E1046" t="str">
            <v>M-76031 HOUSE CANDIE ALMOHADAS PARA CUELLO DISCONTINUED</v>
          </cell>
          <cell r="F1046" t="str">
            <v>PILLOW</v>
          </cell>
          <cell r="G1046" t="str">
            <v>M-76031</v>
          </cell>
          <cell r="H1046" t="str">
            <v>HOUSE CANDIE</v>
          </cell>
          <cell r="I1046">
            <v>3.9</v>
          </cell>
        </row>
        <row r="1047">
          <cell r="A1047" t="str">
            <v>19-01046</v>
          </cell>
          <cell r="B1047" t="str">
            <v>HOUSE CANDIE</v>
          </cell>
          <cell r="C1047" t="str">
            <v>D</v>
          </cell>
          <cell r="D1047" t="str">
            <v>N/A</v>
          </cell>
          <cell r="E1047" t="str">
            <v>MB-HL2BP HOUSE CANDIE AURICULARES DISCONTINUED</v>
          </cell>
          <cell r="F1047" t="str">
            <v>HEADPHONES</v>
          </cell>
          <cell r="G1047" t="str">
            <v>MB-HL2BP</v>
          </cell>
          <cell r="H1047" t="str">
            <v>HOUSE CANDIE</v>
          </cell>
          <cell r="I1047">
            <v>10.9</v>
          </cell>
        </row>
        <row r="1048">
          <cell r="A1048" t="str">
            <v>19-01047</v>
          </cell>
          <cell r="B1048" t="str">
            <v>HOUSE CANDIE</v>
          </cell>
          <cell r="C1048" t="str">
            <v>D</v>
          </cell>
          <cell r="D1048" t="str">
            <v>N/A</v>
          </cell>
          <cell r="E1048" t="str">
            <v>MB-HL2BZ HOUSE CANDIE AUDIFONOS DISCONTINUED</v>
          </cell>
          <cell r="F1048" t="str">
            <v>HEADPHONES</v>
          </cell>
          <cell r="G1048" t="str">
            <v>MB-HL2BZ</v>
          </cell>
          <cell r="H1048" t="str">
            <v>HOUSE CANDIE</v>
          </cell>
          <cell r="I1048">
            <v>10.9</v>
          </cell>
        </row>
        <row r="1049">
          <cell r="A1049" t="str">
            <v>19-01048</v>
          </cell>
          <cell r="B1049" t="str">
            <v>HOUSE CANDIE</v>
          </cell>
          <cell r="C1049" t="str">
            <v>D</v>
          </cell>
          <cell r="D1049" t="str">
            <v>N/A</v>
          </cell>
          <cell r="E1049" t="str">
            <v>MB-HL2EB HOUSE CANDIE AUDIFONOS DISCONTINUED</v>
          </cell>
          <cell r="F1049" t="str">
            <v>HEADPHONES</v>
          </cell>
          <cell r="G1049" t="str">
            <v>MB-HL2EB</v>
          </cell>
          <cell r="H1049" t="str">
            <v>HOUSE CANDIE</v>
          </cell>
          <cell r="I1049">
            <v>10.9</v>
          </cell>
        </row>
        <row r="1050">
          <cell r="A1050" t="str">
            <v>19-01049</v>
          </cell>
          <cell r="B1050" t="str">
            <v>HOUSE CANDIE</v>
          </cell>
          <cell r="C1050" t="str">
            <v>D</v>
          </cell>
          <cell r="D1050" t="str">
            <v>N/A</v>
          </cell>
          <cell r="E1050" t="str">
            <v>MB-HL2KG HOUSE CANDIE AURICULARES DISCONTINUED</v>
          </cell>
          <cell r="F1050" t="str">
            <v>HEADPHONES</v>
          </cell>
          <cell r="G1050" t="str">
            <v>MB-HL2KG</v>
          </cell>
          <cell r="H1050" t="str">
            <v>HOUSE CANDIE</v>
          </cell>
          <cell r="I1050">
            <v>10.9</v>
          </cell>
        </row>
        <row r="1051">
          <cell r="A1051" t="str">
            <v>19-01050</v>
          </cell>
          <cell r="B1051" t="str">
            <v>HOUSE CANDIE</v>
          </cell>
          <cell r="C1051" t="str">
            <v>D</v>
          </cell>
          <cell r="D1051" t="str">
            <v>N/A</v>
          </cell>
          <cell r="E1051" t="str">
            <v>MB-HL2NP HOUSE CANDIE AUDIFONOS DISCONTINUED</v>
          </cell>
          <cell r="F1051" t="str">
            <v>HEADPHONES</v>
          </cell>
          <cell r="G1051" t="str">
            <v>MB-HL2NP</v>
          </cell>
          <cell r="H1051" t="str">
            <v>HOUSE CANDIE</v>
          </cell>
          <cell r="I1051">
            <v>10.9</v>
          </cell>
        </row>
        <row r="1052">
          <cell r="A1052" t="str">
            <v>19-01051</v>
          </cell>
          <cell r="B1052" t="str">
            <v>HOUSE CANDIE</v>
          </cell>
          <cell r="C1052" t="str">
            <v>D</v>
          </cell>
          <cell r="D1052" t="str">
            <v>N/A</v>
          </cell>
          <cell r="E1052" t="str">
            <v>MB-HL2PP HOUSE CANDIE AURICULARES DISCONTINUED</v>
          </cell>
          <cell r="F1052" t="str">
            <v>HEADPHONES</v>
          </cell>
          <cell r="G1052" t="str">
            <v>MB-HL2PP</v>
          </cell>
          <cell r="H1052" t="str">
            <v>HOUSE CANDIE</v>
          </cell>
          <cell r="I1052">
            <v>10.9</v>
          </cell>
        </row>
        <row r="1053">
          <cell r="A1053" t="str">
            <v>19-01052</v>
          </cell>
          <cell r="B1053" t="str">
            <v>HOUSE CANDIE</v>
          </cell>
          <cell r="C1053" t="str">
            <v>D</v>
          </cell>
          <cell r="D1053" t="str">
            <v>N/A</v>
          </cell>
          <cell r="E1053" t="str">
            <v>MB-HL2RA HOUSE CANDIE AURICULARES DISCONTINUED</v>
          </cell>
          <cell r="F1053" t="str">
            <v>HEADPHONES</v>
          </cell>
          <cell r="G1053" t="str">
            <v>MB-HL2RA</v>
          </cell>
          <cell r="H1053" t="str">
            <v>HOUSE CANDIE</v>
          </cell>
          <cell r="I1053">
            <v>10.9</v>
          </cell>
        </row>
        <row r="1054">
          <cell r="A1054" t="str">
            <v>19-01053</v>
          </cell>
          <cell r="B1054" t="str">
            <v>HOUSE CANDIE</v>
          </cell>
          <cell r="C1054" t="str">
            <v>D</v>
          </cell>
          <cell r="D1054" t="str">
            <v>N/A</v>
          </cell>
          <cell r="E1054" t="str">
            <v>MB-HL2RS HOUSE CANDIE AUDIFONOS DISCONTINUED</v>
          </cell>
          <cell r="F1054" t="str">
            <v>HEADPHONES</v>
          </cell>
          <cell r="G1054" t="str">
            <v>MB-HL2RS</v>
          </cell>
          <cell r="H1054" t="str">
            <v>HOUSE CANDIE</v>
          </cell>
          <cell r="I1054">
            <v>10.9</v>
          </cell>
        </row>
        <row r="1055">
          <cell r="A1055" t="str">
            <v>19-01054</v>
          </cell>
          <cell r="B1055" t="str">
            <v>HOUSE CANDIE</v>
          </cell>
          <cell r="C1055" t="str">
            <v>D</v>
          </cell>
          <cell r="D1055" t="str">
            <v>N/A</v>
          </cell>
          <cell r="E1055" t="str">
            <v>MB-HL2SO HOUSE CANDIE AUDIFONOS DISCONTINUED</v>
          </cell>
          <cell r="F1055" t="str">
            <v>HEADPHONES</v>
          </cell>
          <cell r="G1055" t="str">
            <v>MB-HL2SO</v>
          </cell>
          <cell r="H1055" t="str">
            <v>HOUSE CANDIE</v>
          </cell>
          <cell r="I1055">
            <v>10.9</v>
          </cell>
        </row>
        <row r="1056">
          <cell r="A1056" t="str">
            <v>19-01055</v>
          </cell>
          <cell r="B1056" t="str">
            <v>HOUSE CANDIE</v>
          </cell>
          <cell r="C1056" t="str">
            <v>D</v>
          </cell>
          <cell r="D1056" t="str">
            <v>N/A</v>
          </cell>
          <cell r="E1056" t="str">
            <v>MB-HL2SP HOUSE CANDIE AUDIFONOS DISCONTINUED</v>
          </cell>
          <cell r="F1056" t="str">
            <v>HEADPHONES</v>
          </cell>
          <cell r="G1056" t="str">
            <v>MB-HL2SP</v>
          </cell>
          <cell r="H1056" t="str">
            <v>HOUSE CANDIE</v>
          </cell>
          <cell r="I1056">
            <v>10.9</v>
          </cell>
        </row>
        <row r="1057">
          <cell r="A1057" t="str">
            <v>19-01056</v>
          </cell>
          <cell r="B1057" t="str">
            <v>HOUSE CANDIE</v>
          </cell>
          <cell r="C1057" t="str">
            <v>D</v>
          </cell>
          <cell r="D1057" t="str">
            <v>N/A</v>
          </cell>
          <cell r="E1057" t="str">
            <v>MB-HL3PO HOUSE CANDIE AUDIFONOS DISCONTINUED</v>
          </cell>
          <cell r="F1057" t="str">
            <v>HEADPHONES</v>
          </cell>
          <cell r="G1057" t="str">
            <v>MB-HL3PO</v>
          </cell>
          <cell r="H1057" t="str">
            <v>HOUSE CANDIE</v>
          </cell>
          <cell r="I1057">
            <v>10.9</v>
          </cell>
        </row>
        <row r="1058">
          <cell r="A1058" t="str">
            <v>19-01057</v>
          </cell>
          <cell r="B1058" t="str">
            <v>ORKHON GROUP</v>
          </cell>
          <cell r="C1058" t="str">
            <v>A</v>
          </cell>
          <cell r="D1058" t="str">
            <v>N/A</v>
          </cell>
          <cell r="E1058" t="str">
            <v>2E-5663B/09-566-6 ALTAMAR COLLAR Y PULCERA FLOR</v>
          </cell>
          <cell r="F1058" t="str">
            <v>COLLAR</v>
          </cell>
          <cell r="G1058">
            <v>105516</v>
          </cell>
          <cell r="H1058" t="str">
            <v>ALTAMAR</v>
          </cell>
          <cell r="I1058">
            <v>0.98</v>
          </cell>
        </row>
        <row r="1059">
          <cell r="A1059" t="str">
            <v>19-01058</v>
          </cell>
          <cell r="B1059" t="str">
            <v>ORKHON GROUP</v>
          </cell>
          <cell r="C1059" t="str">
            <v>A</v>
          </cell>
          <cell r="D1059" t="str">
            <v>N/A</v>
          </cell>
          <cell r="E1059" t="str">
            <v>39359/y12003-363 ALTAMAR SOMBRERO</v>
          </cell>
          <cell r="F1059" t="str">
            <v>SOMBRERO</v>
          </cell>
          <cell r="G1059">
            <v>116208</v>
          </cell>
          <cell r="H1059" t="str">
            <v>ALTAMAR</v>
          </cell>
          <cell r="I1059">
            <v>5.92</v>
          </cell>
        </row>
        <row r="1060">
          <cell r="A1060" t="str">
            <v>19-01059</v>
          </cell>
          <cell r="B1060" t="str">
            <v>ORKHON GROUP</v>
          </cell>
          <cell r="C1060" t="str">
            <v>A</v>
          </cell>
          <cell r="D1060" t="str">
            <v>N/A</v>
          </cell>
          <cell r="E1060" t="str">
            <v>2E-5911/SM108 ALTAMAR COLLAR</v>
          </cell>
          <cell r="F1060" t="str">
            <v>COLLAR</v>
          </cell>
          <cell r="G1060">
            <v>107976</v>
          </cell>
          <cell r="H1060" t="str">
            <v>ALTAMAR</v>
          </cell>
          <cell r="I1060">
            <v>1.55</v>
          </cell>
        </row>
        <row r="1061">
          <cell r="A1061" t="str">
            <v>19-01060</v>
          </cell>
          <cell r="B1061" t="str">
            <v>ORKHON GROUP</v>
          </cell>
          <cell r="C1061" t="str">
            <v>A</v>
          </cell>
          <cell r="D1061" t="str">
            <v>N/A</v>
          </cell>
          <cell r="E1061" t="str">
            <v>1F-11022/1103-10 ALTAMAR BOLSO</v>
          </cell>
          <cell r="F1061" t="str">
            <v>BOLSO</v>
          </cell>
          <cell r="G1061">
            <v>113166</v>
          </cell>
          <cell r="H1061" t="str">
            <v>ALTAMAR</v>
          </cell>
          <cell r="I1061">
            <v>17</v>
          </cell>
        </row>
        <row r="1062">
          <cell r="A1062" t="str">
            <v>19-01061</v>
          </cell>
          <cell r="B1062" t="str">
            <v>ORKHON GROUP</v>
          </cell>
          <cell r="C1062" t="str">
            <v>A</v>
          </cell>
          <cell r="D1062" t="str">
            <v>N/A</v>
          </cell>
          <cell r="E1062" t="str">
            <v>1F-11022/1103-13 ALTAMAR BOLSO</v>
          </cell>
          <cell r="F1062" t="str">
            <v>BOLSO</v>
          </cell>
          <cell r="G1062">
            <v>113167</v>
          </cell>
          <cell r="H1062" t="str">
            <v>ALTAMAR</v>
          </cell>
          <cell r="I1062">
            <v>16</v>
          </cell>
        </row>
        <row r="1063">
          <cell r="A1063" t="str">
            <v>19-01062</v>
          </cell>
          <cell r="B1063" t="str">
            <v>ORKHON GROUP</v>
          </cell>
          <cell r="C1063" t="str">
            <v>A</v>
          </cell>
          <cell r="D1063" t="str">
            <v>N/A</v>
          </cell>
          <cell r="E1063" t="str">
            <v>1G-11936/HW-668 ALTAMAR SOBRE DE MANO</v>
          </cell>
          <cell r="F1063" t="str">
            <v>BOLSO</v>
          </cell>
          <cell r="G1063">
            <v>114041</v>
          </cell>
          <cell r="H1063" t="str">
            <v>ALTAMAR</v>
          </cell>
          <cell r="I1063">
            <v>8.8000000000000007</v>
          </cell>
        </row>
        <row r="1064">
          <cell r="A1064" t="str">
            <v>19-01063</v>
          </cell>
          <cell r="B1064" t="str">
            <v>ORKHON GROUP</v>
          </cell>
          <cell r="C1064" t="str">
            <v>A</v>
          </cell>
          <cell r="D1064" t="str">
            <v>N/A</v>
          </cell>
          <cell r="E1064" t="str">
            <v>46298/P-11 ALTAMAR BUFANDA</v>
          </cell>
          <cell r="F1064" t="str">
            <v>BUFANDA</v>
          </cell>
          <cell r="G1064">
            <v>116164</v>
          </cell>
          <cell r="H1064" t="str">
            <v>ALTAMAR</v>
          </cell>
          <cell r="I1064">
            <v>10.15</v>
          </cell>
        </row>
        <row r="1065">
          <cell r="A1065" t="str">
            <v>19-01064</v>
          </cell>
          <cell r="B1065" t="str">
            <v>ORKHON GROUP</v>
          </cell>
          <cell r="C1065" t="str">
            <v>A</v>
          </cell>
          <cell r="D1065" t="str">
            <v>N/A</v>
          </cell>
          <cell r="E1065" t="str">
            <v>46298/P-10 ALTAMAR BUFANDA</v>
          </cell>
          <cell r="F1065" t="str">
            <v>BUFANDA</v>
          </cell>
          <cell r="G1065">
            <v>116165</v>
          </cell>
          <cell r="H1065" t="str">
            <v>ALTAMAR</v>
          </cell>
          <cell r="I1065">
            <v>8.33</v>
          </cell>
        </row>
        <row r="1066">
          <cell r="A1066" t="str">
            <v>19-01065</v>
          </cell>
          <cell r="B1066" t="str">
            <v>ORKHON GROUP</v>
          </cell>
          <cell r="C1066" t="str">
            <v>A</v>
          </cell>
          <cell r="D1066" t="str">
            <v>N/A</v>
          </cell>
          <cell r="E1066" t="str">
            <v>46298/P-3 ALTAMAR BUFANDA</v>
          </cell>
          <cell r="F1066" t="str">
            <v>BUFANDA</v>
          </cell>
          <cell r="G1066">
            <v>116167</v>
          </cell>
          <cell r="H1066" t="str">
            <v>ALTAMAR</v>
          </cell>
          <cell r="I1066">
            <v>11.37</v>
          </cell>
        </row>
        <row r="1067">
          <cell r="A1067" t="str">
            <v>19-01066</v>
          </cell>
          <cell r="B1067" t="str">
            <v>ORKHON GROUP</v>
          </cell>
          <cell r="C1067" t="str">
            <v>A</v>
          </cell>
          <cell r="D1067" t="str">
            <v>N/A</v>
          </cell>
          <cell r="E1067" t="str">
            <v>46298/P-1 ALTAMAR BUFANDA</v>
          </cell>
          <cell r="F1067" t="str">
            <v>BUFANDA</v>
          </cell>
          <cell r="G1067">
            <v>116169</v>
          </cell>
          <cell r="H1067" t="str">
            <v>ALTAMAR</v>
          </cell>
          <cell r="I1067">
            <v>11.37</v>
          </cell>
        </row>
        <row r="1068">
          <cell r="A1068" t="str">
            <v>19-01067</v>
          </cell>
          <cell r="B1068" t="str">
            <v>ORKHON GROUP</v>
          </cell>
          <cell r="C1068" t="str">
            <v>A</v>
          </cell>
          <cell r="D1068" t="str">
            <v>N/A</v>
          </cell>
          <cell r="E1068" t="str">
            <v>46298/P-8 ALTAMAR BUFANDA</v>
          </cell>
          <cell r="F1068" t="str">
            <v>BUFANDA</v>
          </cell>
          <cell r="G1068">
            <v>116175</v>
          </cell>
          <cell r="H1068" t="str">
            <v>ALTAMAR</v>
          </cell>
          <cell r="I1068">
            <v>11.37</v>
          </cell>
        </row>
        <row r="1069">
          <cell r="A1069" t="str">
            <v>19-01068</v>
          </cell>
          <cell r="B1069" t="str">
            <v>ORKHON GROUP</v>
          </cell>
          <cell r="C1069" t="str">
            <v>A</v>
          </cell>
          <cell r="D1069" t="str">
            <v>N/A</v>
          </cell>
          <cell r="E1069" t="str">
            <v>38547/BN114 ALTAMAR SOMBRERO</v>
          </cell>
          <cell r="F1069" t="str">
            <v>SOMBRERO</v>
          </cell>
          <cell r="G1069">
            <v>116196</v>
          </cell>
          <cell r="H1069" t="str">
            <v>ALTAMAR</v>
          </cell>
          <cell r="I1069">
            <v>6.42</v>
          </cell>
        </row>
        <row r="1070">
          <cell r="A1070" t="str">
            <v>19-01069</v>
          </cell>
          <cell r="B1070" t="str">
            <v>ORKHON GROUP</v>
          </cell>
          <cell r="C1070" t="str">
            <v>A</v>
          </cell>
          <cell r="D1070" t="str">
            <v>N/A</v>
          </cell>
          <cell r="E1070" t="str">
            <v>1G-11662/188-1 ALTAMAR BOLSO</v>
          </cell>
          <cell r="F1070" t="str">
            <v>BOLSO</v>
          </cell>
          <cell r="G1070">
            <v>116200</v>
          </cell>
          <cell r="H1070" t="str">
            <v>ALTAMAR</v>
          </cell>
          <cell r="I1070">
            <v>13</v>
          </cell>
        </row>
        <row r="1071">
          <cell r="A1071" t="str">
            <v>19-01070</v>
          </cell>
          <cell r="B1071" t="str">
            <v>ORKHON GROUP</v>
          </cell>
          <cell r="C1071" t="str">
            <v>A</v>
          </cell>
          <cell r="D1071" t="str">
            <v>N/A</v>
          </cell>
          <cell r="E1071" t="str">
            <v>1G-11662/A-1867 ALTAMAR BOLSO</v>
          </cell>
          <cell r="F1071" t="str">
            <v>BOLSO</v>
          </cell>
          <cell r="G1071">
            <v>116202</v>
          </cell>
          <cell r="H1071" t="str">
            <v>ALTAMAR</v>
          </cell>
          <cell r="I1071">
            <v>8.8000000000000007</v>
          </cell>
        </row>
        <row r="1072">
          <cell r="A1072" t="str">
            <v>19-01071</v>
          </cell>
          <cell r="B1072" t="str">
            <v>ORKHON GROUP</v>
          </cell>
          <cell r="C1072" t="str">
            <v>A</v>
          </cell>
          <cell r="D1072" t="str">
            <v>N/A</v>
          </cell>
          <cell r="E1072" t="str">
            <v>39359/Y1203-355 ALTAMAR SOMBRERO</v>
          </cell>
          <cell r="F1072" t="str">
            <v>SOMBRERO</v>
          </cell>
          <cell r="G1072">
            <v>116205</v>
          </cell>
          <cell r="H1072" t="str">
            <v>ALTAMAR</v>
          </cell>
          <cell r="I1072">
            <v>6.96</v>
          </cell>
        </row>
        <row r="1073">
          <cell r="A1073" t="str">
            <v>19-01072</v>
          </cell>
          <cell r="B1073" t="str">
            <v>ORKHON GROUP</v>
          </cell>
          <cell r="C1073" t="str">
            <v>A</v>
          </cell>
          <cell r="D1073" t="str">
            <v>N/A</v>
          </cell>
          <cell r="E1073" t="str">
            <v>39359/Y1203-352 ALTAMAR SOMBRERO</v>
          </cell>
          <cell r="F1073" t="str">
            <v>SOMBRERO</v>
          </cell>
          <cell r="G1073">
            <v>116206</v>
          </cell>
          <cell r="H1073" t="str">
            <v>ALTAMAR</v>
          </cell>
          <cell r="I1073">
            <v>6.07</v>
          </cell>
        </row>
        <row r="1074">
          <cell r="A1074" t="str">
            <v>19-01073</v>
          </cell>
          <cell r="B1074" t="str">
            <v>ORKHON GROUP</v>
          </cell>
          <cell r="C1074" t="str">
            <v>A</v>
          </cell>
          <cell r="D1074" t="str">
            <v>N/A</v>
          </cell>
          <cell r="E1074" t="str">
            <v>39359/Y1203-356 ALTAMAR SOMBRERO</v>
          </cell>
          <cell r="F1074" t="str">
            <v>SOMBRERO</v>
          </cell>
          <cell r="G1074">
            <v>116207</v>
          </cell>
          <cell r="H1074" t="str">
            <v>ALTAMAR</v>
          </cell>
          <cell r="I1074">
            <v>6</v>
          </cell>
        </row>
        <row r="1075">
          <cell r="A1075" t="str">
            <v>19-01074</v>
          </cell>
          <cell r="B1075" t="str">
            <v>ORKHON GROUP</v>
          </cell>
          <cell r="C1075" t="str">
            <v>A</v>
          </cell>
          <cell r="D1075" t="str">
            <v>N/A</v>
          </cell>
          <cell r="E1075" t="str">
            <v>39359/Y1203-357 ALTAMAR SOMBRERO</v>
          </cell>
          <cell r="F1075" t="str">
            <v>SOMBRERO</v>
          </cell>
          <cell r="G1075">
            <v>116209</v>
          </cell>
          <cell r="H1075" t="str">
            <v>ALTAMAR</v>
          </cell>
          <cell r="I1075">
            <v>6.19</v>
          </cell>
        </row>
        <row r="1076">
          <cell r="A1076" t="str">
            <v>19-01075</v>
          </cell>
          <cell r="B1076" t="str">
            <v>ORKHON GROUP</v>
          </cell>
          <cell r="C1076" t="str">
            <v>A</v>
          </cell>
          <cell r="D1076" t="str">
            <v>N/A</v>
          </cell>
          <cell r="E1076" t="str">
            <v>39359/Y1203-360 ALTAMAR SOMBRERO</v>
          </cell>
          <cell r="F1076" t="str">
            <v>SOMBRERO</v>
          </cell>
          <cell r="G1076">
            <v>116212</v>
          </cell>
          <cell r="H1076" t="str">
            <v>ALTAMAR</v>
          </cell>
          <cell r="I1076">
            <v>5.92</v>
          </cell>
        </row>
        <row r="1077">
          <cell r="A1077" t="str">
            <v>19-01076</v>
          </cell>
          <cell r="B1077" t="str">
            <v>ORKHON GROUP</v>
          </cell>
          <cell r="C1077" t="str">
            <v>A</v>
          </cell>
          <cell r="D1077" t="str">
            <v>N/A</v>
          </cell>
          <cell r="E1077" t="str">
            <v>39359/Y1203-364 ALTAMAR SOMBRERO</v>
          </cell>
          <cell r="F1077" t="str">
            <v>SOMBRERO</v>
          </cell>
          <cell r="G1077">
            <v>116213</v>
          </cell>
          <cell r="H1077" t="str">
            <v>ALTAMAR</v>
          </cell>
          <cell r="I1077">
            <v>6.27</v>
          </cell>
        </row>
        <row r="1078">
          <cell r="A1078" t="str">
            <v>19-01077</v>
          </cell>
          <cell r="B1078" t="str">
            <v>ORKHON GROUP</v>
          </cell>
          <cell r="C1078" t="str">
            <v>A</v>
          </cell>
          <cell r="D1078" t="str">
            <v>N/A</v>
          </cell>
          <cell r="E1078" t="str">
            <v>39359/Y1203-358 ALTAMAR SOMBRERO</v>
          </cell>
          <cell r="F1078" t="str">
            <v>SOMBRERO</v>
          </cell>
          <cell r="G1078">
            <v>116214</v>
          </cell>
          <cell r="H1078" t="str">
            <v>ALTAMAR</v>
          </cell>
          <cell r="I1078">
            <v>6.95</v>
          </cell>
        </row>
        <row r="1079">
          <cell r="A1079" t="str">
            <v>19-01078</v>
          </cell>
          <cell r="B1079" t="str">
            <v>ORKHON GROUP</v>
          </cell>
          <cell r="C1079" t="str">
            <v>A</v>
          </cell>
          <cell r="D1079" t="str">
            <v>N/A</v>
          </cell>
          <cell r="E1079" t="str">
            <v>46372/Y1203-341 ALTAMAR PAREO</v>
          </cell>
          <cell r="F1079" t="str">
            <v>PAREO</v>
          </cell>
          <cell r="G1079">
            <v>116220</v>
          </cell>
          <cell r="H1079" t="str">
            <v>ALTAMAR</v>
          </cell>
          <cell r="I1079">
            <v>6.05</v>
          </cell>
        </row>
        <row r="1080">
          <cell r="A1080" t="str">
            <v>19-01079</v>
          </cell>
          <cell r="B1080" t="str">
            <v>ORKHON GROUP</v>
          </cell>
          <cell r="C1080" t="str">
            <v>A</v>
          </cell>
          <cell r="D1080" t="str">
            <v>N/A</v>
          </cell>
          <cell r="E1080" t="str">
            <v>38774/Y1203-344 ALTAMAR SOMBRERO</v>
          </cell>
          <cell r="F1080" t="str">
            <v>PAREO</v>
          </cell>
          <cell r="G1080">
            <v>116249</v>
          </cell>
          <cell r="H1080" t="str">
            <v>ALTAMAR</v>
          </cell>
          <cell r="I1080">
            <v>6.91</v>
          </cell>
        </row>
        <row r="1081">
          <cell r="A1081" t="str">
            <v>19-01080</v>
          </cell>
          <cell r="B1081" t="str">
            <v>ORKHON GROUP</v>
          </cell>
          <cell r="C1081" t="str">
            <v>A</v>
          </cell>
          <cell r="D1081" t="str">
            <v>N/A</v>
          </cell>
          <cell r="E1081" t="str">
            <v>38774/Y1203-345 ALTAMAR SOMBRERO</v>
          </cell>
          <cell r="F1081" t="str">
            <v>SOMBRERO</v>
          </cell>
          <cell r="G1081">
            <v>116250</v>
          </cell>
          <cell r="H1081" t="str">
            <v>ALTAMAR</v>
          </cell>
          <cell r="I1081">
            <v>5.94</v>
          </cell>
        </row>
        <row r="1082">
          <cell r="A1082" t="str">
            <v>19-01081</v>
          </cell>
          <cell r="B1082" t="str">
            <v>ORKHON GROUP</v>
          </cell>
          <cell r="C1082" t="str">
            <v>A</v>
          </cell>
          <cell r="D1082" t="str">
            <v>N/A</v>
          </cell>
          <cell r="E1082" t="str">
            <v>38774/Y1203-350 ALTAMAR SOMBRERO</v>
          </cell>
          <cell r="F1082" t="str">
            <v>SOMBRERO</v>
          </cell>
          <cell r="G1082">
            <v>116252</v>
          </cell>
          <cell r="H1082" t="str">
            <v>ALTAMAR</v>
          </cell>
          <cell r="I1082">
            <v>6.07</v>
          </cell>
        </row>
        <row r="1083">
          <cell r="A1083" t="str">
            <v>19-01082</v>
          </cell>
          <cell r="B1083" t="str">
            <v>ORKHON GROUP</v>
          </cell>
          <cell r="C1083" t="str">
            <v>A</v>
          </cell>
          <cell r="D1083" t="str">
            <v>N/A</v>
          </cell>
          <cell r="E1083" t="str">
            <v>38774/Y1203-342 ALTAMAR SOMBRERO</v>
          </cell>
          <cell r="F1083" t="str">
            <v>SOMBRERO</v>
          </cell>
          <cell r="G1083">
            <v>116253</v>
          </cell>
          <cell r="H1083" t="str">
            <v>ALTAMAR</v>
          </cell>
          <cell r="I1083">
            <v>6.42</v>
          </cell>
        </row>
        <row r="1084">
          <cell r="A1084" t="str">
            <v>19-01083</v>
          </cell>
          <cell r="B1084" t="str">
            <v>ORKHON GROUP</v>
          </cell>
          <cell r="C1084" t="str">
            <v>A</v>
          </cell>
          <cell r="D1084" t="str">
            <v>N/A</v>
          </cell>
          <cell r="E1084" t="str">
            <v>38774/Y1203-347 ALTAMAR SOMBRERO</v>
          </cell>
          <cell r="F1084" t="str">
            <v>SOMBRERO</v>
          </cell>
          <cell r="G1084">
            <v>116254</v>
          </cell>
          <cell r="H1084" t="str">
            <v>ALTAMAR</v>
          </cell>
          <cell r="I1084">
            <v>6.91</v>
          </cell>
        </row>
        <row r="1085">
          <cell r="A1085" t="str">
            <v>19-01084</v>
          </cell>
          <cell r="B1085" t="str">
            <v>ORKHON GROUP</v>
          </cell>
          <cell r="C1085" t="str">
            <v>A</v>
          </cell>
          <cell r="D1085" t="str">
            <v>N/A</v>
          </cell>
          <cell r="E1085" t="str">
            <v>38774/Y1203-349 ALTAMAR SOMBRERO</v>
          </cell>
          <cell r="F1085" t="str">
            <v>SOMBRERO</v>
          </cell>
          <cell r="G1085">
            <v>116255</v>
          </cell>
          <cell r="H1085" t="str">
            <v>ALTAMAR</v>
          </cell>
          <cell r="I1085">
            <v>6.19</v>
          </cell>
        </row>
        <row r="1086">
          <cell r="A1086" t="str">
            <v>19-01085</v>
          </cell>
          <cell r="B1086" t="str">
            <v>ORKHON GROUP</v>
          </cell>
          <cell r="C1086" t="str">
            <v>A</v>
          </cell>
          <cell r="D1086" t="str">
            <v>N/A</v>
          </cell>
          <cell r="E1086" t="str">
            <v>1F-11022/Y1203-21 ALTAMAR BOLSO</v>
          </cell>
          <cell r="F1086" t="str">
            <v>BOLSO</v>
          </cell>
          <cell r="G1086">
            <v>116260</v>
          </cell>
          <cell r="H1086" t="str">
            <v>ALTAMAR</v>
          </cell>
          <cell r="I1086">
            <v>15.4</v>
          </cell>
        </row>
        <row r="1087">
          <cell r="A1087" t="str">
            <v>19-01086</v>
          </cell>
          <cell r="B1087" t="str">
            <v>ORKHON GROUP</v>
          </cell>
          <cell r="C1087" t="str">
            <v>A</v>
          </cell>
          <cell r="D1087" t="str">
            <v>N/A</v>
          </cell>
          <cell r="E1087" t="str">
            <v>1F-11022/Y1203-15 ALTAMAR BOLSO</v>
          </cell>
          <cell r="F1087" t="str">
            <v>BOLSO</v>
          </cell>
          <cell r="G1087">
            <v>116267</v>
          </cell>
          <cell r="H1087" t="str">
            <v>ALTAMAR</v>
          </cell>
          <cell r="I1087">
            <v>13</v>
          </cell>
        </row>
        <row r="1088">
          <cell r="A1088" t="str">
            <v>19-01087</v>
          </cell>
          <cell r="B1088" t="str">
            <v>ORKHON GROUP</v>
          </cell>
          <cell r="C1088" t="str">
            <v>A</v>
          </cell>
          <cell r="D1088" t="str">
            <v>N/A</v>
          </cell>
          <cell r="E1088" t="str">
            <v>46265/Y1203-334 ALTAMAR PAREO</v>
          </cell>
          <cell r="F1088" t="str">
            <v>PAREO</v>
          </cell>
          <cell r="G1088">
            <v>116288</v>
          </cell>
          <cell r="H1088" t="str">
            <v>ALTAMAR</v>
          </cell>
          <cell r="I1088">
            <v>6.2</v>
          </cell>
        </row>
        <row r="1089">
          <cell r="A1089" t="str">
            <v>19-01088</v>
          </cell>
          <cell r="B1089" t="str">
            <v>ORKHON GROUP</v>
          </cell>
          <cell r="C1089" t="str">
            <v>A</v>
          </cell>
          <cell r="D1089" t="str">
            <v>N/A</v>
          </cell>
          <cell r="E1089" t="str">
            <v>46265/Y1203-329 ALTAMAR PAREO</v>
          </cell>
          <cell r="F1089" t="str">
            <v>PAREO</v>
          </cell>
          <cell r="G1089">
            <v>116293</v>
          </cell>
          <cell r="H1089" t="str">
            <v>ALTAMAR</v>
          </cell>
          <cell r="I1089">
            <v>6.2</v>
          </cell>
        </row>
        <row r="1090">
          <cell r="A1090" t="str">
            <v>19-01089</v>
          </cell>
          <cell r="B1090" t="str">
            <v>ORKHON GROUP</v>
          </cell>
          <cell r="C1090" t="str">
            <v>A</v>
          </cell>
          <cell r="D1090" t="str">
            <v>N/A</v>
          </cell>
          <cell r="E1090" t="str">
            <v>46265/Y1203-319 ALTAMAR PAREO</v>
          </cell>
          <cell r="F1090" t="str">
            <v>PAREO</v>
          </cell>
          <cell r="G1090">
            <v>116294</v>
          </cell>
          <cell r="H1090" t="str">
            <v>ALTAMAR</v>
          </cell>
          <cell r="I1090">
            <v>4.9000000000000004</v>
          </cell>
        </row>
        <row r="1091">
          <cell r="A1091" t="str">
            <v>19-01090</v>
          </cell>
          <cell r="B1091" t="str">
            <v>ORKHON GROUP</v>
          </cell>
          <cell r="C1091" t="str">
            <v>A</v>
          </cell>
          <cell r="D1091" t="str">
            <v>N/A</v>
          </cell>
          <cell r="E1091" t="str">
            <v>46265/Y1203-320 ALTAMAR PAREO</v>
          </cell>
          <cell r="F1091" t="str">
            <v>PAREO</v>
          </cell>
          <cell r="G1091">
            <v>116295</v>
          </cell>
          <cell r="H1091" t="str">
            <v>ALTAMAR</v>
          </cell>
          <cell r="I1091">
            <v>3.38</v>
          </cell>
        </row>
        <row r="1092">
          <cell r="A1092" t="str">
            <v>19-01091</v>
          </cell>
          <cell r="B1092" t="str">
            <v>ORKHON GROUP</v>
          </cell>
          <cell r="C1092" t="str">
            <v>A</v>
          </cell>
          <cell r="D1092" t="str">
            <v>N/A</v>
          </cell>
          <cell r="E1092" t="str">
            <v>46265/Y1203-316 ALTAMAR PAREO</v>
          </cell>
          <cell r="F1092" t="str">
            <v>PAREO</v>
          </cell>
          <cell r="G1092">
            <v>116297</v>
          </cell>
          <cell r="H1092" t="str">
            <v>ALTAMAR</v>
          </cell>
          <cell r="I1092">
            <v>2.25</v>
          </cell>
        </row>
        <row r="1093">
          <cell r="A1093" t="str">
            <v>19-01092</v>
          </cell>
          <cell r="B1093" t="str">
            <v>ORKHON GROUP</v>
          </cell>
          <cell r="C1093" t="str">
            <v>A</v>
          </cell>
          <cell r="D1093" t="str">
            <v>N/A</v>
          </cell>
          <cell r="E1093" t="str">
            <v>46265/Y1203-327 ALTAMAR PAREO</v>
          </cell>
          <cell r="F1093" t="str">
            <v>PAREO</v>
          </cell>
          <cell r="G1093">
            <v>116298</v>
          </cell>
          <cell r="H1093" t="str">
            <v>ALTAMAR</v>
          </cell>
          <cell r="I1093">
            <v>2.25</v>
          </cell>
        </row>
        <row r="1094">
          <cell r="A1094" t="str">
            <v>19-01093</v>
          </cell>
          <cell r="B1094" t="str">
            <v>ORKHON GROUP</v>
          </cell>
          <cell r="C1094" t="str">
            <v>A</v>
          </cell>
          <cell r="D1094" t="str">
            <v>N/A</v>
          </cell>
          <cell r="E1094" t="str">
            <v>2C-4350/Y1203-290 ALTAMAR BRACELETE</v>
          </cell>
          <cell r="F1094" t="str">
            <v>BRACELETE</v>
          </cell>
          <cell r="G1094">
            <v>116331</v>
          </cell>
          <cell r="H1094" t="str">
            <v>ALTAMAR</v>
          </cell>
          <cell r="I1094">
            <v>0.99</v>
          </cell>
        </row>
        <row r="1095">
          <cell r="A1095" t="str">
            <v>19-01094</v>
          </cell>
          <cell r="B1095" t="str">
            <v>ORKHON GROUP</v>
          </cell>
          <cell r="C1095" t="str">
            <v>A</v>
          </cell>
          <cell r="D1095" t="str">
            <v>N/A</v>
          </cell>
          <cell r="E1095" t="str">
            <v>2C-4350/Y1203-286A ALTAMAR BRACELETE</v>
          </cell>
          <cell r="F1095" t="str">
            <v>BRACELETE</v>
          </cell>
          <cell r="G1095">
            <v>116333</v>
          </cell>
          <cell r="H1095" t="str">
            <v>ALTAMAR</v>
          </cell>
          <cell r="I1095">
            <v>0.98</v>
          </cell>
        </row>
        <row r="1096">
          <cell r="A1096" t="str">
            <v>19-01095</v>
          </cell>
          <cell r="B1096" t="str">
            <v>ORKHON GROUP</v>
          </cell>
          <cell r="C1096" t="str">
            <v>A</v>
          </cell>
          <cell r="D1096" t="str">
            <v>N/A</v>
          </cell>
          <cell r="E1096" t="str">
            <v>2C-4350/Y1203-285 ALTAMAR BRACELETE</v>
          </cell>
          <cell r="F1096" t="str">
            <v>BRACELETE</v>
          </cell>
          <cell r="G1096">
            <v>116334</v>
          </cell>
          <cell r="H1096" t="str">
            <v>ALTAMAR</v>
          </cell>
          <cell r="I1096">
            <v>0.99</v>
          </cell>
        </row>
        <row r="1097">
          <cell r="A1097" t="str">
            <v>19-01096</v>
          </cell>
          <cell r="B1097" t="str">
            <v>ORKHON GROUP</v>
          </cell>
          <cell r="C1097" t="str">
            <v>A</v>
          </cell>
          <cell r="D1097" t="str">
            <v>N/A</v>
          </cell>
          <cell r="E1097" t="str">
            <v>2C-4350/Y1203-284 ALTAMAR BRACELETE</v>
          </cell>
          <cell r="F1097" t="str">
            <v>BRACELETE</v>
          </cell>
          <cell r="G1097">
            <v>116335</v>
          </cell>
          <cell r="H1097" t="str">
            <v>ALTAMAR</v>
          </cell>
          <cell r="I1097">
            <v>0.94</v>
          </cell>
        </row>
        <row r="1098">
          <cell r="A1098" t="str">
            <v>19-01097</v>
          </cell>
          <cell r="B1098" t="str">
            <v>ORKHON GROUP</v>
          </cell>
          <cell r="C1098" t="str">
            <v>A</v>
          </cell>
          <cell r="D1098" t="str">
            <v>N/A</v>
          </cell>
          <cell r="E1098" t="str">
            <v>2C-4350/Y1203-286C ALTAMAR BRACELETE</v>
          </cell>
          <cell r="F1098" t="str">
            <v>BRACELETE</v>
          </cell>
          <cell r="G1098">
            <v>116339</v>
          </cell>
          <cell r="H1098" t="str">
            <v>ALTAMAR</v>
          </cell>
          <cell r="I1098">
            <v>0.98</v>
          </cell>
        </row>
        <row r="1099">
          <cell r="A1099" t="str">
            <v>19-01098</v>
          </cell>
          <cell r="B1099" t="str">
            <v>ORKHON GROUP</v>
          </cell>
          <cell r="C1099" t="str">
            <v>A</v>
          </cell>
          <cell r="D1099" t="str">
            <v>N/A</v>
          </cell>
          <cell r="E1099" t="str">
            <v>2C-4350/Y1203-289 ALTAMAR BRACELETE</v>
          </cell>
          <cell r="F1099" t="str">
            <v>BRACELETE</v>
          </cell>
          <cell r="G1099">
            <v>116340</v>
          </cell>
          <cell r="H1099" t="str">
            <v>ALTAMAR</v>
          </cell>
          <cell r="I1099">
            <v>0.5</v>
          </cell>
        </row>
        <row r="1100">
          <cell r="A1100" t="str">
            <v>19-01099</v>
          </cell>
          <cell r="B1100" t="str">
            <v>ORKHON GROUP</v>
          </cell>
          <cell r="C1100" t="str">
            <v>A</v>
          </cell>
          <cell r="D1100" t="str">
            <v>N/A</v>
          </cell>
          <cell r="E1100" t="str">
            <v>1G-11662/188-2 ALTAMAR BOLSO</v>
          </cell>
          <cell r="F1100" t="str">
            <v>BOLSO</v>
          </cell>
          <cell r="G1100">
            <v>116344</v>
          </cell>
          <cell r="H1100" t="str">
            <v>ALTAMAR</v>
          </cell>
          <cell r="I1100">
            <v>13.75</v>
          </cell>
        </row>
        <row r="1101">
          <cell r="A1101" t="str">
            <v>19-01100</v>
          </cell>
          <cell r="B1101" t="str">
            <v>ORKHON GROUP</v>
          </cell>
          <cell r="C1101" t="str">
            <v>A</v>
          </cell>
          <cell r="D1101" t="str">
            <v>N/A</v>
          </cell>
          <cell r="E1101" t="str">
            <v>2E-5870/SM111 ALTAMAR COLLAR</v>
          </cell>
          <cell r="F1101" t="str">
            <v>COLLAR</v>
          </cell>
          <cell r="G1101">
            <v>163</v>
          </cell>
          <cell r="H1101" t="str">
            <v>ALTAMAR</v>
          </cell>
          <cell r="I1101">
            <v>1.55</v>
          </cell>
        </row>
        <row r="1102">
          <cell r="A1102" t="str">
            <v>19-01101</v>
          </cell>
          <cell r="B1102" t="str">
            <v>N/A</v>
          </cell>
          <cell r="C1102" t="str">
            <v>D</v>
          </cell>
          <cell r="D1102" t="str">
            <v>N/A</v>
          </cell>
          <cell r="E1102" t="str">
            <v>S2FFFM-256 SKULLCANDY 50/50 BLACK / BLACK  W / MIC 3 DISCONTINUED</v>
          </cell>
          <cell r="F1102" t="str">
            <v>HEADPHONES</v>
          </cell>
          <cell r="G1102" t="str">
            <v>S2FFFM-256</v>
          </cell>
          <cell r="H1102" t="str">
            <v>SKULLCANDY</v>
          </cell>
          <cell r="I1102">
            <v>24.88</v>
          </cell>
        </row>
        <row r="1103">
          <cell r="A1103" t="str">
            <v>19-01102</v>
          </cell>
          <cell r="B1103" t="str">
            <v>N/A</v>
          </cell>
          <cell r="C1103" t="str">
            <v>D</v>
          </cell>
          <cell r="D1103" t="str">
            <v>N/A</v>
          </cell>
          <cell r="E1103" t="str">
            <v>S2FFFM-257 SKULLCANDY 50/50 WHITE CHROME W/ MIC3 DISCONTINUED</v>
          </cell>
          <cell r="F1103" t="str">
            <v>HEADPHONES</v>
          </cell>
          <cell r="G1103" t="str">
            <v>S2FFFM-257</v>
          </cell>
          <cell r="H1103" t="str">
            <v>SKULLCANDY</v>
          </cell>
          <cell r="I1103">
            <v>24.88</v>
          </cell>
        </row>
        <row r="1104">
          <cell r="A1104" t="str">
            <v>19-01103</v>
          </cell>
          <cell r="B1104" t="str">
            <v>N/A</v>
          </cell>
          <cell r="C1104" t="str">
            <v>D</v>
          </cell>
          <cell r="D1104" t="str">
            <v>N/A</v>
          </cell>
          <cell r="E1104" t="str">
            <v>S2FFFM-258 SKULLCANDY 50/50 BLACK / RED W / MIC 3 DISCONTINUED</v>
          </cell>
          <cell r="F1104" t="str">
            <v>HEADPHONES</v>
          </cell>
          <cell r="G1104" t="str">
            <v>S2FFFM-258</v>
          </cell>
          <cell r="H1104" t="str">
            <v>SKULLCANDY</v>
          </cell>
          <cell r="I1104">
            <v>24.88</v>
          </cell>
        </row>
        <row r="1105">
          <cell r="A1105" t="str">
            <v>19-01104</v>
          </cell>
          <cell r="B1105" t="str">
            <v>N/A</v>
          </cell>
          <cell r="C1105" t="str">
            <v>D</v>
          </cell>
          <cell r="D1105" t="str">
            <v>N/A</v>
          </cell>
          <cell r="E1105" t="str">
            <v>S2FFFM-259 SKULLCANDY 50/50 NAVY / CHROME W/MIC 3 DISCONTINUED</v>
          </cell>
          <cell r="F1105" t="str">
            <v>HEADPHONES</v>
          </cell>
          <cell r="G1105" t="str">
            <v>S2FFFM-259</v>
          </cell>
          <cell r="H1105" t="str">
            <v>SKULLCANDY</v>
          </cell>
          <cell r="I1105">
            <v>24.88</v>
          </cell>
        </row>
        <row r="1106">
          <cell r="A1106" t="str">
            <v>19-01105</v>
          </cell>
          <cell r="B1106" t="str">
            <v>N/A</v>
          </cell>
          <cell r="C1106" t="str">
            <v>D</v>
          </cell>
          <cell r="D1106" t="str">
            <v>N/A</v>
          </cell>
          <cell r="E1106" t="str">
            <v>S2FFFM-260 SKULLCANDY 50/50 RASTA W/ MIC 3 DISCONTINUED</v>
          </cell>
          <cell r="F1106" t="str">
            <v>HEADPHONES</v>
          </cell>
          <cell r="G1106" t="str">
            <v>S2FFFM-260</v>
          </cell>
          <cell r="H1106" t="str">
            <v>SKULLCANDY</v>
          </cell>
          <cell r="I1106">
            <v>24.88</v>
          </cell>
        </row>
        <row r="1107">
          <cell r="A1107" t="str">
            <v>19-01106</v>
          </cell>
          <cell r="B1107" t="str">
            <v>N/A</v>
          </cell>
          <cell r="C1107" t="str">
            <v>D</v>
          </cell>
          <cell r="D1107" t="str">
            <v>N/A</v>
          </cell>
          <cell r="E1107" t="str">
            <v>S2FFFM-261 SKULLCANDY 50/50 LURKER GREEN/BLACK W/ MIC 3 DISCONTINUED</v>
          </cell>
          <cell r="F1107" t="str">
            <v>HEADPHONES</v>
          </cell>
          <cell r="G1107" t="str">
            <v>S2FFFM-261</v>
          </cell>
          <cell r="H1107" t="str">
            <v>SKULLCANDY</v>
          </cell>
          <cell r="I1107">
            <v>24.88</v>
          </cell>
        </row>
        <row r="1108">
          <cell r="A1108" t="str">
            <v>19-01107</v>
          </cell>
          <cell r="B1108" t="str">
            <v>N/A</v>
          </cell>
          <cell r="C1108" t="str">
            <v>D</v>
          </cell>
          <cell r="D1108" t="str">
            <v>N/A</v>
          </cell>
          <cell r="E1108" t="str">
            <v>S2FFDM-210 SKULLCANDY 50/50 ATHLETIC PURPLE W / MIC 3 DISCONTINUED</v>
          </cell>
          <cell r="F1108" t="str">
            <v>HEADPHONES</v>
          </cell>
          <cell r="G1108" t="str">
            <v>S2FFDM-210</v>
          </cell>
          <cell r="H1108" t="str">
            <v>SKULLCANDY</v>
          </cell>
          <cell r="I1108">
            <v>24.88</v>
          </cell>
        </row>
        <row r="1109">
          <cell r="A1109" t="str">
            <v>19-01108</v>
          </cell>
          <cell r="B1109" t="str">
            <v>N/A</v>
          </cell>
          <cell r="C1109" t="str">
            <v>D</v>
          </cell>
          <cell r="D1109" t="str">
            <v>N/A</v>
          </cell>
          <cell r="E1109" t="str">
            <v>S2FFDM-209 SKULLCANDY 50/50 CARBON GREY/ BLACK W / MIC 3 DISCONTINUED</v>
          </cell>
          <cell r="F1109" t="str">
            <v>HEADPHONES</v>
          </cell>
          <cell r="G1109" t="str">
            <v>S2FFDM-209</v>
          </cell>
          <cell r="H1109" t="str">
            <v>SKULLCANDY</v>
          </cell>
          <cell r="I1109">
            <v>30</v>
          </cell>
        </row>
        <row r="1110">
          <cell r="A1110" t="str">
            <v>19-01109</v>
          </cell>
          <cell r="B1110" t="str">
            <v>N/A</v>
          </cell>
          <cell r="C1110" t="str">
            <v>D</v>
          </cell>
          <cell r="D1110" t="str">
            <v>N/A</v>
          </cell>
          <cell r="E1110" t="str">
            <v>S5CSDY-252 SKULLCANDY CASSETTE LURKER TOXIC FLYER W/ MIC DISCONTINUED</v>
          </cell>
          <cell r="F1110" t="str">
            <v>HEADPHONES</v>
          </cell>
          <cell r="G1110" t="str">
            <v>S5CSDY-252</v>
          </cell>
          <cell r="H1110" t="str">
            <v>SKULLCANDY</v>
          </cell>
          <cell r="I1110">
            <v>33.832999999999998</v>
          </cell>
        </row>
        <row r="1111">
          <cell r="A1111" t="str">
            <v>19-01110</v>
          </cell>
          <cell r="B1111" t="str">
            <v>N/A</v>
          </cell>
          <cell r="C1111" t="str">
            <v>D</v>
          </cell>
          <cell r="D1111" t="str">
            <v>N/A</v>
          </cell>
          <cell r="E1111" t="str">
            <v>S5CSDY-161 SKULLCANDY CASSETTE BLACK / BLACK W / MIC DISCONTINUED</v>
          </cell>
          <cell r="F1111" t="str">
            <v>HEADPHONES</v>
          </cell>
          <cell r="G1111" t="str">
            <v>S5CSDY-161</v>
          </cell>
          <cell r="H1111" t="str">
            <v>SKULLCANDY</v>
          </cell>
          <cell r="I1111">
            <v>33.832999999999998</v>
          </cell>
        </row>
        <row r="1112">
          <cell r="A1112" t="str">
            <v>19-01111</v>
          </cell>
          <cell r="B1112" t="str">
            <v>N/A</v>
          </cell>
          <cell r="C1112" t="str">
            <v>D</v>
          </cell>
          <cell r="D1112" t="str">
            <v>N/A</v>
          </cell>
          <cell r="E1112" t="str">
            <v>S5CSDY-220 SKULLCANDY CASSETTE ATHLETIC BLUE W / MIC DISCONTINUED</v>
          </cell>
          <cell r="F1112" t="str">
            <v>HEADPHONES</v>
          </cell>
          <cell r="G1112" t="str">
            <v>S5CSDY-220</v>
          </cell>
          <cell r="H1112" t="str">
            <v>SKULLCANDY</v>
          </cell>
          <cell r="I1112">
            <v>33.832999999999998</v>
          </cell>
        </row>
        <row r="1113">
          <cell r="A1113" t="str">
            <v>19-01112</v>
          </cell>
          <cell r="B1113" t="str">
            <v>N/A</v>
          </cell>
          <cell r="C1113" t="str">
            <v>D</v>
          </cell>
          <cell r="D1113" t="str">
            <v>N/A</v>
          </cell>
          <cell r="E1113" t="str">
            <v>S2FXFM-075 SKULLCANDY FIX IN EAR  WHITE / CHROME W / MIC 3 DISCONTINUED</v>
          </cell>
          <cell r="F1113" t="str">
            <v>HEADPHONES</v>
          </cell>
          <cell r="G1113" t="str">
            <v>S2FXFM-075</v>
          </cell>
          <cell r="H1113" t="str">
            <v>SKULLCANDY</v>
          </cell>
          <cell r="I1113">
            <v>37.81</v>
          </cell>
        </row>
        <row r="1114">
          <cell r="A1114" t="str">
            <v>19-01113</v>
          </cell>
          <cell r="B1114" t="str">
            <v>N/A</v>
          </cell>
          <cell r="C1114" t="str">
            <v>D</v>
          </cell>
          <cell r="D1114" t="str">
            <v>N/A</v>
          </cell>
          <cell r="E1114" t="str">
            <v>S2FXFM-161 SKULLCANDY FIX IN EAR RED / CHROME W / MIC 3 DISCONTINUED</v>
          </cell>
          <cell r="F1114" t="str">
            <v>HEADPHONES</v>
          </cell>
          <cell r="G1114" t="str">
            <v>S2FXFM-161</v>
          </cell>
          <cell r="H1114" t="str">
            <v>SKULLCANDY</v>
          </cell>
          <cell r="I1114">
            <v>37.81</v>
          </cell>
        </row>
        <row r="1115">
          <cell r="A1115" t="str">
            <v>19-01114</v>
          </cell>
          <cell r="B1115" t="str">
            <v>N/A</v>
          </cell>
          <cell r="C1115" t="str">
            <v>D</v>
          </cell>
          <cell r="D1115" t="str">
            <v>N/A</v>
          </cell>
          <cell r="E1115" t="str">
            <v>S2FXDM-213 SKULLCANDY FIX IN EAR ATHLETIC ORANGE / GREY W / MIC 3 DISCONTINUED</v>
          </cell>
          <cell r="F1115" t="str">
            <v>HEADPHONES</v>
          </cell>
          <cell r="G1115" t="str">
            <v>S2FXDM-213</v>
          </cell>
          <cell r="H1115" t="str">
            <v>SKULLCANDY</v>
          </cell>
          <cell r="I1115">
            <v>38</v>
          </cell>
        </row>
        <row r="1116">
          <cell r="A1116" t="str">
            <v>19-01115</v>
          </cell>
          <cell r="B1116" t="str">
            <v>N/A</v>
          </cell>
          <cell r="C1116" t="str">
            <v>D</v>
          </cell>
          <cell r="D1116" t="str">
            <v>N/A</v>
          </cell>
          <cell r="E1116" t="str">
            <v>S6HSDY-120 SKULLCANDY HESH 2.0 CARBON / RED W / MIC 3 DISCONTINUED</v>
          </cell>
          <cell r="F1116" t="str">
            <v>HEADPHONES</v>
          </cell>
          <cell r="G1116" t="str">
            <v>S6HSDY-120</v>
          </cell>
          <cell r="H1116" t="str">
            <v>SKULLCANDY</v>
          </cell>
          <cell r="I1116">
            <v>41.793999999999997</v>
          </cell>
        </row>
        <row r="1117">
          <cell r="A1117" t="str">
            <v>19-01116</v>
          </cell>
          <cell r="B1117" t="str">
            <v>N/A</v>
          </cell>
          <cell r="C1117" t="str">
            <v>D</v>
          </cell>
          <cell r="D1117" t="str">
            <v>N/A</v>
          </cell>
          <cell r="E1117" t="str">
            <v>S6HSDZ-161 SKULLCANDY HESH 2.0 BLACK / BLACK DISCONTINUED</v>
          </cell>
          <cell r="F1117" t="str">
            <v>HEADPHONES</v>
          </cell>
          <cell r="G1117" t="str">
            <v>S6HSDZ-161</v>
          </cell>
          <cell r="H1117" t="str">
            <v>SKULLCANDY</v>
          </cell>
          <cell r="I1117">
            <v>38.808999999999997</v>
          </cell>
        </row>
        <row r="1118">
          <cell r="A1118" t="str">
            <v>19-01117</v>
          </cell>
          <cell r="B1118" t="str">
            <v>N/A</v>
          </cell>
          <cell r="C1118" t="str">
            <v>D</v>
          </cell>
          <cell r="D1118" t="str">
            <v>N/A</v>
          </cell>
          <cell r="E1118" t="str">
            <v>S6HSDZ-072 SKULLCANDY HESH 2.0 WHITE DISCONTINUED</v>
          </cell>
          <cell r="F1118" t="str">
            <v>HEADPHONES</v>
          </cell>
          <cell r="G1118" t="str">
            <v>S6HSDZ-072</v>
          </cell>
          <cell r="H1118" t="str">
            <v>SKULLCANDY</v>
          </cell>
          <cell r="I1118">
            <v>38.808999999999997</v>
          </cell>
        </row>
        <row r="1119">
          <cell r="A1119" t="str">
            <v>19-01118</v>
          </cell>
          <cell r="B1119" t="str">
            <v>N/A</v>
          </cell>
          <cell r="C1119" t="str">
            <v>D</v>
          </cell>
          <cell r="D1119" t="str">
            <v>N/A</v>
          </cell>
          <cell r="E1119" t="str">
            <v>S6HSDZ-224 SKULLCANDY HESH 2.0 GREY / GRIDLOCK DISCONTINUED</v>
          </cell>
          <cell r="F1119" t="str">
            <v>HEADPHONES</v>
          </cell>
          <cell r="G1119" t="str">
            <v>S6HSDZ-224</v>
          </cell>
          <cell r="H1119" t="str">
            <v>SKULLCANDY</v>
          </cell>
          <cell r="I1119">
            <v>38.808999999999997</v>
          </cell>
        </row>
        <row r="1120">
          <cell r="A1120" t="str">
            <v>19-01119</v>
          </cell>
          <cell r="B1120" t="str">
            <v>N/A</v>
          </cell>
          <cell r="C1120" t="str">
            <v>D</v>
          </cell>
          <cell r="D1120" t="str">
            <v>N/A</v>
          </cell>
          <cell r="E1120" t="str">
            <v>S2IKDZ-003 SKULLCANDY INKD 2.0 BLACK DISCONTINUED</v>
          </cell>
          <cell r="F1120" t="str">
            <v>HEADPHONES</v>
          </cell>
          <cell r="G1120" t="str">
            <v>S2IKDZ-003</v>
          </cell>
          <cell r="H1120" t="str">
            <v>SKULLCANDY</v>
          </cell>
          <cell r="I1120">
            <v>0</v>
          </cell>
        </row>
        <row r="1121">
          <cell r="A1121" t="str">
            <v>19-01120</v>
          </cell>
          <cell r="B1121" t="str">
            <v>N/A</v>
          </cell>
          <cell r="C1121" t="str">
            <v>D</v>
          </cell>
          <cell r="D1121" t="str">
            <v>N/A</v>
          </cell>
          <cell r="E1121" t="str">
            <v>S2IKDZ-101 SKULLCANDY INKD  2.0 BLUE / BLACK DISCONTINUED</v>
          </cell>
          <cell r="F1121" t="str">
            <v>HEADPHONES</v>
          </cell>
          <cell r="G1121" t="str">
            <v>S2IKDZ-101</v>
          </cell>
          <cell r="H1121" t="str">
            <v>SKULLCANDY</v>
          </cell>
          <cell r="I1121">
            <v>12.84</v>
          </cell>
        </row>
        <row r="1122">
          <cell r="A1122" t="str">
            <v>19-01121</v>
          </cell>
          <cell r="B1122" t="str">
            <v>N/A</v>
          </cell>
          <cell r="C1122" t="str">
            <v>D</v>
          </cell>
          <cell r="D1122" t="str">
            <v>N/A</v>
          </cell>
          <cell r="E1122" t="str">
            <v>S2IKDY-133 SKULLCANDY INKD 2.0 PINK / BLACK  W / MIC DISCONTINUED</v>
          </cell>
          <cell r="F1122" t="str">
            <v>HEADPHONES</v>
          </cell>
          <cell r="G1122" t="str">
            <v>S2IKDY-133</v>
          </cell>
          <cell r="H1122" t="str">
            <v>SKULLCANDY</v>
          </cell>
          <cell r="I1122">
            <v>12.84</v>
          </cell>
        </row>
        <row r="1123">
          <cell r="A1123" t="str">
            <v>19-01122</v>
          </cell>
          <cell r="B1123" t="str">
            <v>N/A</v>
          </cell>
          <cell r="C1123" t="str">
            <v>D</v>
          </cell>
          <cell r="D1123" t="str">
            <v>N/A</v>
          </cell>
          <cell r="E1123" t="str">
            <v>S2IKDZ- 058 SKULLCANDY INKD 2.0 RASTA DISCONTINUED</v>
          </cell>
          <cell r="F1123" t="str">
            <v>HEADPHONES</v>
          </cell>
          <cell r="G1123" t="str">
            <v>S2IKDZ-058</v>
          </cell>
          <cell r="H1123" t="str">
            <v>SKULLCANDY</v>
          </cell>
          <cell r="I1123">
            <v>11</v>
          </cell>
        </row>
        <row r="1124">
          <cell r="A1124" t="str">
            <v>19-01123</v>
          </cell>
          <cell r="B1124" t="str">
            <v>N/A</v>
          </cell>
          <cell r="C1124" t="str">
            <v>D</v>
          </cell>
          <cell r="D1124" t="str">
            <v>N/A</v>
          </cell>
          <cell r="E1124" t="str">
            <v>S2IKDY-003 SKULLCANDY INKD 2.0 BLACK W / MIC DISCONTINUED</v>
          </cell>
          <cell r="F1124" t="str">
            <v>HEADPHONES</v>
          </cell>
          <cell r="G1124" t="str">
            <v>S2IKDY-003</v>
          </cell>
          <cell r="H1124" t="str">
            <v>SKULLCANDY</v>
          </cell>
          <cell r="I1124">
            <v>12.84</v>
          </cell>
        </row>
        <row r="1125">
          <cell r="A1125" t="str">
            <v>19-01124</v>
          </cell>
          <cell r="B1125" t="str">
            <v>N/A</v>
          </cell>
          <cell r="C1125" t="str">
            <v>D</v>
          </cell>
          <cell r="D1125" t="str">
            <v>N/A</v>
          </cell>
          <cell r="E1125" t="str">
            <v>S2IKDY-010 SKULLCANDY INKD 2.0 BLACK / RED /  W / MIC DISCONTINUED</v>
          </cell>
          <cell r="F1125" t="str">
            <v>HEADPHONES</v>
          </cell>
          <cell r="G1125" t="str">
            <v>S2IKDY-010</v>
          </cell>
          <cell r="H1125" t="str">
            <v>SKULLCANDY</v>
          </cell>
          <cell r="I1125">
            <v>12.84</v>
          </cell>
        </row>
        <row r="1126">
          <cell r="A1126" t="str">
            <v>19-01125</v>
          </cell>
          <cell r="B1126" t="str">
            <v>N/A</v>
          </cell>
          <cell r="C1126" t="str">
            <v>D</v>
          </cell>
          <cell r="D1126" t="str">
            <v>N/A</v>
          </cell>
          <cell r="E1126" t="str">
            <v>S2IKDY-101 SKULLCANDY INKD 2.0 BLUE / BLACK W / MIC DISCONTINUED</v>
          </cell>
          <cell r="F1126" t="str">
            <v>HEADPHONES</v>
          </cell>
          <cell r="G1126" t="str">
            <v>S2IKDY-101</v>
          </cell>
          <cell r="H1126" t="str">
            <v>SKULLCANDY</v>
          </cell>
          <cell r="I1126">
            <v>12.84</v>
          </cell>
        </row>
        <row r="1127">
          <cell r="A1127" t="str">
            <v>19-01126</v>
          </cell>
          <cell r="B1127" t="str">
            <v>N/A</v>
          </cell>
          <cell r="C1127" t="str">
            <v>D</v>
          </cell>
          <cell r="D1127" t="str">
            <v>N/A</v>
          </cell>
          <cell r="E1127" t="str">
            <v>S2IKDY-144 SKULLCANDY INKD 2.0 GOLD / BLACK  W / MIC DISCONTINUED</v>
          </cell>
          <cell r="F1127" t="str">
            <v>HEADPHONES</v>
          </cell>
          <cell r="G1127" t="str">
            <v>S2IKDY-144</v>
          </cell>
          <cell r="H1127" t="str">
            <v>SKULLCANDY</v>
          </cell>
          <cell r="I1127">
            <v>0</v>
          </cell>
        </row>
        <row r="1128">
          <cell r="A1128" t="str">
            <v>19-01127</v>
          </cell>
          <cell r="B1128" t="str">
            <v>N/A</v>
          </cell>
          <cell r="C1128" t="str">
            <v>D</v>
          </cell>
          <cell r="D1128" t="str">
            <v>N/A</v>
          </cell>
          <cell r="E1128" t="str">
            <v>S2IKDY-102 SKULLCANDY INKD 2.0 RASTA  W / MIC DISCONTINUED</v>
          </cell>
          <cell r="F1128" t="str">
            <v>HEADPHONES</v>
          </cell>
          <cell r="G1128" t="str">
            <v>S2IKDY-102</v>
          </cell>
          <cell r="H1128" t="str">
            <v>SKULLCANDY</v>
          </cell>
          <cell r="I1128">
            <v>0</v>
          </cell>
        </row>
        <row r="1129">
          <cell r="A1129" t="str">
            <v>19-01128</v>
          </cell>
          <cell r="B1129" t="str">
            <v>N/A</v>
          </cell>
          <cell r="C1129" t="str">
            <v>D</v>
          </cell>
          <cell r="D1129" t="str">
            <v>N/A</v>
          </cell>
          <cell r="E1129" t="str">
            <v>S2IKDY-133 SKULLCANDY INKD 2.0 PINK / BLACK  W / MIC DISCONTINUED</v>
          </cell>
          <cell r="F1129" t="str">
            <v>HEADPHONES</v>
          </cell>
          <cell r="G1129" t="str">
            <v>S2IKDY-133</v>
          </cell>
          <cell r="H1129" t="str">
            <v>SKULLCANDY</v>
          </cell>
          <cell r="I1129">
            <v>14.4</v>
          </cell>
        </row>
        <row r="1130">
          <cell r="A1130" t="str">
            <v>19-01129</v>
          </cell>
          <cell r="B1130" t="str">
            <v>N/A</v>
          </cell>
          <cell r="C1130" t="str">
            <v>D</v>
          </cell>
          <cell r="D1130" t="str">
            <v>N/A</v>
          </cell>
          <cell r="E1130" t="str">
            <v>S2DUDZ-012 SKULLCANDY IN -EAR JIB BLUE DISCONTINUED</v>
          </cell>
          <cell r="F1130" t="str">
            <v>HEADPHONES</v>
          </cell>
          <cell r="G1130" t="str">
            <v>S2DUDZ-012</v>
          </cell>
          <cell r="H1130" t="str">
            <v>SKULLCANDY</v>
          </cell>
          <cell r="I1130">
            <v>0</v>
          </cell>
        </row>
        <row r="1131">
          <cell r="A1131" t="str">
            <v>19-01130</v>
          </cell>
          <cell r="B1131" t="str">
            <v>N/A</v>
          </cell>
          <cell r="C1131" t="str">
            <v>D</v>
          </cell>
          <cell r="D1131" t="str">
            <v>N/A</v>
          </cell>
          <cell r="E1131" t="str">
            <v>S2DUDZ-042 SKULLCANDY IN -EAR JIB PURPLE DISCONTINUED</v>
          </cell>
          <cell r="F1131" t="str">
            <v>HEADPHONES</v>
          </cell>
          <cell r="G1131" t="str">
            <v>S2DUDZ-042</v>
          </cell>
          <cell r="H1131" t="str">
            <v>SKULLCANDY</v>
          </cell>
          <cell r="I1131">
            <v>0</v>
          </cell>
        </row>
        <row r="1132">
          <cell r="A1132" t="str">
            <v>19-01131</v>
          </cell>
          <cell r="B1132" t="str">
            <v>N/A</v>
          </cell>
          <cell r="C1132" t="str">
            <v>D</v>
          </cell>
          <cell r="D1132" t="str">
            <v>N/A</v>
          </cell>
          <cell r="E1132" t="str">
            <v>S2DUDZ-003 SKULLCANDY IN -EAR JIB BLACK DISCONTINUED</v>
          </cell>
          <cell r="F1132" t="str">
            <v>HEADPHONES</v>
          </cell>
          <cell r="G1132" t="str">
            <v>S2DUDZ-003</v>
          </cell>
          <cell r="H1132" t="str">
            <v>SKULLCANDY</v>
          </cell>
          <cell r="I1132">
            <v>0</v>
          </cell>
        </row>
        <row r="1133">
          <cell r="A1133" t="str">
            <v>19-01132</v>
          </cell>
          <cell r="B1133" t="str">
            <v>N/A</v>
          </cell>
          <cell r="C1133" t="str">
            <v>D</v>
          </cell>
          <cell r="D1133" t="str">
            <v>N/A</v>
          </cell>
          <cell r="E1133" t="str">
            <v>S5LWFY-223 SKULLCANDY LOWRIDER GUN METAL / BLACK W / MIC DISCONTINUED</v>
          </cell>
          <cell r="F1133" t="str">
            <v>HEADPHONES</v>
          </cell>
          <cell r="G1133" t="str">
            <v>S5LWFY-223</v>
          </cell>
          <cell r="H1133" t="str">
            <v>SKULLCANDY</v>
          </cell>
          <cell r="I1133">
            <v>0</v>
          </cell>
        </row>
        <row r="1134">
          <cell r="A1134" t="str">
            <v>19-01133</v>
          </cell>
          <cell r="B1134" t="str">
            <v>N/A</v>
          </cell>
          <cell r="C1134" t="str">
            <v>D</v>
          </cell>
          <cell r="D1134" t="str">
            <v>N/A</v>
          </cell>
          <cell r="E1134" t="str">
            <v>S5LWFY-131 SKULLCANDY LOWRIDER  NAVY  /  CHROME W / MIC DISCONTINUED</v>
          </cell>
          <cell r="F1134" t="str">
            <v>HEADPHONES</v>
          </cell>
          <cell r="G1134" t="str">
            <v>S5LWFY-131</v>
          </cell>
          <cell r="H1134" t="str">
            <v>SKULLCANDY</v>
          </cell>
          <cell r="I1134">
            <v>0</v>
          </cell>
        </row>
        <row r="1135">
          <cell r="A1135" t="str">
            <v>19-01134</v>
          </cell>
          <cell r="B1135" t="str">
            <v>N/A</v>
          </cell>
          <cell r="C1135" t="str">
            <v>D</v>
          </cell>
          <cell r="D1135" t="str">
            <v>N/A</v>
          </cell>
          <cell r="E1135" t="str">
            <v>S5LWFY-210 SKULLCANDY LOWRIDER ATHLETIC PURPLE W / MIC DISCONTINUED</v>
          </cell>
          <cell r="F1135" t="str">
            <v>HEADPHONES</v>
          </cell>
          <cell r="G1135" t="str">
            <v>S5LWFY-210</v>
          </cell>
          <cell r="H1135" t="str">
            <v>SKULLCANDY</v>
          </cell>
          <cell r="I1135">
            <v>0</v>
          </cell>
        </row>
        <row r="1136">
          <cell r="A1136" t="str">
            <v>19-01135</v>
          </cell>
          <cell r="B1136" t="str">
            <v>N/A</v>
          </cell>
          <cell r="C1136" t="str">
            <v>D</v>
          </cell>
          <cell r="D1136" t="str">
            <v>N/A</v>
          </cell>
          <cell r="E1136" t="str">
            <v>S6MMFM-003 SKULLCANDY MIX MASTER DJ BLACK W / MIC 3 DISCONTINUED</v>
          </cell>
          <cell r="F1136" t="str">
            <v>HEADPHONES</v>
          </cell>
          <cell r="G1136" t="str">
            <v>S6MMFM-003</v>
          </cell>
          <cell r="H1136" t="str">
            <v>SKULLCANDY</v>
          </cell>
          <cell r="I1136">
            <v>0</v>
          </cell>
        </row>
        <row r="1137">
          <cell r="A1137" t="str">
            <v>19-01136</v>
          </cell>
          <cell r="B1137" t="str">
            <v>N/A</v>
          </cell>
          <cell r="C1137" t="str">
            <v>D</v>
          </cell>
          <cell r="D1137" t="str">
            <v>N/A</v>
          </cell>
          <cell r="E1137" t="str">
            <v>S2SBFY-033 SKULLCANDY SMOKIN BUDS BLACK / BLACK W / MIC DISCONTINUED</v>
          </cell>
          <cell r="F1137" t="str">
            <v>HEADPHONES</v>
          </cell>
          <cell r="G1137" t="str">
            <v>S2SBFY-033</v>
          </cell>
          <cell r="H1137" t="str">
            <v>SKULLCANDY</v>
          </cell>
          <cell r="I1137">
            <v>0</v>
          </cell>
        </row>
        <row r="1138">
          <cell r="A1138" t="str">
            <v>19-01137</v>
          </cell>
          <cell r="B1138" t="str">
            <v>N/A</v>
          </cell>
          <cell r="C1138" t="str">
            <v>D</v>
          </cell>
          <cell r="D1138" t="str">
            <v>N/A</v>
          </cell>
          <cell r="E1138" t="str">
            <v>S2SBFY-130 SKULLCANDY SMOKIN BUDS NAVY / CHROME  W / MIC DISCONTINUED</v>
          </cell>
          <cell r="F1138" t="str">
            <v>HEADPHONES</v>
          </cell>
          <cell r="G1138" t="str">
            <v>S2SBFY-130</v>
          </cell>
          <cell r="H1138" t="str">
            <v>SKULLCANDY</v>
          </cell>
          <cell r="I1138">
            <v>0</v>
          </cell>
        </row>
        <row r="1139">
          <cell r="A1139" t="str">
            <v>19-01138</v>
          </cell>
          <cell r="B1139" t="str">
            <v>N/A</v>
          </cell>
          <cell r="C1139" t="str">
            <v>D</v>
          </cell>
          <cell r="D1139" t="str">
            <v>N/A</v>
          </cell>
          <cell r="E1139" t="str">
            <v>S2SBFY-058 SKULLCANDY SMOKIN BUDS  RASTA W / MIC DISCONTINUED</v>
          </cell>
          <cell r="F1139" t="str">
            <v>HEADPHONES</v>
          </cell>
          <cell r="G1139" t="str">
            <v>S2SBFY-058</v>
          </cell>
          <cell r="H1139" t="str">
            <v>SKULLCANDY</v>
          </cell>
          <cell r="I1139">
            <v>0</v>
          </cell>
        </row>
        <row r="1140">
          <cell r="A1140" t="str">
            <v>19-01139</v>
          </cell>
          <cell r="B1140" t="str">
            <v>N/A</v>
          </cell>
          <cell r="C1140" t="str">
            <v>D</v>
          </cell>
          <cell r="D1140" t="str">
            <v>N/A</v>
          </cell>
          <cell r="E1140" t="str">
            <v>S2SBFY-129 SKULLCANDY SMOKIN BUDS BLACK / LURKER GREEN W / MIC DISCONTINUED</v>
          </cell>
          <cell r="F1140" t="str">
            <v>HEADPHONES</v>
          </cell>
          <cell r="G1140" t="str">
            <v>S2SBFY-129</v>
          </cell>
          <cell r="H1140" t="str">
            <v>SKULLCANDY</v>
          </cell>
          <cell r="I1140">
            <v>0</v>
          </cell>
        </row>
        <row r="1141">
          <cell r="A1141" t="str">
            <v>19-01140</v>
          </cell>
          <cell r="B1141" t="str">
            <v>N/A</v>
          </cell>
          <cell r="C1141" t="str">
            <v>D</v>
          </cell>
          <cell r="D1141" t="str">
            <v>N/A</v>
          </cell>
          <cell r="E1141" t="str">
            <v>S2SBDY-209 SKULLCANDY SMOKIN BUDS CARBON GREY / BLACK W/ MIC DISCONTINUED</v>
          </cell>
          <cell r="F1141" t="str">
            <v>HEADPHONES</v>
          </cell>
          <cell r="G1141" t="str">
            <v>S2SBDY-209</v>
          </cell>
          <cell r="H1141" t="str">
            <v>SKULLCANDY</v>
          </cell>
          <cell r="I1141">
            <v>0</v>
          </cell>
        </row>
        <row r="1142">
          <cell r="A1142" t="str">
            <v>19-01141</v>
          </cell>
          <cell r="B1142" t="str">
            <v>N/A</v>
          </cell>
          <cell r="C1142" t="str">
            <v>D</v>
          </cell>
          <cell r="D1142" t="str">
            <v>N/A</v>
          </cell>
          <cell r="E1142" t="str">
            <v>S2SBDY-210 SKULLCANDY SMOKIN BUDS ATHLETIC PURPLE / GREY W/ MIC DISCONTINUED</v>
          </cell>
          <cell r="F1142" t="str">
            <v>HEADPHONES</v>
          </cell>
          <cell r="G1142" t="str">
            <v>S2SBDY-210</v>
          </cell>
          <cell r="H1142" t="str">
            <v>SKULLCANDY</v>
          </cell>
          <cell r="I1142">
            <v>0</v>
          </cell>
        </row>
        <row r="1143">
          <cell r="A1143" t="str">
            <v>19-01142</v>
          </cell>
          <cell r="B1143" t="str">
            <v>N/A</v>
          </cell>
          <cell r="C1143" t="str">
            <v>D</v>
          </cell>
          <cell r="D1143" t="str">
            <v>N/A</v>
          </cell>
          <cell r="E1143" t="str">
            <v>S5URFZ-033 SKULLCANDY UPROCK BLACK / BLACK DISCONTINUED</v>
          </cell>
          <cell r="F1143" t="str">
            <v>HEADPHONES</v>
          </cell>
          <cell r="G1143" t="str">
            <v>S5URFZ-033</v>
          </cell>
          <cell r="H1143" t="str">
            <v>SKULLCANDY</v>
          </cell>
          <cell r="I1143">
            <v>19.260000000000002</v>
          </cell>
        </row>
        <row r="1144">
          <cell r="A1144" t="str">
            <v>19-01143</v>
          </cell>
          <cell r="B1144" t="str">
            <v>N/A</v>
          </cell>
          <cell r="C1144" t="str">
            <v>D</v>
          </cell>
          <cell r="D1144" t="str">
            <v>N/A</v>
          </cell>
          <cell r="E1144" t="str">
            <v>S5URDZ-212 SKULLCANDY UPROCK  ATHLETIC PURPLE / GREY DISCONTINUED</v>
          </cell>
          <cell r="F1144" t="str">
            <v>HEADPHONES</v>
          </cell>
          <cell r="G1144" t="str">
            <v>S5URDZ-212</v>
          </cell>
          <cell r="H1144" t="str">
            <v>SKULLCANDY</v>
          </cell>
          <cell r="I1144">
            <v>19.260000000000002</v>
          </cell>
        </row>
        <row r="1145">
          <cell r="A1145" t="str">
            <v>19-01144</v>
          </cell>
          <cell r="B1145" t="str">
            <v>N/A</v>
          </cell>
          <cell r="C1145" t="str">
            <v>D</v>
          </cell>
          <cell r="D1145" t="str">
            <v>N/A</v>
          </cell>
          <cell r="E1145" t="str">
            <v>S5URDZ-074 SKULLCANDY UPROCK  WHITE / BLACK DISCONTINUED</v>
          </cell>
          <cell r="F1145" t="str">
            <v>HEADPHONES</v>
          </cell>
          <cell r="G1145" t="str">
            <v>S5URDZ-074</v>
          </cell>
          <cell r="H1145" t="str">
            <v>SKULLCANDY</v>
          </cell>
          <cell r="I1145">
            <v>19.260000000000002</v>
          </cell>
        </row>
        <row r="1146">
          <cell r="A1146" t="str">
            <v>19-01145</v>
          </cell>
          <cell r="B1146" t="str">
            <v>N/A</v>
          </cell>
          <cell r="C1146" t="str">
            <v>D</v>
          </cell>
          <cell r="D1146" t="str">
            <v>N/A</v>
          </cell>
          <cell r="E1146" t="str">
            <v>S5URDY-003 SKULLCANDY UPROCK BLACK / BLACK W / MIC DISCONTINUED</v>
          </cell>
          <cell r="F1146" t="str">
            <v>HEADPHONES</v>
          </cell>
          <cell r="G1146" t="str">
            <v>S5URDY-003</v>
          </cell>
          <cell r="H1146" t="str">
            <v>SKULLCANDY</v>
          </cell>
          <cell r="I1146">
            <v>22.47</v>
          </cell>
        </row>
        <row r="1147">
          <cell r="A1147" t="str">
            <v>19-01146</v>
          </cell>
          <cell r="B1147" t="str">
            <v>N/A</v>
          </cell>
          <cell r="C1147" t="str">
            <v>D</v>
          </cell>
          <cell r="D1147" t="str">
            <v>N/A</v>
          </cell>
          <cell r="E1147" t="str">
            <v>S5URDY-236 SKULLCANDY UPROCK PLUM W / MIC DISCONTINUED</v>
          </cell>
          <cell r="F1147" t="str">
            <v>HEADPHONES</v>
          </cell>
          <cell r="G1147" t="str">
            <v>S5URDY-236</v>
          </cell>
          <cell r="H1147" t="str">
            <v>SKULLCANDY</v>
          </cell>
          <cell r="I1147">
            <v>22.47</v>
          </cell>
        </row>
        <row r="1148">
          <cell r="A1148" t="str">
            <v>19-01147</v>
          </cell>
          <cell r="B1148" t="str">
            <v>N/A</v>
          </cell>
          <cell r="C1148" t="str">
            <v>D</v>
          </cell>
          <cell r="D1148" t="str">
            <v>N/A</v>
          </cell>
          <cell r="E1148" t="str">
            <v>S5URDY-237 SKULLCANDY UPROCK ARMY GREEN W / MIC DISCONTINUED</v>
          </cell>
          <cell r="F1148" t="str">
            <v>HEADPHONES</v>
          </cell>
          <cell r="G1148" t="str">
            <v>S5URDY-237</v>
          </cell>
          <cell r="H1148" t="str">
            <v>SKULLCANDY</v>
          </cell>
          <cell r="I1148">
            <v>22.47</v>
          </cell>
        </row>
        <row r="1149">
          <cell r="A1149" t="str">
            <v>19-01148</v>
          </cell>
          <cell r="B1149" t="str">
            <v>N/A</v>
          </cell>
          <cell r="C1149" t="str">
            <v>D</v>
          </cell>
          <cell r="D1149" t="str">
            <v>N/A</v>
          </cell>
          <cell r="E1149" t="str">
            <v>S5URDY-238 SKULLCANDY UPROCK WHITE / BLUE W / MIC DISCONTINUED</v>
          </cell>
          <cell r="F1149" t="str">
            <v>HEADPHONES</v>
          </cell>
          <cell r="G1149" t="str">
            <v>S5URDY-238</v>
          </cell>
          <cell r="H1149" t="str">
            <v>SKULLCANDY</v>
          </cell>
          <cell r="I1149">
            <v>22.47</v>
          </cell>
        </row>
        <row r="1150">
          <cell r="A1150" t="str">
            <v>19-01149</v>
          </cell>
          <cell r="B1150" t="str">
            <v>N/A</v>
          </cell>
          <cell r="C1150" t="str">
            <v>D</v>
          </cell>
          <cell r="D1150" t="str">
            <v>N/A</v>
          </cell>
          <cell r="E1150" t="str">
            <v>S5URDZ-204 SKULLCANDY UPROCK CARBON GREY DISCONTINUED</v>
          </cell>
          <cell r="F1150" t="str">
            <v>HEADPHONES</v>
          </cell>
          <cell r="G1150" t="str">
            <v>S5URDZ-204</v>
          </cell>
          <cell r="H1150" t="str">
            <v>SKULLCANDY</v>
          </cell>
          <cell r="I1150">
            <v>19.260000000000002</v>
          </cell>
        </row>
        <row r="1151">
          <cell r="A1151" t="str">
            <v>19-01150</v>
          </cell>
          <cell r="B1151" t="str">
            <v>N/A</v>
          </cell>
          <cell r="C1151" t="str">
            <v>D</v>
          </cell>
          <cell r="D1151" t="str">
            <v>N/A</v>
          </cell>
          <cell r="E1151" t="str">
            <v>S5URDZ-218 SKULLCANDY UPROCK ATHLETIC RED DISCONTINUED</v>
          </cell>
          <cell r="F1151" t="str">
            <v>HEADPHONES</v>
          </cell>
          <cell r="G1151" t="str">
            <v>S5URDZ-218</v>
          </cell>
          <cell r="H1151" t="str">
            <v>SKULLCANDY</v>
          </cell>
          <cell r="I1151">
            <v>19.260000000000002</v>
          </cell>
        </row>
        <row r="1152">
          <cell r="A1152" t="str">
            <v>19-01151</v>
          </cell>
          <cell r="B1152" t="str">
            <v>N/A</v>
          </cell>
          <cell r="C1152" t="str">
            <v>D</v>
          </cell>
          <cell r="D1152" t="str">
            <v>N/A</v>
          </cell>
          <cell r="E1152" t="str">
            <v>DSY LB4014 LAPTOPBAG MIKEY 15.6" DISCONTINUED</v>
          </cell>
          <cell r="F1152" t="str">
            <v>BOLSA DE LAPTOP</v>
          </cell>
          <cell r="G1152" t="str">
            <v>DSY LB4014</v>
          </cell>
          <cell r="H1152" t="str">
            <v>TIME CENTER</v>
          </cell>
          <cell r="I1152">
            <v>27</v>
          </cell>
        </row>
        <row r="1153">
          <cell r="A1153" t="str">
            <v>19-01152</v>
          </cell>
          <cell r="B1153" t="str">
            <v>N/A</v>
          </cell>
          <cell r="C1153" t="str">
            <v>D</v>
          </cell>
          <cell r="D1153" t="str">
            <v>N/A</v>
          </cell>
          <cell r="E1153" t="str">
            <v>DSY HP731 HEADPHONE CARDS DISCONTINUED</v>
          </cell>
          <cell r="F1153" t="str">
            <v>AUDIFONO</v>
          </cell>
          <cell r="G1153" t="str">
            <v>DSY HP731</v>
          </cell>
          <cell r="H1153" t="str">
            <v>TIME CENTER</v>
          </cell>
          <cell r="I1153">
            <v>9.5</v>
          </cell>
        </row>
        <row r="1154">
          <cell r="A1154" t="str">
            <v>19-01153</v>
          </cell>
          <cell r="B1154" t="str">
            <v>N/A</v>
          </cell>
          <cell r="C1154" t="str">
            <v>D</v>
          </cell>
          <cell r="D1154" t="str">
            <v>N/A</v>
          </cell>
          <cell r="E1154" t="str">
            <v>CPL LB1501K LAPTOPSLEEVE 11.6' ABSTRACT DISCONTINUED</v>
          </cell>
          <cell r="F1154" t="str">
            <v>MALETA</v>
          </cell>
          <cell r="G1154" t="str">
            <v>CPL LB1501K</v>
          </cell>
          <cell r="H1154" t="str">
            <v>TIME CENTER</v>
          </cell>
          <cell r="I1154">
            <v>8.4499999999999993</v>
          </cell>
        </row>
        <row r="1155">
          <cell r="A1155" t="str">
            <v>19-01154</v>
          </cell>
          <cell r="B1155" t="str">
            <v>N/A</v>
          </cell>
          <cell r="C1155" t="str">
            <v>D</v>
          </cell>
          <cell r="D1155" t="str">
            <v>N/A</v>
          </cell>
          <cell r="E1155" t="str">
            <v>CPL LB1501 LAPTOPSLEEVE 15.6' ABSTRACT DISCONTINUED</v>
          </cell>
          <cell r="F1155" t="str">
            <v>MALETA</v>
          </cell>
          <cell r="G1155" t="str">
            <v>CPL LB1501</v>
          </cell>
          <cell r="H1155" t="str">
            <v>TIME CENTER</v>
          </cell>
          <cell r="I1155">
            <v>15.75</v>
          </cell>
        </row>
        <row r="1156">
          <cell r="A1156" t="str">
            <v>19-01155</v>
          </cell>
          <cell r="B1156" t="str">
            <v>N/A</v>
          </cell>
          <cell r="C1156" t="str">
            <v>D</v>
          </cell>
          <cell r="D1156" t="str">
            <v>N/A</v>
          </cell>
          <cell r="E1156" t="str">
            <v>CPL MO1005 OPTICAL MOUSE DISCONTINUED</v>
          </cell>
          <cell r="F1156" t="str">
            <v>MOUSE</v>
          </cell>
          <cell r="G1156" t="str">
            <v>CPL LB1501</v>
          </cell>
          <cell r="H1156" t="str">
            <v>TIME CENTER</v>
          </cell>
          <cell r="I1156">
            <v>8.4499999999999993</v>
          </cell>
        </row>
        <row r="1157">
          <cell r="A1157" t="str">
            <v>19-01156</v>
          </cell>
          <cell r="B1157" t="str">
            <v>N/A</v>
          </cell>
          <cell r="C1157" t="str">
            <v>D</v>
          </cell>
          <cell r="D1157" t="str">
            <v>N/A</v>
          </cell>
          <cell r="E1157" t="str">
            <v>DSY MO150 MOUSE OPTICO MICKEY DISCONTINUED</v>
          </cell>
          <cell r="F1157" t="str">
            <v>MOUSE</v>
          </cell>
          <cell r="G1157" t="str">
            <v>DSY MO150</v>
          </cell>
          <cell r="H1157" t="str">
            <v>TIME CENTER</v>
          </cell>
          <cell r="I1157">
            <v>10.5</v>
          </cell>
        </row>
        <row r="1158">
          <cell r="A1158" t="str">
            <v>19-01157</v>
          </cell>
          <cell r="B1158" t="str">
            <v>N/A</v>
          </cell>
          <cell r="C1158" t="str">
            <v>D</v>
          </cell>
          <cell r="D1158" t="str">
            <v>N/A</v>
          </cell>
          <cell r="E1158" t="str">
            <v>DSY MM220 MINI MOUSE OPTICO MICKEY DISCONTINUED</v>
          </cell>
          <cell r="F1158" t="str">
            <v>MOUSE</v>
          </cell>
          <cell r="G1158" t="str">
            <v>DSY MM220</v>
          </cell>
          <cell r="H1158" t="str">
            <v>TIME CENTER</v>
          </cell>
          <cell r="I1158">
            <v>10.5</v>
          </cell>
        </row>
        <row r="1159">
          <cell r="A1159" t="str">
            <v>19-01158</v>
          </cell>
          <cell r="B1159" t="str">
            <v>N/A</v>
          </cell>
          <cell r="C1159" t="str">
            <v>D</v>
          </cell>
          <cell r="D1159" t="str">
            <v>N/A</v>
          </cell>
          <cell r="E1159" t="str">
            <v>DSY MM212 MINI MOUSE OPTIC PRINCESS DISCONTINUED</v>
          </cell>
          <cell r="F1159" t="str">
            <v>MOUSE</v>
          </cell>
          <cell r="G1159" t="str">
            <v>DSY MM212</v>
          </cell>
          <cell r="H1159" t="str">
            <v>TIME CENTER</v>
          </cell>
          <cell r="I1159">
            <v>10.5</v>
          </cell>
        </row>
        <row r="1160">
          <cell r="A1160" t="str">
            <v>19-01159</v>
          </cell>
          <cell r="B1160" t="str">
            <v>N/A</v>
          </cell>
          <cell r="C1160" t="str">
            <v>D</v>
          </cell>
          <cell r="D1160" t="str">
            <v>N/A</v>
          </cell>
          <cell r="E1160" t="str">
            <v>CPL TP1901 TWIN PACK MO1001+MP1301 DISCONTINUED</v>
          </cell>
          <cell r="F1160" t="str">
            <v>MOUSE</v>
          </cell>
          <cell r="G1160" t="str">
            <v>CPL TP1901</v>
          </cell>
          <cell r="H1160" t="str">
            <v>TIME CENTER</v>
          </cell>
          <cell r="I1160">
            <v>10.5</v>
          </cell>
        </row>
        <row r="1161">
          <cell r="A1161" t="str">
            <v>19-01160</v>
          </cell>
          <cell r="B1161" t="str">
            <v>N/A</v>
          </cell>
          <cell r="C1161" t="str">
            <v>D</v>
          </cell>
          <cell r="D1161" t="str">
            <v>N/A</v>
          </cell>
          <cell r="E1161" t="str">
            <v>CPL MW1101 WIRELESS MOUSE ABSTRACT DISCONTINUED</v>
          </cell>
          <cell r="F1161" t="str">
            <v>MOUSE</v>
          </cell>
          <cell r="G1161" t="str">
            <v>CPL MW1101</v>
          </cell>
          <cell r="H1161" t="str">
            <v>TIME CENTER</v>
          </cell>
          <cell r="I1161">
            <v>14.75</v>
          </cell>
        </row>
        <row r="1162">
          <cell r="A1162" t="str">
            <v>19-01161</v>
          </cell>
          <cell r="B1162" t="str">
            <v>N/A</v>
          </cell>
          <cell r="C1162" t="str">
            <v>D</v>
          </cell>
          <cell r="D1162" t="str">
            <v>N/A</v>
          </cell>
          <cell r="E1162" t="str">
            <v>CPL MW1105 WIRELESS MOUSE ANIMAL DISCONTINUED</v>
          </cell>
          <cell r="F1162" t="str">
            <v>MOUSE</v>
          </cell>
          <cell r="G1162" t="str">
            <v>CPL MW1105</v>
          </cell>
          <cell r="H1162" t="str">
            <v>TIME CENTER</v>
          </cell>
          <cell r="I1162">
            <v>14.75</v>
          </cell>
        </row>
        <row r="1163">
          <cell r="A1163" t="str">
            <v>19-01162</v>
          </cell>
          <cell r="B1163" t="str">
            <v>N/A</v>
          </cell>
          <cell r="C1163" t="str">
            <v>D</v>
          </cell>
          <cell r="D1163" t="str">
            <v>N/A</v>
          </cell>
          <cell r="E1163" t="str">
            <v>DSY LB3002K LAPTOP CARDS 10' DISCONTINUED</v>
          </cell>
          <cell r="F1163" t="str">
            <v>BOLSA DE LAPTOP</v>
          </cell>
          <cell r="G1163" t="str">
            <v>DSY LB3002K</v>
          </cell>
          <cell r="H1163" t="str">
            <v>TIME CENTER</v>
          </cell>
          <cell r="I1163">
            <v>12.95</v>
          </cell>
        </row>
        <row r="1164">
          <cell r="A1164" t="str">
            <v>19-01163</v>
          </cell>
          <cell r="B1164" t="str">
            <v>N/A</v>
          </cell>
          <cell r="C1164" t="str">
            <v>D</v>
          </cell>
          <cell r="D1164" t="str">
            <v>N/A</v>
          </cell>
          <cell r="E1164" t="str">
            <v>DSY TP3002 DISNEY MICKEY OPTICAL MOUSE DISCONTINUED</v>
          </cell>
          <cell r="F1164" t="str">
            <v>MOUSE</v>
          </cell>
          <cell r="G1164" t="str">
            <v>DSY TP3002</v>
          </cell>
          <cell r="H1164" t="str">
            <v>TIME CENTER</v>
          </cell>
          <cell r="I1164">
            <v>12.75</v>
          </cell>
        </row>
        <row r="1165">
          <cell r="A1165" t="str">
            <v>19-01164</v>
          </cell>
          <cell r="B1165" t="str">
            <v>FOSTER</v>
          </cell>
          <cell r="C1165" t="str">
            <v>A</v>
          </cell>
          <cell r="D1165" t="str">
            <v>NO</v>
          </cell>
          <cell r="E1165" t="str">
            <v>15607 FOSTER PELUCHE MICKEY 10"</v>
          </cell>
          <cell r="F1165" t="str">
            <v>PELUCHE</v>
          </cell>
          <cell r="G1165">
            <v>15607</v>
          </cell>
          <cell r="H1165" t="str">
            <v>FOSTER</v>
          </cell>
          <cell r="I1165">
            <v>5.45</v>
          </cell>
        </row>
        <row r="1166">
          <cell r="A1166" t="str">
            <v>19-01165</v>
          </cell>
          <cell r="B1166" t="str">
            <v>FOSTER</v>
          </cell>
          <cell r="C1166" t="str">
            <v>A</v>
          </cell>
          <cell r="D1166" t="str">
            <v>NO</v>
          </cell>
          <cell r="E1166" t="str">
            <v>15608 FOSTER PELUCHE MINNIE 10"</v>
          </cell>
          <cell r="F1166" t="str">
            <v>PELUCHE</v>
          </cell>
          <cell r="G1166">
            <v>15608</v>
          </cell>
          <cell r="H1166" t="str">
            <v>FOSTER</v>
          </cell>
          <cell r="I1166">
            <v>5.45</v>
          </cell>
        </row>
        <row r="1167">
          <cell r="A1167" t="str">
            <v>19-01166</v>
          </cell>
          <cell r="B1167" t="str">
            <v>FOSTER</v>
          </cell>
          <cell r="C1167" t="str">
            <v>A</v>
          </cell>
          <cell r="D1167" t="str">
            <v>NO</v>
          </cell>
          <cell r="E1167" t="str">
            <v>16505 FOSTER PELUCHE PLUTO 10"</v>
          </cell>
          <cell r="F1167" t="str">
            <v>PELUCHE</v>
          </cell>
          <cell r="G1167">
            <v>16505</v>
          </cell>
          <cell r="H1167" t="str">
            <v>FOSTER</v>
          </cell>
          <cell r="I1167">
            <v>5.45</v>
          </cell>
        </row>
        <row r="1168">
          <cell r="A1168" t="str">
            <v>19-01167</v>
          </cell>
          <cell r="B1168" t="str">
            <v>FOSTER</v>
          </cell>
          <cell r="C1168" t="str">
            <v>A</v>
          </cell>
          <cell r="D1168" t="str">
            <v>NO</v>
          </cell>
          <cell r="E1168" t="str">
            <v>16506 FOSTER PELUCHE GOOFY 10"</v>
          </cell>
          <cell r="F1168" t="str">
            <v>PELUCHE</v>
          </cell>
          <cell r="G1168">
            <v>16506</v>
          </cell>
          <cell r="H1168" t="str">
            <v>FOSTER</v>
          </cell>
          <cell r="I1168">
            <v>5.45</v>
          </cell>
        </row>
        <row r="1169">
          <cell r="A1169" t="str">
            <v>19-01168</v>
          </cell>
          <cell r="B1169" t="str">
            <v>FOSTER</v>
          </cell>
          <cell r="C1169" t="str">
            <v>A</v>
          </cell>
          <cell r="D1169" t="str">
            <v>NO</v>
          </cell>
          <cell r="E1169" t="str">
            <v>16507 FOSTER PELUCHE DONALD 10"</v>
          </cell>
          <cell r="F1169" t="str">
            <v>PELUCHE</v>
          </cell>
          <cell r="G1169">
            <v>16507</v>
          </cell>
          <cell r="H1169" t="str">
            <v>FOSTER</v>
          </cell>
          <cell r="I1169">
            <v>5.45</v>
          </cell>
        </row>
        <row r="1170">
          <cell r="A1170" t="str">
            <v>19-01169</v>
          </cell>
          <cell r="B1170" t="str">
            <v>FOSTER</v>
          </cell>
          <cell r="C1170" t="str">
            <v>A</v>
          </cell>
          <cell r="D1170" t="str">
            <v>NO</v>
          </cell>
          <cell r="E1170" t="str">
            <v>16508 FOSTER PELUCHE DAISY 10"</v>
          </cell>
          <cell r="F1170" t="str">
            <v>PELUCHE</v>
          </cell>
          <cell r="G1170">
            <v>16508</v>
          </cell>
          <cell r="H1170" t="str">
            <v>FOSTER</v>
          </cell>
          <cell r="I1170">
            <v>5.45</v>
          </cell>
        </row>
        <row r="1171">
          <cell r="A1171" t="str">
            <v>19-01170</v>
          </cell>
          <cell r="B1171" t="str">
            <v>ORKHON GROUP</v>
          </cell>
          <cell r="C1171" t="str">
            <v>A</v>
          </cell>
          <cell r="D1171" t="str">
            <v>N/A</v>
          </cell>
          <cell r="E1171" t="str">
            <v>1F-10468/Y1203-23 ALTAMAR CESTA</v>
          </cell>
          <cell r="F1171" t="str">
            <v>BOLSO</v>
          </cell>
          <cell r="G1171" t="str">
            <v>1F-10468/Y1203-23</v>
          </cell>
          <cell r="H1171" t="str">
            <v>ALTAMAR</v>
          </cell>
          <cell r="I1171">
            <v>4</v>
          </cell>
        </row>
        <row r="1172">
          <cell r="A1172" t="str">
            <v>19-01171</v>
          </cell>
          <cell r="B1172" t="str">
            <v>ORKHON GROUP</v>
          </cell>
          <cell r="C1172" t="str">
            <v>A</v>
          </cell>
          <cell r="D1172" t="str">
            <v>N/A</v>
          </cell>
          <cell r="E1172" t="str">
            <v>39-HA359001 ALTAMAR BOLSO</v>
          </cell>
          <cell r="F1172" t="str">
            <v>BOLSO</v>
          </cell>
          <cell r="G1172" t="str">
            <v>39-HA359001</v>
          </cell>
          <cell r="H1172" t="str">
            <v>ALTAMAR</v>
          </cell>
          <cell r="I1172">
            <v>13</v>
          </cell>
        </row>
        <row r="1173">
          <cell r="A1173" t="str">
            <v>19-01172</v>
          </cell>
          <cell r="B1173" t="str">
            <v>ORKHON GROUP</v>
          </cell>
          <cell r="C1173" t="str">
            <v>A</v>
          </cell>
          <cell r="D1173" t="str">
            <v>N/A</v>
          </cell>
          <cell r="E1173" t="str">
            <v>1F-11022/Y1203-19 ALTAMAR BOLSO DE PLAYA</v>
          </cell>
          <cell r="F1173" t="str">
            <v>BOLSO</v>
          </cell>
          <cell r="G1173" t="str">
            <v>1F-11022/Y1203-19</v>
          </cell>
          <cell r="H1173" t="str">
            <v>ALTAMAR</v>
          </cell>
          <cell r="I1173">
            <v>15.4</v>
          </cell>
        </row>
        <row r="1174">
          <cell r="A1174" t="str">
            <v>19-01173</v>
          </cell>
          <cell r="B1174" t="str">
            <v>ORKHON GROUP</v>
          </cell>
          <cell r="C1174" t="str">
            <v>A</v>
          </cell>
          <cell r="D1174" t="str">
            <v>N/A</v>
          </cell>
          <cell r="E1174" t="str">
            <v>1F-11022/Y1203-22 ALTAMAR BOLSO DE PLAYA</v>
          </cell>
          <cell r="F1174" t="str">
            <v>BOLSO</v>
          </cell>
          <cell r="G1174" t="str">
            <v>1F-11022/Y1203-22</v>
          </cell>
          <cell r="H1174" t="str">
            <v>ALTAMAR</v>
          </cell>
          <cell r="I1174">
            <v>21</v>
          </cell>
        </row>
        <row r="1175">
          <cell r="A1175" t="str">
            <v>19-01174</v>
          </cell>
          <cell r="B1175" t="str">
            <v>ORKHON GROUP</v>
          </cell>
          <cell r="C1175" t="str">
            <v>A</v>
          </cell>
          <cell r="D1175" t="str">
            <v>N/A</v>
          </cell>
          <cell r="E1175" t="str">
            <v>1F-11022/Y1203-14 ALTAMAR BOLSO DE PLAYA</v>
          </cell>
          <cell r="F1175" t="str">
            <v>BOLSO</v>
          </cell>
          <cell r="G1175" t="str">
            <v>1F-11022/Y1203-14</v>
          </cell>
          <cell r="H1175" t="str">
            <v>ALTAMAR</v>
          </cell>
          <cell r="I1175">
            <v>13</v>
          </cell>
        </row>
        <row r="1176">
          <cell r="A1176" t="str">
            <v>19-01175</v>
          </cell>
          <cell r="B1176" t="str">
            <v>ORKHON GROUP</v>
          </cell>
          <cell r="C1176" t="str">
            <v>A</v>
          </cell>
          <cell r="D1176" t="str">
            <v>N/A</v>
          </cell>
          <cell r="E1176" t="str">
            <v>1F-11022/Y1203-13 ALTAMAR BOLSO DE PLAYA</v>
          </cell>
          <cell r="F1176" t="str">
            <v>BOLSO</v>
          </cell>
          <cell r="G1176" t="str">
            <v>1F-11022/Y1203-13</v>
          </cell>
          <cell r="H1176" t="str">
            <v>ALTAMAR</v>
          </cell>
          <cell r="I1176">
            <v>13.75</v>
          </cell>
        </row>
        <row r="1177">
          <cell r="A1177" t="str">
            <v>19-01176</v>
          </cell>
          <cell r="B1177" t="str">
            <v>ORKHON GROUP</v>
          </cell>
          <cell r="C1177" t="str">
            <v>A</v>
          </cell>
          <cell r="D1177" t="str">
            <v>N/A</v>
          </cell>
          <cell r="E1177" t="str">
            <v>1F-11022/Y1203-10 ALTAMAR BOLSO DE PLAYA</v>
          </cell>
          <cell r="F1177" t="str">
            <v>BOLSO</v>
          </cell>
          <cell r="G1177" t="str">
            <v>1F-11022/Y1203-10</v>
          </cell>
          <cell r="H1177" t="str">
            <v>ALTAMAR</v>
          </cell>
          <cell r="I1177">
            <v>0</v>
          </cell>
        </row>
        <row r="1178">
          <cell r="A1178" t="str">
            <v>19-01177</v>
          </cell>
          <cell r="B1178" t="str">
            <v>ORKHON GROUP</v>
          </cell>
          <cell r="C1178" t="str">
            <v>A</v>
          </cell>
          <cell r="D1178" t="str">
            <v>N/A</v>
          </cell>
          <cell r="E1178" t="str">
            <v>1F-11022/Y1203-11 ALTAMAR BOLSO DE PLAYA</v>
          </cell>
          <cell r="F1178" t="str">
            <v>BOLSO</v>
          </cell>
          <cell r="G1178" t="str">
            <v>1F-11022/Y1203-11</v>
          </cell>
          <cell r="H1178" t="str">
            <v>ALTAMAR</v>
          </cell>
          <cell r="I1178">
            <v>6.3</v>
          </cell>
        </row>
        <row r="1179">
          <cell r="A1179" t="str">
            <v>19-01178</v>
          </cell>
          <cell r="B1179" t="str">
            <v>ORKHON GROUP</v>
          </cell>
          <cell r="C1179" t="str">
            <v>A</v>
          </cell>
          <cell r="D1179" t="str">
            <v>N/A</v>
          </cell>
          <cell r="E1179" t="str">
            <v>1F-11022/Y1203-16 ALTAMAR BOLSO DE PLAYA</v>
          </cell>
          <cell r="F1179" t="str">
            <v>BOLSO</v>
          </cell>
          <cell r="G1179" t="str">
            <v>1F-11022/Y1203-16</v>
          </cell>
          <cell r="H1179" t="str">
            <v>ALTAMAR</v>
          </cell>
          <cell r="I1179">
            <v>17</v>
          </cell>
        </row>
        <row r="1180">
          <cell r="A1180" t="str">
            <v>19-01179</v>
          </cell>
          <cell r="B1180" t="str">
            <v>ORKHON GROUP</v>
          </cell>
          <cell r="C1180" t="str">
            <v>A</v>
          </cell>
          <cell r="D1180" t="str">
            <v>N/A</v>
          </cell>
          <cell r="E1180" t="str">
            <v>1F-11022/Y1203-12 ALTAMAR BOLSO DE PLAYA</v>
          </cell>
          <cell r="F1180" t="str">
            <v>BOLSO</v>
          </cell>
          <cell r="G1180" t="str">
            <v>1F-11022/Y1203-12</v>
          </cell>
          <cell r="H1180" t="str">
            <v>ALTAMAR</v>
          </cell>
          <cell r="I1180">
            <v>15</v>
          </cell>
        </row>
        <row r="1181">
          <cell r="A1181" t="str">
            <v>19-01180</v>
          </cell>
          <cell r="B1181" t="str">
            <v>ORKHON GROUP</v>
          </cell>
          <cell r="C1181" t="str">
            <v>A</v>
          </cell>
          <cell r="D1181" t="str">
            <v>N/A</v>
          </cell>
          <cell r="E1181" t="str">
            <v>38547/BX877 ALTAMAR SOMBRERO</v>
          </cell>
          <cell r="F1181" t="str">
            <v>SOMBRERO</v>
          </cell>
          <cell r="G1181" t="str">
            <v>38547/BX877</v>
          </cell>
          <cell r="H1181" t="str">
            <v>ALTAMAR</v>
          </cell>
          <cell r="I1181">
            <v>5.94</v>
          </cell>
        </row>
        <row r="1182">
          <cell r="A1182" t="str">
            <v>19-01181</v>
          </cell>
          <cell r="B1182" t="str">
            <v>ORKHON GROUP</v>
          </cell>
          <cell r="C1182" t="str">
            <v>A</v>
          </cell>
          <cell r="D1182" t="str">
            <v>N/A</v>
          </cell>
          <cell r="E1182" t="str">
            <v>38547/BL222 ALTAMAR SOMBRERO</v>
          </cell>
          <cell r="F1182" t="str">
            <v>SOMBRERO</v>
          </cell>
          <cell r="G1182" t="str">
            <v>38547/BL222</v>
          </cell>
          <cell r="H1182" t="str">
            <v>ALTAMAR</v>
          </cell>
          <cell r="I1182">
            <v>6.96</v>
          </cell>
        </row>
        <row r="1183">
          <cell r="A1183" t="str">
            <v>19-01182</v>
          </cell>
          <cell r="B1183" t="str">
            <v>ORKHON GROUP</v>
          </cell>
          <cell r="C1183" t="str">
            <v>A</v>
          </cell>
          <cell r="D1183" t="str">
            <v>N/A</v>
          </cell>
          <cell r="E1183" t="str">
            <v>38547/BX900 ALTAMAR SOMBRERO</v>
          </cell>
          <cell r="F1183" t="str">
            <v>SOMBRERO</v>
          </cell>
          <cell r="G1183" t="str">
            <v>38547/BX900</v>
          </cell>
          <cell r="H1183" t="str">
            <v>ALTAMAR</v>
          </cell>
          <cell r="I1183">
            <v>5.94</v>
          </cell>
        </row>
        <row r="1184">
          <cell r="A1184" t="str">
            <v>19-01183</v>
          </cell>
          <cell r="B1184" t="str">
            <v>ORKHON GROUP</v>
          </cell>
          <cell r="C1184" t="str">
            <v>A</v>
          </cell>
          <cell r="D1184" t="str">
            <v>N/A</v>
          </cell>
          <cell r="E1184" t="str">
            <v>38547/BX729 ALTAMAR SOMBRERO</v>
          </cell>
          <cell r="F1184" t="str">
            <v>SOMBRERO</v>
          </cell>
          <cell r="G1184" t="str">
            <v>38547/BX729</v>
          </cell>
          <cell r="H1184" t="str">
            <v>ALTAMAR</v>
          </cell>
          <cell r="I1184">
            <v>6.19</v>
          </cell>
        </row>
        <row r="1185">
          <cell r="A1185" t="str">
            <v>19-01184</v>
          </cell>
          <cell r="B1185" t="str">
            <v>ORKHON GROUP</v>
          </cell>
          <cell r="C1185" t="str">
            <v>A</v>
          </cell>
          <cell r="D1185" t="str">
            <v>N/A</v>
          </cell>
          <cell r="E1185" t="str">
            <v>39359/Y1203-354 ALTAMAR SOMBRERO</v>
          </cell>
          <cell r="F1185" t="str">
            <v>SOMBRERO</v>
          </cell>
          <cell r="G1185" t="str">
            <v>39359/Y1203-354</v>
          </cell>
          <cell r="H1185" t="str">
            <v>ALTAMAR</v>
          </cell>
          <cell r="I1185">
            <v>5.92</v>
          </cell>
        </row>
        <row r="1186">
          <cell r="A1186" t="str">
            <v>19-01185</v>
          </cell>
          <cell r="B1186" t="str">
            <v>ORKHON GROUP</v>
          </cell>
          <cell r="C1186" t="str">
            <v>A</v>
          </cell>
          <cell r="D1186" t="str">
            <v>N/A</v>
          </cell>
          <cell r="E1186" t="str">
            <v>39359/Y1203-366 ALTAMAR SOMBRERO</v>
          </cell>
          <cell r="F1186" t="str">
            <v>SOMBRERO</v>
          </cell>
          <cell r="G1186" t="str">
            <v>39359/Y1203-366</v>
          </cell>
          <cell r="H1186" t="str">
            <v>ALTAMAR</v>
          </cell>
          <cell r="I1186">
            <v>6.96</v>
          </cell>
        </row>
        <row r="1187">
          <cell r="A1187" t="str">
            <v>19-01186</v>
          </cell>
          <cell r="B1187" t="str">
            <v>ORKHON GROUP</v>
          </cell>
          <cell r="C1187" t="str">
            <v>A</v>
          </cell>
          <cell r="D1187" t="str">
            <v>N/A</v>
          </cell>
          <cell r="E1187" t="str">
            <v>38774/Y1203-346 ALTAMAR SOMBRERO</v>
          </cell>
          <cell r="F1187" t="str">
            <v>SOMBRERO</v>
          </cell>
          <cell r="G1187" t="str">
            <v>38774/Y1203-346</v>
          </cell>
          <cell r="H1187" t="str">
            <v>ALTAMAR</v>
          </cell>
          <cell r="I1187">
            <v>6.19</v>
          </cell>
        </row>
        <row r="1188">
          <cell r="A1188" t="str">
            <v>19-01187</v>
          </cell>
          <cell r="B1188" t="str">
            <v>ORKHON GROUP</v>
          </cell>
          <cell r="C1188" t="str">
            <v>A</v>
          </cell>
          <cell r="D1188" t="str">
            <v>N/A</v>
          </cell>
          <cell r="E1188" t="str">
            <v>46298/P-6  ALTAMAR BUFANDA</v>
          </cell>
          <cell r="F1188" t="str">
            <v>SOMBRERO</v>
          </cell>
          <cell r="G1188" t="str">
            <v>46298/P-6</v>
          </cell>
          <cell r="H1188" t="str">
            <v>ALTAMAR</v>
          </cell>
          <cell r="I1188">
            <v>6</v>
          </cell>
        </row>
        <row r="1189">
          <cell r="A1189" t="str">
            <v>19-01188</v>
          </cell>
          <cell r="B1189" t="str">
            <v>ORKHON GROUP</v>
          </cell>
          <cell r="C1189" t="str">
            <v>A</v>
          </cell>
          <cell r="D1189" t="str">
            <v>N/A</v>
          </cell>
          <cell r="E1189" t="str">
            <v>46265/Y1203-328 ALTAMAR PAREO</v>
          </cell>
          <cell r="F1189" t="str">
            <v>PAREO</v>
          </cell>
          <cell r="G1189" t="str">
            <v>46265/Y1203-328</v>
          </cell>
          <cell r="H1189" t="str">
            <v>ALTAMAR</v>
          </cell>
          <cell r="I1189">
            <v>4.5</v>
          </cell>
        </row>
        <row r="1190">
          <cell r="A1190" t="str">
            <v>19-01189</v>
          </cell>
          <cell r="B1190" t="str">
            <v>ORKHON GROUP</v>
          </cell>
          <cell r="C1190" t="str">
            <v>A</v>
          </cell>
          <cell r="D1190" t="str">
            <v>N/A</v>
          </cell>
          <cell r="E1190" t="str">
            <v>46265/Y1203-330 ALTAMAR PAREO</v>
          </cell>
          <cell r="F1190" t="str">
            <v>PAREO</v>
          </cell>
          <cell r="G1190" t="str">
            <v>46265/Y1203-330</v>
          </cell>
          <cell r="H1190" t="str">
            <v>ALTAMAR</v>
          </cell>
          <cell r="I1190">
            <v>0</v>
          </cell>
        </row>
        <row r="1191">
          <cell r="A1191" t="str">
            <v>19-01190</v>
          </cell>
          <cell r="B1191" t="str">
            <v>ORKHON GROUP</v>
          </cell>
          <cell r="C1191" t="str">
            <v>A</v>
          </cell>
          <cell r="D1191" t="str">
            <v>N/A</v>
          </cell>
          <cell r="E1191" t="str">
            <v>46265/Y1203-323 ALTAMAR PAREO</v>
          </cell>
          <cell r="F1191" t="str">
            <v>PAREO</v>
          </cell>
          <cell r="G1191" t="str">
            <v>46265/Y1203-323</v>
          </cell>
          <cell r="H1191" t="str">
            <v>ALTAMAR</v>
          </cell>
          <cell r="I1191">
            <v>3.38</v>
          </cell>
        </row>
        <row r="1192">
          <cell r="A1192" t="str">
            <v>19-01191</v>
          </cell>
          <cell r="B1192" t="str">
            <v>ORKHON GROUP</v>
          </cell>
          <cell r="C1192" t="str">
            <v>A</v>
          </cell>
          <cell r="D1192" t="str">
            <v>N/A</v>
          </cell>
          <cell r="E1192" t="str">
            <v>46265/Y1203-336 ALTAMAR PAREO</v>
          </cell>
          <cell r="F1192" t="str">
            <v>PAREO</v>
          </cell>
          <cell r="G1192" t="str">
            <v>46265/Y1203-336</v>
          </cell>
          <cell r="H1192" t="str">
            <v>ALTAMAR</v>
          </cell>
          <cell r="I1192">
            <v>2.25</v>
          </cell>
        </row>
        <row r="1193">
          <cell r="A1193" t="str">
            <v>19-01192</v>
          </cell>
          <cell r="B1193" t="str">
            <v>ORKHON GROUP</v>
          </cell>
          <cell r="C1193" t="str">
            <v>A</v>
          </cell>
          <cell r="D1193" t="str">
            <v>N/A</v>
          </cell>
          <cell r="E1193" t="str">
            <v>1g-12766/6666 ALTAMAR TROLLEY BAG</v>
          </cell>
          <cell r="F1193" t="str">
            <v>BAG</v>
          </cell>
          <cell r="G1193" t="str">
            <v>1g-12766/6666</v>
          </cell>
          <cell r="H1193" t="str">
            <v>ALTAMAR</v>
          </cell>
          <cell r="I1193">
            <v>55</v>
          </cell>
        </row>
        <row r="1194">
          <cell r="A1194" t="str">
            <v>19-01193</v>
          </cell>
          <cell r="B1194" t="str">
            <v>ORKHON GROUP</v>
          </cell>
          <cell r="C1194" t="str">
            <v>A</v>
          </cell>
          <cell r="D1194" t="str">
            <v>N/A</v>
          </cell>
          <cell r="E1194" t="str">
            <v>1G-12394/6666A ALTAMAR MALETAS</v>
          </cell>
          <cell r="F1194" t="str">
            <v>BAG</v>
          </cell>
          <cell r="G1194" t="str">
            <v>1G-12394/6666A</v>
          </cell>
          <cell r="H1194" t="str">
            <v>ALTAMAR</v>
          </cell>
          <cell r="I1194">
            <v>61</v>
          </cell>
        </row>
        <row r="1195">
          <cell r="A1195" t="str">
            <v>19-01194</v>
          </cell>
          <cell r="B1195" t="str">
            <v>ORKHON GROUP</v>
          </cell>
          <cell r="C1195" t="str">
            <v>A</v>
          </cell>
          <cell r="D1195" t="str">
            <v>N/A</v>
          </cell>
          <cell r="E1195" t="str">
            <v>1G-12394/12394 ALTAMAR MALETAS</v>
          </cell>
          <cell r="F1195" t="str">
            <v>BAG</v>
          </cell>
          <cell r="G1195" t="str">
            <v>1G-12394/12394</v>
          </cell>
          <cell r="H1195" t="str">
            <v>ALTAMAR</v>
          </cell>
          <cell r="I1195">
            <v>65</v>
          </cell>
        </row>
        <row r="1196">
          <cell r="A1196" t="str">
            <v>19-01195</v>
          </cell>
          <cell r="B1196" t="str">
            <v>ORKHON GROUP</v>
          </cell>
          <cell r="C1196" t="str">
            <v>A</v>
          </cell>
          <cell r="D1196" t="str">
            <v>N/A</v>
          </cell>
          <cell r="E1196" t="str">
            <v>116260  ALTAMAR BOLSO DE PLAYA</v>
          </cell>
          <cell r="F1196" t="str">
            <v>BOLSO</v>
          </cell>
          <cell r="G1196">
            <v>116260</v>
          </cell>
          <cell r="H1196" t="str">
            <v>ALTAMAR</v>
          </cell>
          <cell r="I1196">
            <v>0</v>
          </cell>
        </row>
        <row r="1197">
          <cell r="A1197" t="str">
            <v>19-01196</v>
          </cell>
          <cell r="B1197" t="str">
            <v>ORKHON GROUP</v>
          </cell>
          <cell r="C1197" t="str">
            <v>A</v>
          </cell>
          <cell r="D1197" t="str">
            <v>N/A</v>
          </cell>
          <cell r="E1197" t="str">
            <v>38547/BN360-2 ALTAMAR SOMBRERO</v>
          </cell>
          <cell r="F1197" t="str">
            <v>SOMBRERO</v>
          </cell>
          <cell r="G1197" t="str">
            <v>38547/BN360-2</v>
          </cell>
          <cell r="H1197" t="str">
            <v>ALTAMAR</v>
          </cell>
          <cell r="I1197">
            <v>9.3000000000000007</v>
          </cell>
        </row>
        <row r="1198">
          <cell r="A1198" t="str">
            <v>19-01197</v>
          </cell>
          <cell r="B1198" t="str">
            <v>ORKHON GROUP</v>
          </cell>
          <cell r="C1198" t="str">
            <v>A</v>
          </cell>
          <cell r="D1198" t="str">
            <v>N/A</v>
          </cell>
          <cell r="E1198" t="str">
            <v>1F-11022/Y1203-20 ALTAMAR BOLSO DE PLAYA</v>
          </cell>
          <cell r="F1198" t="str">
            <v>BOLSO</v>
          </cell>
          <cell r="G1198" t="str">
            <v>1F-11022/Y1203-20</v>
          </cell>
          <cell r="H1198" t="str">
            <v>ALTAMAR</v>
          </cell>
          <cell r="I1198">
            <v>15.4</v>
          </cell>
        </row>
        <row r="1199">
          <cell r="A1199" t="str">
            <v>19-01198</v>
          </cell>
          <cell r="B1199" t="str">
            <v>ORKHON GROUP</v>
          </cell>
          <cell r="C1199" t="str">
            <v>A</v>
          </cell>
          <cell r="D1199" t="str">
            <v>N/A</v>
          </cell>
          <cell r="E1199" t="str">
            <v>1207 ALTAMAR BUFANDA CON ACCESORIO</v>
          </cell>
          <cell r="F1199" t="str">
            <v>BUFANDA</v>
          </cell>
          <cell r="G1199">
            <v>1207</v>
          </cell>
          <cell r="H1199" t="str">
            <v>ALTAMAR</v>
          </cell>
          <cell r="I1199">
            <v>22</v>
          </cell>
        </row>
        <row r="1200">
          <cell r="A1200" t="str">
            <v>19-01199</v>
          </cell>
          <cell r="B1200" t="str">
            <v>ORKHON GROUP</v>
          </cell>
          <cell r="C1200" t="str">
            <v>A</v>
          </cell>
          <cell r="D1200" t="str">
            <v>N/A</v>
          </cell>
          <cell r="E1200" t="str">
            <v>39174/37-1207 ALTAMAR SOMBRERO</v>
          </cell>
          <cell r="F1200" t="str">
            <v>SOMBRERO</v>
          </cell>
          <cell r="G1200" t="str">
            <v>39174/37-1207</v>
          </cell>
          <cell r="H1200" t="str">
            <v>ALTAMAR</v>
          </cell>
          <cell r="I1200">
            <v>22</v>
          </cell>
        </row>
        <row r="1201">
          <cell r="A1201" t="str">
            <v>19-01200</v>
          </cell>
          <cell r="B1201" t="str">
            <v>ORKHON GROUP</v>
          </cell>
          <cell r="C1201" t="str">
            <v>A</v>
          </cell>
          <cell r="D1201" t="str">
            <v>N/A</v>
          </cell>
          <cell r="E1201" t="str">
            <v>39359/20-1207 ALTAMAR SOMBRERO</v>
          </cell>
          <cell r="F1201" t="str">
            <v>SOMBRERO</v>
          </cell>
          <cell r="G1201" t="str">
            <v>39359/20-1207</v>
          </cell>
          <cell r="H1201" t="str">
            <v>ALTAMAR</v>
          </cell>
          <cell r="I1201">
            <v>6.42</v>
          </cell>
        </row>
        <row r="1202">
          <cell r="A1202" t="str">
            <v>19-01201</v>
          </cell>
          <cell r="B1202" t="str">
            <v>ORKHON GROUP</v>
          </cell>
          <cell r="C1202" t="str">
            <v>A</v>
          </cell>
          <cell r="D1202" t="str">
            <v>N/A</v>
          </cell>
          <cell r="E1202" t="str">
            <v>39217/26-1207 ALTAMAR SOMBRERO</v>
          </cell>
          <cell r="F1202" t="str">
            <v>SOMBRERO</v>
          </cell>
          <cell r="G1202" t="str">
            <v>39217/26-1207</v>
          </cell>
          <cell r="H1202" t="str">
            <v>ALTAMAR</v>
          </cell>
          <cell r="I1202">
            <v>9.4</v>
          </cell>
        </row>
        <row r="1203">
          <cell r="A1203" t="str">
            <v>19-01202</v>
          </cell>
          <cell r="B1203" t="str">
            <v>ORKHON GROUP</v>
          </cell>
          <cell r="C1203" t="str">
            <v>A</v>
          </cell>
          <cell r="D1203" t="str">
            <v>N/A</v>
          </cell>
          <cell r="E1203" t="str">
            <v>39217/27-1207 ALTAMAR SOMBRERO</v>
          </cell>
          <cell r="F1203" t="str">
            <v>SOMBRERO</v>
          </cell>
          <cell r="G1203" t="str">
            <v>39217/27-1207</v>
          </cell>
          <cell r="H1203" t="str">
            <v>ALTAMAR</v>
          </cell>
          <cell r="I1203">
            <v>8.93</v>
          </cell>
        </row>
        <row r="1204">
          <cell r="A1204" t="str">
            <v>19-01203</v>
          </cell>
          <cell r="B1204" t="str">
            <v>ORKHON GROUP</v>
          </cell>
          <cell r="C1204" t="str">
            <v>A</v>
          </cell>
          <cell r="D1204" t="str">
            <v>N/A</v>
          </cell>
          <cell r="E1204" t="str">
            <v>39359/19-1207 ALTAMAR SOMBRERO</v>
          </cell>
          <cell r="F1204" t="str">
            <v>SOMBRERO</v>
          </cell>
          <cell r="G1204" t="str">
            <v>39359/19-1207</v>
          </cell>
          <cell r="H1204" t="str">
            <v>ALTAMAR</v>
          </cell>
          <cell r="I1204">
            <v>9</v>
          </cell>
        </row>
        <row r="1205">
          <cell r="A1205" t="str">
            <v>19-01204</v>
          </cell>
          <cell r="B1205" t="str">
            <v>ORKHON GROUP</v>
          </cell>
          <cell r="C1205" t="str">
            <v>A</v>
          </cell>
          <cell r="D1205" t="str">
            <v>N/A</v>
          </cell>
          <cell r="E1205" t="str">
            <v>39217/25-1207 ALTAMAR SOMBRERO</v>
          </cell>
          <cell r="F1205" t="str">
            <v>SOMBRERO</v>
          </cell>
          <cell r="G1205" t="str">
            <v>39217/25-1207</v>
          </cell>
          <cell r="H1205" t="str">
            <v>ALTAMAR</v>
          </cell>
          <cell r="I1205">
            <v>9.4</v>
          </cell>
        </row>
        <row r="1206">
          <cell r="A1206" t="str">
            <v>19-01205</v>
          </cell>
          <cell r="B1206" t="str">
            <v>ORKHON GROUP</v>
          </cell>
          <cell r="C1206" t="str">
            <v>A</v>
          </cell>
          <cell r="D1206" t="str">
            <v>N/A</v>
          </cell>
          <cell r="E1206" t="str">
            <v>38774/01-1207 ALTAMAR SOMBRERO</v>
          </cell>
          <cell r="F1206" t="str">
            <v>SOMBRERO</v>
          </cell>
          <cell r="G1206" t="str">
            <v>38774/01-1207</v>
          </cell>
          <cell r="H1206" t="str">
            <v>ALTAMAR</v>
          </cell>
          <cell r="I1206">
            <v>6.22</v>
          </cell>
        </row>
        <row r="1207">
          <cell r="A1207" t="str">
            <v>19-01206</v>
          </cell>
          <cell r="B1207" t="str">
            <v>ORKHON GROUP</v>
          </cell>
          <cell r="C1207" t="str">
            <v>A</v>
          </cell>
          <cell r="D1207" t="str">
            <v>N/A</v>
          </cell>
          <cell r="E1207" t="str">
            <v>38546/BX1004 ALTAMAR SOMBRERO</v>
          </cell>
          <cell r="F1207" t="str">
            <v>SOMBRERO</v>
          </cell>
          <cell r="G1207" t="str">
            <v>38546/BX1004</v>
          </cell>
          <cell r="H1207" t="str">
            <v>ALTAMAR</v>
          </cell>
          <cell r="I1207">
            <v>6.9</v>
          </cell>
        </row>
        <row r="1208">
          <cell r="A1208" t="str">
            <v>19-01207</v>
          </cell>
          <cell r="B1208" t="str">
            <v>ORKHON GROUP</v>
          </cell>
          <cell r="C1208" t="str">
            <v>A</v>
          </cell>
          <cell r="D1208" t="str">
            <v>N/A</v>
          </cell>
          <cell r="E1208" t="str">
            <v>39359/14-1207 ALTAMAR SOMBRERO</v>
          </cell>
          <cell r="F1208" t="str">
            <v>SOMBRERO</v>
          </cell>
          <cell r="G1208" t="str">
            <v>39359/14-1207</v>
          </cell>
          <cell r="H1208" t="str">
            <v>ALTAMAR</v>
          </cell>
          <cell r="I1208">
            <v>12</v>
          </cell>
        </row>
        <row r="1209">
          <cell r="A1209" t="str">
            <v>19-01208</v>
          </cell>
          <cell r="B1209" t="str">
            <v>ORKHON GROUP</v>
          </cell>
          <cell r="C1209" t="str">
            <v>A</v>
          </cell>
          <cell r="D1209" t="str">
            <v>N/A</v>
          </cell>
          <cell r="E1209" t="str">
            <v>39174/32-1207 ALTAMAR SOMBRERO</v>
          </cell>
          <cell r="F1209" t="str">
            <v>SOMBRERO</v>
          </cell>
          <cell r="G1209" t="str">
            <v>39174/32-1207</v>
          </cell>
          <cell r="H1209" t="str">
            <v>ALTAMAR</v>
          </cell>
          <cell r="I1209">
            <v>6.07</v>
          </cell>
        </row>
        <row r="1210">
          <cell r="A1210" t="str">
            <v>19-01209</v>
          </cell>
          <cell r="B1210" t="str">
            <v>ORKHON GROUP</v>
          </cell>
          <cell r="C1210" t="str">
            <v>A</v>
          </cell>
          <cell r="D1210" t="str">
            <v>N/A</v>
          </cell>
          <cell r="E1210" t="str">
            <v>38546/BX976 ALTAMAR SOMBRERO</v>
          </cell>
          <cell r="F1210" t="str">
            <v>SOMBRERO</v>
          </cell>
          <cell r="G1210" t="str">
            <v>38546/BX976</v>
          </cell>
          <cell r="H1210" t="str">
            <v>ALTAMAR</v>
          </cell>
          <cell r="I1210">
            <v>8</v>
          </cell>
        </row>
        <row r="1211">
          <cell r="A1211" t="str">
            <v>19-01210</v>
          </cell>
          <cell r="B1211" t="str">
            <v>ORKHON GROUP</v>
          </cell>
          <cell r="C1211" t="str">
            <v>A</v>
          </cell>
          <cell r="D1211" t="str">
            <v>N/A</v>
          </cell>
          <cell r="E1211" t="str">
            <v>38774/03-1207 ALTAMAR SOMBRERO</v>
          </cell>
          <cell r="F1211" t="str">
            <v>SOMBRERO</v>
          </cell>
          <cell r="G1211" t="str">
            <v>38774/03-1207</v>
          </cell>
          <cell r="H1211" t="str">
            <v>ALTAMAR</v>
          </cell>
          <cell r="I1211">
            <v>8.74</v>
          </cell>
        </row>
        <row r="1212">
          <cell r="A1212" t="str">
            <v>19-01211</v>
          </cell>
          <cell r="B1212" t="str">
            <v>ORKHON GROUP</v>
          </cell>
          <cell r="C1212" t="str">
            <v>A</v>
          </cell>
          <cell r="D1212" t="str">
            <v>N/A</v>
          </cell>
          <cell r="E1212" t="str">
            <v>036-1207 ALTAMAR BOLSO DE PLAYA</v>
          </cell>
          <cell r="F1212" t="str">
            <v>BOLSO</v>
          </cell>
          <cell r="G1212" t="str">
            <v>036-1207</v>
          </cell>
          <cell r="H1212" t="str">
            <v>ALTAMAR</v>
          </cell>
          <cell r="I1212">
            <v>18</v>
          </cell>
        </row>
        <row r="1213">
          <cell r="A1213" t="str">
            <v>19-01212</v>
          </cell>
          <cell r="B1213" t="str">
            <v>ORKHON GROUP</v>
          </cell>
          <cell r="C1213" t="str">
            <v>A</v>
          </cell>
          <cell r="D1213" t="str">
            <v>N/A</v>
          </cell>
          <cell r="E1213" t="str">
            <v>038-1207 ALTAMAR BOLSO DE PLAYA</v>
          </cell>
          <cell r="F1213" t="str">
            <v>BOLSO</v>
          </cell>
          <cell r="G1213" t="str">
            <v>038-1207</v>
          </cell>
          <cell r="H1213" t="str">
            <v>ALTAMAR</v>
          </cell>
          <cell r="I1213">
            <v>20</v>
          </cell>
        </row>
        <row r="1214">
          <cell r="A1214" t="str">
            <v>19-01213</v>
          </cell>
          <cell r="B1214" t="str">
            <v>ORKHON GROUP</v>
          </cell>
          <cell r="C1214" t="str">
            <v>A</v>
          </cell>
          <cell r="D1214" t="str">
            <v>N/A</v>
          </cell>
          <cell r="E1214" t="str">
            <v>039-1207 ALTAMAR BOLSO DE PLAYA</v>
          </cell>
          <cell r="F1214" t="str">
            <v>BOLSO</v>
          </cell>
          <cell r="G1214" t="str">
            <v>039-1207</v>
          </cell>
          <cell r="H1214" t="str">
            <v>ALTAMAR</v>
          </cell>
          <cell r="I1214">
            <v>21</v>
          </cell>
        </row>
        <row r="1215">
          <cell r="A1215" t="str">
            <v>19-01214</v>
          </cell>
          <cell r="B1215" t="str">
            <v>ORKHON GROUP</v>
          </cell>
          <cell r="C1215" t="str">
            <v>A</v>
          </cell>
          <cell r="D1215" t="str">
            <v>N/A</v>
          </cell>
          <cell r="E1215" t="str">
            <v>041-1207 ALTAMAR BOLSO DE PLAYA</v>
          </cell>
          <cell r="F1215" t="str">
            <v>BOLSO</v>
          </cell>
          <cell r="G1215" t="str">
            <v>041-1207</v>
          </cell>
          <cell r="H1215" t="str">
            <v>ALTAMAR</v>
          </cell>
          <cell r="I1215">
            <v>19</v>
          </cell>
        </row>
        <row r="1216">
          <cell r="A1216" t="str">
            <v>19-01215</v>
          </cell>
          <cell r="B1216" t="str">
            <v>ORKHON GROUP</v>
          </cell>
          <cell r="C1216" t="str">
            <v>A</v>
          </cell>
          <cell r="D1216" t="str">
            <v>N/A</v>
          </cell>
          <cell r="E1216" t="str">
            <v>1F-11113/65-1207 ALTAMAR BOLSO DE PLAYA</v>
          </cell>
          <cell r="F1216" t="str">
            <v>BOLSO</v>
          </cell>
          <cell r="G1216" t="str">
            <v>1F-11113/65-1207</v>
          </cell>
          <cell r="H1216" t="str">
            <v>ALTAMAR</v>
          </cell>
          <cell r="I1216">
            <v>19</v>
          </cell>
        </row>
        <row r="1217">
          <cell r="A1217" t="str">
            <v>19-01216</v>
          </cell>
          <cell r="B1217" t="str">
            <v>ORKHON GROUP</v>
          </cell>
          <cell r="C1217" t="str">
            <v>A</v>
          </cell>
          <cell r="D1217" t="str">
            <v>N/A</v>
          </cell>
          <cell r="E1217" t="str">
            <v>117113 ALTAMAR MALETAS CON LLAVERO MQ LEATHER</v>
          </cell>
          <cell r="F1217" t="str">
            <v>BAG</v>
          </cell>
          <cell r="G1217">
            <v>117113</v>
          </cell>
          <cell r="H1217" t="str">
            <v>ALTAMAR</v>
          </cell>
          <cell r="I1217">
            <v>65</v>
          </cell>
        </row>
        <row r="1218">
          <cell r="A1218" t="str">
            <v>19-01217</v>
          </cell>
          <cell r="B1218" t="str">
            <v>ORKHON GROUP</v>
          </cell>
          <cell r="C1218" t="str">
            <v>A</v>
          </cell>
          <cell r="D1218" t="str">
            <v>N/A</v>
          </cell>
          <cell r="E1218" t="str">
            <v>116692 ALTAMAR MALETAS CON LLAVERO MQ LONA</v>
          </cell>
          <cell r="F1218" t="str">
            <v>BAG</v>
          </cell>
          <cell r="G1218">
            <v>116692</v>
          </cell>
          <cell r="H1218" t="str">
            <v>ALTAMAR</v>
          </cell>
          <cell r="I1218">
            <v>61</v>
          </cell>
        </row>
        <row r="1219">
          <cell r="A1219" t="str">
            <v>19-01218</v>
          </cell>
          <cell r="B1219" t="str">
            <v>WORLD WISHES</v>
          </cell>
          <cell r="C1219" t="str">
            <v>A</v>
          </cell>
          <cell r="D1219" t="str">
            <v>SI</v>
          </cell>
          <cell r="E1219" t="str">
            <v>04-5350 CRAYOLA ART BUDDY BACKPACK</v>
          </cell>
          <cell r="F1219" t="str">
            <v>CRAYONES</v>
          </cell>
          <cell r="G1219">
            <v>1260179</v>
          </cell>
          <cell r="H1219" t="str">
            <v>CRAYOLA</v>
          </cell>
          <cell r="I1219">
            <v>7.97</v>
          </cell>
        </row>
        <row r="1220">
          <cell r="A1220" t="str">
            <v>19-01219</v>
          </cell>
          <cell r="B1220" t="str">
            <v>WORLD WISHES</v>
          </cell>
          <cell r="C1220" t="str">
            <v>P</v>
          </cell>
          <cell r="D1220" t="str">
            <v>N/A</v>
          </cell>
          <cell r="E1220" t="str">
            <v>75-2488 CRAYOLA FINGERPAINTS NEW&amp;IMPROVED</v>
          </cell>
          <cell r="F1220" t="str">
            <v>CRAYONES</v>
          </cell>
          <cell r="G1220" t="str">
            <v>75-2488</v>
          </cell>
          <cell r="H1220" t="str">
            <v>CRAYOLA</v>
          </cell>
          <cell r="I1220">
            <v>5.2</v>
          </cell>
        </row>
        <row r="1221">
          <cell r="A1221" t="str">
            <v>19-01220</v>
          </cell>
          <cell r="B1221" t="str">
            <v>WORLD WISHES</v>
          </cell>
          <cell r="C1221" t="str">
            <v>A</v>
          </cell>
          <cell r="D1221" t="str">
            <v>SI</v>
          </cell>
          <cell r="E1221" t="str">
            <v>52-9824 CRAYOLA 24CT. TWISTABLES FUN EFFECTS CRAYONS</v>
          </cell>
          <cell r="F1221" t="str">
            <v>CRAYONES</v>
          </cell>
          <cell r="G1221" t="str">
            <v>52-9824</v>
          </cell>
          <cell r="H1221" t="str">
            <v>CRAYOLA</v>
          </cell>
          <cell r="I1221">
            <v>3.18</v>
          </cell>
        </row>
        <row r="1222">
          <cell r="A1222" t="str">
            <v>19-01221</v>
          </cell>
          <cell r="B1222" t="str">
            <v>WORLD WISHES</v>
          </cell>
          <cell r="C1222" t="str">
            <v>A</v>
          </cell>
          <cell r="D1222" t="str">
            <v>SI</v>
          </cell>
          <cell r="E1222" t="str">
            <v>52-9512 CRAYOLA 12 CT TWISTABLES SLICK STICKS</v>
          </cell>
          <cell r="F1222" t="str">
            <v>CRAYONES</v>
          </cell>
          <cell r="G1222" t="str">
            <v>52-9512</v>
          </cell>
          <cell r="H1222" t="str">
            <v>CRAYOLA</v>
          </cell>
          <cell r="I1222">
            <v>5.548</v>
          </cell>
        </row>
        <row r="1223">
          <cell r="A1223" t="str">
            <v>19-01222</v>
          </cell>
          <cell r="B1223" t="str">
            <v>WORLD WISHES</v>
          </cell>
          <cell r="C1223" t="str">
            <v>P</v>
          </cell>
          <cell r="D1223" t="str">
            <v>N/A</v>
          </cell>
          <cell r="E1223" t="str">
            <v>74-3903 CRAYOLA COLOR EXPLOSION NEON CARS / TOY STORY</v>
          </cell>
          <cell r="F1223" t="str">
            <v>CRAYONES</v>
          </cell>
          <cell r="G1223" t="str">
            <v>74-3903</v>
          </cell>
          <cell r="H1223" t="str">
            <v>CRAYOLA</v>
          </cell>
          <cell r="I1223">
            <v>0</v>
          </cell>
        </row>
        <row r="1224">
          <cell r="A1224" t="str">
            <v>19-01223</v>
          </cell>
          <cell r="B1224" t="str">
            <v>WORLD WISHES</v>
          </cell>
          <cell r="C1224" t="str">
            <v>P</v>
          </cell>
          <cell r="D1224" t="str">
            <v>N/A</v>
          </cell>
          <cell r="E1224" t="str">
            <v>04-8722 CRAYOLA PIP SQUEAKS WASHABLE MARKERS &amp; STICKERS SET</v>
          </cell>
          <cell r="F1224" t="str">
            <v>CRAYONES</v>
          </cell>
          <cell r="G1224">
            <v>2491776</v>
          </cell>
          <cell r="H1224" t="str">
            <v>CRAYOLA</v>
          </cell>
          <cell r="I1224">
            <v>6.45</v>
          </cell>
        </row>
        <row r="1225">
          <cell r="A1225" t="str">
            <v>19-01224</v>
          </cell>
          <cell r="B1225" t="str">
            <v>WORLD WISHES</v>
          </cell>
          <cell r="C1225" t="str">
            <v>P</v>
          </cell>
          <cell r="D1225" t="str">
            <v>N/A</v>
          </cell>
          <cell r="E1225" t="str">
            <v>74-1687 CRAYOLA COLOR EXPLOSION BLACK, RAINBOW</v>
          </cell>
          <cell r="F1225" t="str">
            <v>CRAYONES</v>
          </cell>
          <cell r="G1225" t="str">
            <v>74-1687</v>
          </cell>
          <cell r="H1225" t="str">
            <v>CRAYOLA</v>
          </cell>
          <cell r="I1225">
            <v>0</v>
          </cell>
        </row>
        <row r="1226">
          <cell r="A1226" t="str">
            <v>19-01225</v>
          </cell>
          <cell r="B1226" t="str">
            <v>WORLD WISHES</v>
          </cell>
          <cell r="C1226" t="str">
            <v>P</v>
          </cell>
          <cell r="D1226" t="str">
            <v>N/A</v>
          </cell>
          <cell r="E1226" t="str">
            <v>75-2486 CRAYOLA COLOR WONDER STOW&amp;GO STUDIO</v>
          </cell>
          <cell r="F1226" t="str">
            <v>CRAYONES</v>
          </cell>
          <cell r="G1226" t="str">
            <v>75-2486</v>
          </cell>
          <cell r="H1226" t="str">
            <v>CRAYOLA</v>
          </cell>
          <cell r="I1226">
            <v>6.99</v>
          </cell>
        </row>
        <row r="1227">
          <cell r="A1227" t="str">
            <v>19-01226</v>
          </cell>
          <cell r="B1227" t="str">
            <v>WORLD WISHES</v>
          </cell>
          <cell r="C1227" t="str">
            <v>P</v>
          </cell>
          <cell r="D1227" t="str">
            <v>N/A</v>
          </cell>
          <cell r="E1227" t="str">
            <v>04-5716 CRAYOLA EXTREME COLOR AND CREATE SET</v>
          </cell>
          <cell r="F1227" t="str">
            <v>CRAYONES</v>
          </cell>
          <cell r="G1227">
            <v>1393858</v>
          </cell>
          <cell r="H1227" t="str">
            <v>CRAYOLA</v>
          </cell>
          <cell r="I1227">
            <v>6.45</v>
          </cell>
        </row>
        <row r="1228">
          <cell r="A1228" t="str">
            <v>19-01227</v>
          </cell>
          <cell r="B1228" t="str">
            <v>WORLD WISHES</v>
          </cell>
          <cell r="C1228" t="str">
            <v>P</v>
          </cell>
          <cell r="D1228" t="str">
            <v>N/A</v>
          </cell>
          <cell r="E1228" t="str">
            <v>75-2614 CRAYOLA COLOR WONDER GLITTER PAPER, DISNEY PRINCESS</v>
          </cell>
          <cell r="F1228" t="str">
            <v>CRAYONES</v>
          </cell>
          <cell r="G1228" t="str">
            <v>75-2614</v>
          </cell>
          <cell r="H1228" t="str">
            <v>CRAYOLA</v>
          </cell>
          <cell r="I1228">
            <v>6.17</v>
          </cell>
        </row>
        <row r="1229">
          <cell r="A1229" t="str">
            <v>19-01228</v>
          </cell>
          <cell r="B1229" t="str">
            <v>WORLD WISHES</v>
          </cell>
          <cell r="C1229" t="str">
            <v>P</v>
          </cell>
          <cell r="D1229" t="str">
            <v>N/A</v>
          </cell>
          <cell r="E1229" t="str">
            <v>74-1657 CRAYOLA COLOR EXPLOSION  3D SPIDERMAN</v>
          </cell>
          <cell r="F1229" t="str">
            <v>CRAYONES</v>
          </cell>
          <cell r="G1229" t="str">
            <v>74-1657</v>
          </cell>
          <cell r="H1229" t="str">
            <v>CRAYOLA</v>
          </cell>
          <cell r="I1229">
            <v>0</v>
          </cell>
        </row>
        <row r="1230">
          <cell r="A1230" t="str">
            <v>19-01229</v>
          </cell>
          <cell r="B1230" t="str">
            <v>WORLD WISHES</v>
          </cell>
          <cell r="C1230" t="str">
            <v>P</v>
          </cell>
          <cell r="D1230" t="str">
            <v>N/A</v>
          </cell>
          <cell r="E1230" t="str">
            <v>74-3902 CRAYOLA COLOR EXPLOSION NEON DISNEY GIRL</v>
          </cell>
          <cell r="F1230" t="str">
            <v>CRAYONES</v>
          </cell>
          <cell r="G1230" t="str">
            <v>74-3902</v>
          </cell>
          <cell r="H1230" t="str">
            <v>CRAYOLA</v>
          </cell>
          <cell r="I1230">
            <v>0</v>
          </cell>
        </row>
        <row r="1231">
          <cell r="A1231" t="str">
            <v>19-01230</v>
          </cell>
          <cell r="B1231" t="str">
            <v>WORLD WISHES</v>
          </cell>
          <cell r="C1231" t="str">
            <v>D</v>
          </cell>
          <cell r="D1231" t="str">
            <v>N/A</v>
          </cell>
          <cell r="E1231" t="str">
            <v>75-1300 CRAYOLA COLOR WONDER MINI PAD &amp; MARKERS DISNEY PRINCESS DISCONTINUED</v>
          </cell>
          <cell r="F1231" t="str">
            <v>CRAYONES</v>
          </cell>
          <cell r="G1231" t="str">
            <v>75-1300</v>
          </cell>
          <cell r="H1231" t="str">
            <v>CRAYOLA</v>
          </cell>
          <cell r="I1231">
            <v>3.3</v>
          </cell>
        </row>
        <row r="1232">
          <cell r="A1232" t="str">
            <v>19-01231</v>
          </cell>
          <cell r="B1232" t="str">
            <v>WORLD WISHES</v>
          </cell>
          <cell r="C1232" t="str">
            <v>P</v>
          </cell>
          <cell r="D1232" t="str">
            <v>N/A</v>
          </cell>
          <cell r="E1232" t="str">
            <v>75-1301 CRAYOLA COLOR WONDER MINI PAD &amp; MARKERS DISNEY /PIXAR TOY STORY</v>
          </cell>
          <cell r="F1232" t="str">
            <v>CRAYONES</v>
          </cell>
          <cell r="G1232" t="str">
            <v>75-1301</v>
          </cell>
          <cell r="H1232" t="str">
            <v>CRAYOLA</v>
          </cell>
          <cell r="I1232">
            <v>3.08</v>
          </cell>
        </row>
        <row r="1233">
          <cell r="A1233" t="str">
            <v>19-01232</v>
          </cell>
          <cell r="B1233" t="str">
            <v>WORLD WISHES</v>
          </cell>
          <cell r="C1233" t="str">
            <v>D</v>
          </cell>
          <cell r="D1233" t="str">
            <v>N/A</v>
          </cell>
          <cell r="E1233" t="str">
            <v>75-2133 CRAYOLA COLOR WONDER  PAD &amp; MARKERS DISNEY PRINCESS DISCONTINUED</v>
          </cell>
          <cell r="F1233" t="str">
            <v>CRAYONES</v>
          </cell>
          <cell r="G1233" t="str">
            <v>75-2133</v>
          </cell>
          <cell r="H1233" t="str">
            <v>CRAYOLA</v>
          </cell>
          <cell r="I1233">
            <v>5.14</v>
          </cell>
        </row>
        <row r="1234">
          <cell r="A1234" t="str">
            <v>19-01233</v>
          </cell>
          <cell r="B1234" t="str">
            <v>WORLD WISHES</v>
          </cell>
          <cell r="C1234" t="str">
            <v>P</v>
          </cell>
          <cell r="D1234" t="str">
            <v>N/A</v>
          </cell>
          <cell r="E1234" t="str">
            <v>75-2134 CRAYOLA COLOR WONDER  PAD &amp; MARKERS DISNEY/PIXAR CARS</v>
          </cell>
          <cell r="F1234" t="str">
            <v>CRAYONES</v>
          </cell>
          <cell r="G1234" t="str">
            <v>75-2134</v>
          </cell>
          <cell r="H1234" t="str">
            <v>CRAYOLA</v>
          </cell>
          <cell r="I1234">
            <v>5.14</v>
          </cell>
        </row>
        <row r="1235">
          <cell r="A1235" t="str">
            <v>19-01234</v>
          </cell>
          <cell r="B1235" t="str">
            <v>WORLD WISHES</v>
          </cell>
          <cell r="C1235" t="str">
            <v>P</v>
          </cell>
          <cell r="D1235" t="str">
            <v>N/A</v>
          </cell>
          <cell r="E1235" t="str">
            <v>75-2135 CRAYOLA COLOR WONDER  PAD &amp; MARKERS DISNEY FAIRIES</v>
          </cell>
          <cell r="F1235" t="str">
            <v>CRAYONES</v>
          </cell>
          <cell r="G1235" t="str">
            <v>75-2135</v>
          </cell>
          <cell r="H1235" t="str">
            <v>CRAYOLA</v>
          </cell>
          <cell r="I1235">
            <v>4.9859999999999998</v>
          </cell>
        </row>
        <row r="1236">
          <cell r="A1236" t="str">
            <v>19-01235</v>
          </cell>
          <cell r="B1236" t="str">
            <v>WORLD WISHES</v>
          </cell>
          <cell r="C1236" t="str">
            <v>P</v>
          </cell>
          <cell r="D1236" t="str">
            <v>N/A</v>
          </cell>
          <cell r="E1236" t="str">
            <v>75-2136 CRAYOLA COLOR WONDER  PAD &amp; MARKERS DISNEY/PIXAR TOY STORY</v>
          </cell>
          <cell r="F1236" t="str">
            <v>CRAYONES</v>
          </cell>
          <cell r="G1236" t="str">
            <v>75-2136</v>
          </cell>
          <cell r="H1236" t="str">
            <v>CRAYOLA</v>
          </cell>
          <cell r="I1236">
            <v>5.14</v>
          </cell>
        </row>
        <row r="1237">
          <cell r="A1237" t="str">
            <v>19-01236</v>
          </cell>
          <cell r="B1237" t="str">
            <v>ORKHON GROUP</v>
          </cell>
          <cell r="C1237" t="str">
            <v>A</v>
          </cell>
          <cell r="D1237" t="str">
            <v>N/A</v>
          </cell>
          <cell r="E1237" t="str">
            <v>46298/P-4 ALTAMAR BUFANDA</v>
          </cell>
          <cell r="F1237" t="str">
            <v>BUFANDA</v>
          </cell>
          <cell r="G1237" t="str">
            <v>46298/P-4</v>
          </cell>
          <cell r="H1237" t="str">
            <v>ALTAMAR</v>
          </cell>
          <cell r="I1237">
            <v>9</v>
          </cell>
        </row>
        <row r="1238">
          <cell r="A1238" t="str">
            <v>19-01237</v>
          </cell>
          <cell r="B1238" t="str">
            <v>ORKHON GROUP</v>
          </cell>
          <cell r="C1238" t="str">
            <v>A</v>
          </cell>
          <cell r="D1238" t="str">
            <v>N/A</v>
          </cell>
          <cell r="E1238" t="str">
            <v>46298/P-8 ALTAMAR BUFANDA</v>
          </cell>
          <cell r="F1238" t="str">
            <v>BUFANDA</v>
          </cell>
          <cell r="G1238" t="str">
            <v>46298/P-8</v>
          </cell>
          <cell r="H1238" t="str">
            <v>ALTAMAR</v>
          </cell>
          <cell r="I1238">
            <v>8</v>
          </cell>
        </row>
        <row r="1239">
          <cell r="A1239" t="str">
            <v>19-01238</v>
          </cell>
          <cell r="B1239" t="str">
            <v>ORKHON GROUP</v>
          </cell>
          <cell r="C1239" t="str">
            <v>A</v>
          </cell>
          <cell r="D1239" t="str">
            <v>N/A</v>
          </cell>
          <cell r="E1239" t="str">
            <v>1G-11662/A-1867 ALTAMAR BOLSOS</v>
          </cell>
          <cell r="F1239" t="str">
            <v>BOLSO</v>
          </cell>
          <cell r="G1239" t="str">
            <v>1G-11662/A-1867</v>
          </cell>
          <cell r="H1239" t="str">
            <v>ALTAMAR</v>
          </cell>
          <cell r="I1239">
            <v>6.3</v>
          </cell>
        </row>
        <row r="1240">
          <cell r="A1240" t="str">
            <v>19-01239</v>
          </cell>
          <cell r="B1240" t="str">
            <v>ORKHON GROUP</v>
          </cell>
          <cell r="C1240" t="str">
            <v>A</v>
          </cell>
          <cell r="D1240" t="str">
            <v>N/A</v>
          </cell>
          <cell r="E1240" t="str">
            <v>1F-11022/Y1203-21 ALTAMAR BOLSOS DE PLAYA</v>
          </cell>
          <cell r="F1240" t="str">
            <v>BOLSO</v>
          </cell>
          <cell r="G1240" t="str">
            <v>1F-11022/Y1203-21</v>
          </cell>
          <cell r="H1240" t="str">
            <v>ALTAMAR</v>
          </cell>
          <cell r="I1240">
            <v>15.4</v>
          </cell>
        </row>
        <row r="1241">
          <cell r="A1241" t="str">
            <v>19-01240</v>
          </cell>
          <cell r="B1241" t="str">
            <v>ORKHON GROUP</v>
          </cell>
          <cell r="C1241" t="str">
            <v>A</v>
          </cell>
          <cell r="D1241" t="str">
            <v>N/A</v>
          </cell>
          <cell r="E1241" t="str">
            <v>1F-11022/Y1203-20 ALTAMAR BOLSO DE PLAYA</v>
          </cell>
          <cell r="F1241" t="str">
            <v>BOLSO</v>
          </cell>
          <cell r="G1241" t="str">
            <v>1F-11022/Y1203-20</v>
          </cell>
          <cell r="H1241" t="str">
            <v>ALTAMAR</v>
          </cell>
          <cell r="I1241">
            <v>0</v>
          </cell>
        </row>
        <row r="1242">
          <cell r="A1242" t="str">
            <v>19-01241</v>
          </cell>
          <cell r="B1242" t="str">
            <v>ORKHON GROUP</v>
          </cell>
          <cell r="C1242" t="str">
            <v>A</v>
          </cell>
          <cell r="D1242" t="str">
            <v>N/A</v>
          </cell>
          <cell r="E1242" t="str">
            <v>46265/Y1203-332 ALTAMAR PAREO</v>
          </cell>
          <cell r="F1242" t="str">
            <v>PAREO</v>
          </cell>
          <cell r="G1242" t="str">
            <v>46265/Y1203-332</v>
          </cell>
          <cell r="H1242" t="str">
            <v>ALTAMAR</v>
          </cell>
          <cell r="I1242">
            <v>2.25</v>
          </cell>
        </row>
        <row r="1243">
          <cell r="A1243" t="str">
            <v>19-01242</v>
          </cell>
          <cell r="B1243" t="str">
            <v>ORKHON GROUP</v>
          </cell>
          <cell r="C1243" t="str">
            <v>A</v>
          </cell>
          <cell r="D1243" t="str">
            <v>N/A</v>
          </cell>
          <cell r="E1243" t="str">
            <v>38774/10-1207 ALTAMAR SOMBRERO</v>
          </cell>
          <cell r="F1243" t="str">
            <v>SOMBRERO</v>
          </cell>
          <cell r="G1243" t="str">
            <v>38774/10-1207</v>
          </cell>
          <cell r="H1243" t="str">
            <v>ALTAMAR</v>
          </cell>
          <cell r="I1243">
            <v>8</v>
          </cell>
        </row>
        <row r="1244">
          <cell r="A1244" t="str">
            <v>19-01243</v>
          </cell>
          <cell r="B1244" t="str">
            <v>ORKHON GROUP</v>
          </cell>
          <cell r="C1244" t="str">
            <v>A</v>
          </cell>
          <cell r="D1244" t="str">
            <v>N/A</v>
          </cell>
          <cell r="E1244" t="str">
            <v>39359/17-1207 ALTAMAR SOMBRERO</v>
          </cell>
          <cell r="F1244" t="str">
            <v>SOMBRERO</v>
          </cell>
          <cell r="G1244" t="str">
            <v>39359/17-1207</v>
          </cell>
          <cell r="H1244" t="str">
            <v>ALTAMAR</v>
          </cell>
          <cell r="I1244">
            <v>6.19</v>
          </cell>
        </row>
        <row r="1245">
          <cell r="A1245" t="str">
            <v>19-01244</v>
          </cell>
          <cell r="B1245" t="str">
            <v>ORKHON GROUP</v>
          </cell>
          <cell r="C1245" t="str">
            <v>A</v>
          </cell>
          <cell r="D1245" t="str">
            <v>N/A</v>
          </cell>
          <cell r="E1245" t="str">
            <v>46265/42-1207 ALTAMAR BUFANDA</v>
          </cell>
          <cell r="F1245" t="str">
            <v>BUFANDA</v>
          </cell>
          <cell r="G1245" t="str">
            <v>46265/42-1207</v>
          </cell>
          <cell r="H1245" t="str">
            <v>ALTAMAR</v>
          </cell>
          <cell r="I1245">
            <v>2.25</v>
          </cell>
        </row>
        <row r="1246">
          <cell r="A1246" t="str">
            <v>19-01245</v>
          </cell>
          <cell r="B1246" t="str">
            <v>ORKHON GROUP</v>
          </cell>
          <cell r="C1246" t="str">
            <v>A</v>
          </cell>
          <cell r="D1246" t="str">
            <v>N/A</v>
          </cell>
          <cell r="E1246" t="str">
            <v>46265/47-1207 ALTAMAR BUFANDA</v>
          </cell>
          <cell r="F1246" t="str">
            <v>BUFANDA</v>
          </cell>
          <cell r="G1246" t="str">
            <v>46265/47-1207</v>
          </cell>
          <cell r="H1246" t="str">
            <v>ALTAMAR</v>
          </cell>
          <cell r="I1246">
            <v>3.38</v>
          </cell>
        </row>
        <row r="1247">
          <cell r="A1247" t="str">
            <v>19-01246</v>
          </cell>
          <cell r="B1247" t="str">
            <v>ORKHON GROUP</v>
          </cell>
          <cell r="C1247" t="str">
            <v>A</v>
          </cell>
          <cell r="D1247" t="str">
            <v>N/A</v>
          </cell>
          <cell r="E1247" t="str">
            <v>46265/0596P ALTAMAR SCARF ROSA</v>
          </cell>
          <cell r="F1247" t="str">
            <v>BUFANDA</v>
          </cell>
          <cell r="G1247" t="str">
            <v>46265/0596P</v>
          </cell>
          <cell r="H1247" t="str">
            <v>ALTAMAR</v>
          </cell>
          <cell r="I1247">
            <v>4.38</v>
          </cell>
        </row>
        <row r="1248">
          <cell r="A1248" t="str">
            <v>19-01247</v>
          </cell>
          <cell r="B1248" t="str">
            <v>ORKHON GROUP</v>
          </cell>
          <cell r="C1248" t="str">
            <v>A</v>
          </cell>
          <cell r="D1248" t="str">
            <v>N/A</v>
          </cell>
          <cell r="E1248" t="str">
            <v>38546/BX842 ALTAMAR SOMBRERO</v>
          </cell>
          <cell r="F1248" t="str">
            <v>SOMBRERO</v>
          </cell>
          <cell r="G1248" t="str">
            <v>38546/BX842</v>
          </cell>
          <cell r="H1248" t="str">
            <v>ALTAMAR</v>
          </cell>
          <cell r="I1248">
            <v>8.93</v>
          </cell>
        </row>
        <row r="1249">
          <cell r="A1249" t="str">
            <v>19-01248</v>
          </cell>
          <cell r="B1249" t="str">
            <v>ORKHON GROUP</v>
          </cell>
          <cell r="C1249" t="str">
            <v>A</v>
          </cell>
          <cell r="D1249" t="str">
            <v>N/A</v>
          </cell>
          <cell r="E1249" t="str">
            <v>38774/02-1207 ALTAMAR SOMBRERO</v>
          </cell>
          <cell r="F1249" t="str">
            <v>SOMBRERO</v>
          </cell>
          <cell r="G1249" t="str">
            <v>38774/02-1207</v>
          </cell>
          <cell r="H1249" t="str">
            <v>ALTAMAR</v>
          </cell>
          <cell r="I1249">
            <v>6.01</v>
          </cell>
        </row>
        <row r="1250">
          <cell r="A1250" t="str">
            <v>19-01249</v>
          </cell>
          <cell r="B1250" t="str">
            <v>ORKHON GROUP</v>
          </cell>
          <cell r="C1250" t="str">
            <v>A</v>
          </cell>
          <cell r="D1250" t="str">
            <v>N/A</v>
          </cell>
          <cell r="E1250" t="str">
            <v>39359/22-1207 ALTAMAR SOMBRERO</v>
          </cell>
          <cell r="F1250" t="str">
            <v>SOMBRERO</v>
          </cell>
          <cell r="G1250" t="str">
            <v>39359/22-1207</v>
          </cell>
          <cell r="H1250" t="str">
            <v>ALTAMAR</v>
          </cell>
          <cell r="I1250">
            <v>6.95</v>
          </cell>
        </row>
        <row r="1251">
          <cell r="A1251" t="str">
            <v>19-01250</v>
          </cell>
          <cell r="B1251" t="str">
            <v>ORKHON GROUP</v>
          </cell>
          <cell r="C1251" t="str">
            <v>A</v>
          </cell>
          <cell r="D1251" t="str">
            <v>N/A</v>
          </cell>
          <cell r="E1251" t="str">
            <v>1F-11113/62-1207 ALTAMAR BOLSO DE PLAYA</v>
          </cell>
          <cell r="F1251" t="str">
            <v>BOLSO</v>
          </cell>
          <cell r="G1251" t="str">
            <v>1F-11113/62-1207</v>
          </cell>
          <cell r="H1251" t="str">
            <v>ALTAMAR</v>
          </cell>
          <cell r="I1251">
            <v>13.75</v>
          </cell>
        </row>
        <row r="1252">
          <cell r="A1252" t="str">
            <v>19-01251</v>
          </cell>
          <cell r="B1252" t="str">
            <v>ORKHON GROUP</v>
          </cell>
          <cell r="C1252" t="str">
            <v>A</v>
          </cell>
          <cell r="D1252" t="str">
            <v>N/A</v>
          </cell>
          <cell r="E1252" t="str">
            <v>1F-11357/1207-57 ALTAMAR BOLSO DE PLAYA</v>
          </cell>
          <cell r="F1252" t="str">
            <v>BOLSO</v>
          </cell>
          <cell r="G1252" t="str">
            <v>1F-11357/1207-57</v>
          </cell>
          <cell r="H1252" t="str">
            <v>ALTAMAR</v>
          </cell>
          <cell r="I1252">
            <v>8.8000000000000007</v>
          </cell>
        </row>
        <row r="1253">
          <cell r="A1253" t="str">
            <v>19-01252</v>
          </cell>
          <cell r="B1253" t="str">
            <v>ORKHON GROUP</v>
          </cell>
          <cell r="C1253" t="str">
            <v>A</v>
          </cell>
          <cell r="D1253" t="str">
            <v>N/A</v>
          </cell>
          <cell r="E1253" t="str">
            <v>1F-11357/1207-58 ALTAMAR BOLSO DE PLAYA</v>
          </cell>
          <cell r="F1253" t="str">
            <v>BOLSO</v>
          </cell>
          <cell r="G1253" t="str">
            <v>1F-11357/1207-58</v>
          </cell>
          <cell r="H1253" t="str">
            <v>ALTAMAR</v>
          </cell>
          <cell r="I1253">
            <v>17</v>
          </cell>
        </row>
        <row r="1254">
          <cell r="A1254" t="str">
            <v>19-01253</v>
          </cell>
          <cell r="B1254" t="str">
            <v>ORKHON GROUP</v>
          </cell>
          <cell r="C1254" t="str">
            <v>A</v>
          </cell>
          <cell r="D1254" t="str">
            <v>N/A</v>
          </cell>
          <cell r="E1254" t="str">
            <v>2E-5911/SM109 ALTAMAR COLLAR</v>
          </cell>
          <cell r="F1254" t="str">
            <v>COLLAR</v>
          </cell>
          <cell r="G1254" t="str">
            <v>2E-5911/SM109</v>
          </cell>
          <cell r="H1254" t="str">
            <v>ALTAMAR</v>
          </cell>
          <cell r="I1254">
            <v>1.55</v>
          </cell>
        </row>
        <row r="1255">
          <cell r="A1255" t="str">
            <v>19-01254</v>
          </cell>
          <cell r="B1255" t="str">
            <v>ORKHON GROUP</v>
          </cell>
          <cell r="C1255" t="str">
            <v>A</v>
          </cell>
          <cell r="D1255" t="str">
            <v>N/A</v>
          </cell>
          <cell r="E1255" t="str">
            <v>2D-4945/JY-1001 ALTAMAR COLLAR</v>
          </cell>
          <cell r="F1255" t="str">
            <v>COLLAR</v>
          </cell>
          <cell r="G1255" t="str">
            <v>2D-4945/JY-1001</v>
          </cell>
          <cell r="H1255" t="str">
            <v>ALTAMAR</v>
          </cell>
          <cell r="I1255">
            <v>1.55</v>
          </cell>
        </row>
        <row r="1256">
          <cell r="A1256" t="str">
            <v>19-01255</v>
          </cell>
          <cell r="B1256" t="str">
            <v>ORKHON GROUP</v>
          </cell>
          <cell r="C1256" t="str">
            <v>A</v>
          </cell>
          <cell r="D1256" t="str">
            <v>N/A</v>
          </cell>
          <cell r="E1256" t="str">
            <v>2B-4144/1103-240 ALTAMAR BRACELET</v>
          </cell>
          <cell r="F1256" t="str">
            <v>BRACELET</v>
          </cell>
          <cell r="G1256" t="str">
            <v>2B-4144/1103-240</v>
          </cell>
          <cell r="H1256" t="str">
            <v>ALTAMAR</v>
          </cell>
          <cell r="I1256">
            <v>0.98</v>
          </cell>
        </row>
        <row r="1257">
          <cell r="A1257" t="str">
            <v>19-01256</v>
          </cell>
          <cell r="B1257" t="str">
            <v>ORKHON GROUP</v>
          </cell>
          <cell r="C1257" t="str">
            <v>A</v>
          </cell>
          <cell r="D1257" t="str">
            <v>N/A</v>
          </cell>
          <cell r="E1257" t="str">
            <v>2E-5416/1103-19 ALTAMAR BRACELET</v>
          </cell>
          <cell r="F1257" t="str">
            <v>BRACELET</v>
          </cell>
          <cell r="G1257" t="str">
            <v>2E-5416/1103-19</v>
          </cell>
          <cell r="H1257" t="str">
            <v>ALTAMAR</v>
          </cell>
          <cell r="I1257">
            <v>0.98</v>
          </cell>
        </row>
        <row r="1258">
          <cell r="A1258" t="str">
            <v>19-01257</v>
          </cell>
          <cell r="B1258" t="str">
            <v>ORKHON GROUP</v>
          </cell>
          <cell r="C1258" t="str">
            <v>A</v>
          </cell>
          <cell r="D1258" t="str">
            <v>N/A</v>
          </cell>
          <cell r="E1258" t="str">
            <v>2E-5416/1103-21 ALTAMAR BRACELET</v>
          </cell>
          <cell r="F1258" t="str">
            <v>BRACELET</v>
          </cell>
          <cell r="G1258" t="str">
            <v>2E-5416/1103-21</v>
          </cell>
          <cell r="H1258" t="str">
            <v>ALTAMAR</v>
          </cell>
          <cell r="I1258">
            <v>0.99</v>
          </cell>
        </row>
        <row r="1259">
          <cell r="A1259" t="str">
            <v>19-01258</v>
          </cell>
          <cell r="B1259" t="str">
            <v>ORKHON GROUP</v>
          </cell>
          <cell r="C1259" t="str">
            <v>A</v>
          </cell>
          <cell r="D1259" t="str">
            <v>N/A</v>
          </cell>
          <cell r="E1259" t="str">
            <v>2E-5590/1103-65 ALTAMAR BRACELET</v>
          </cell>
          <cell r="F1259" t="str">
            <v>BRACELET</v>
          </cell>
          <cell r="G1259" t="str">
            <v>2E-5590/1103-65</v>
          </cell>
          <cell r="H1259" t="str">
            <v>ALTAMAR</v>
          </cell>
          <cell r="I1259">
            <v>1.03</v>
          </cell>
        </row>
        <row r="1260">
          <cell r="A1260" t="str">
            <v>19-01259</v>
          </cell>
          <cell r="B1260" t="str">
            <v>ORKHON GROUP</v>
          </cell>
          <cell r="C1260" t="str">
            <v>A</v>
          </cell>
          <cell r="D1260" t="str">
            <v>N/A</v>
          </cell>
          <cell r="E1260" t="str">
            <v>46265/1107-344 ALTAMAR PAREO</v>
          </cell>
          <cell r="F1260" t="str">
            <v>PAREO</v>
          </cell>
          <cell r="G1260" t="str">
            <v>46265/1107-344</v>
          </cell>
          <cell r="H1260" t="str">
            <v>ALTAMAR</v>
          </cell>
          <cell r="I1260">
            <v>3.38</v>
          </cell>
        </row>
        <row r="1261">
          <cell r="A1261" t="str">
            <v>19-01260</v>
          </cell>
          <cell r="B1261" t="str">
            <v>ORKHON GROUP</v>
          </cell>
          <cell r="C1261" t="str">
            <v>A</v>
          </cell>
          <cell r="D1261" t="str">
            <v>N/A</v>
          </cell>
          <cell r="E1261" t="str">
            <v>39217/1107-319 ALTAMAR SOMBRERO</v>
          </cell>
          <cell r="F1261" t="str">
            <v>SOMBRERO</v>
          </cell>
          <cell r="G1261" t="str">
            <v>39217/1107-319</v>
          </cell>
          <cell r="H1261" t="str">
            <v>ALTAMAR</v>
          </cell>
          <cell r="I1261">
            <v>6.95</v>
          </cell>
        </row>
        <row r="1262">
          <cell r="A1262" t="str">
            <v>19-01261</v>
          </cell>
          <cell r="B1262" t="str">
            <v>ORKHON GROUP</v>
          </cell>
          <cell r="C1262" t="str">
            <v>A</v>
          </cell>
          <cell r="D1262" t="str">
            <v>N/A</v>
          </cell>
          <cell r="E1262" t="str">
            <v>2C-4350/1107-183 ALTAMAR BRACELET</v>
          </cell>
          <cell r="F1262" t="str">
            <v>BRACELET</v>
          </cell>
          <cell r="G1262" t="str">
            <v>2C-4350/1107-183</v>
          </cell>
          <cell r="H1262" t="str">
            <v>ALTAMAR</v>
          </cell>
          <cell r="I1262">
            <v>3.99</v>
          </cell>
        </row>
        <row r="1263">
          <cell r="A1263" t="str">
            <v>19-01262</v>
          </cell>
          <cell r="B1263" t="str">
            <v>ORKHON GROUP</v>
          </cell>
          <cell r="C1263" t="str">
            <v>A</v>
          </cell>
          <cell r="D1263" t="str">
            <v>N/A</v>
          </cell>
          <cell r="E1263" t="str">
            <v>2C-4350/1107-186 ALTAMAR BRACELET</v>
          </cell>
          <cell r="F1263" t="str">
            <v>BRACELET</v>
          </cell>
          <cell r="G1263" t="str">
            <v>2C-4350/1107-186</v>
          </cell>
          <cell r="H1263" t="str">
            <v>ALTAMAR</v>
          </cell>
          <cell r="I1263">
            <v>0.99</v>
          </cell>
        </row>
        <row r="1264">
          <cell r="A1264" t="str">
            <v>19-01263</v>
          </cell>
          <cell r="B1264" t="str">
            <v>ORKHON GROUP</v>
          </cell>
          <cell r="C1264" t="str">
            <v>A</v>
          </cell>
          <cell r="D1264" t="str">
            <v>N/A</v>
          </cell>
          <cell r="E1264" t="str">
            <v>46298/P-13 ALTAMAR BUFANDA</v>
          </cell>
          <cell r="F1264" t="str">
            <v>BUFANDA</v>
          </cell>
          <cell r="G1264" t="str">
            <v>46298/P-13</v>
          </cell>
          <cell r="H1264" t="str">
            <v>ALTAMAR</v>
          </cell>
          <cell r="I1264">
            <v>8.33</v>
          </cell>
        </row>
        <row r="1265">
          <cell r="A1265" t="str">
            <v>19-01264</v>
          </cell>
          <cell r="B1265" t="str">
            <v>ORKHON GROUP</v>
          </cell>
          <cell r="C1265" t="str">
            <v>A</v>
          </cell>
          <cell r="D1265" t="str">
            <v>N/A</v>
          </cell>
          <cell r="E1265" t="str">
            <v>2E-5669/Y1203-155A ALTAMAR BRAZALETE</v>
          </cell>
          <cell r="F1265" t="str">
            <v>BRAZALETE</v>
          </cell>
          <cell r="G1265" t="str">
            <v>2E-5669/Y1203-155</v>
          </cell>
          <cell r="H1265" t="str">
            <v>ALTAMAR</v>
          </cell>
          <cell r="I1265">
            <v>0.99</v>
          </cell>
        </row>
        <row r="1266">
          <cell r="A1266" t="str">
            <v>19-01265</v>
          </cell>
          <cell r="B1266" t="str">
            <v>ORKHON GROUP</v>
          </cell>
          <cell r="C1266" t="str">
            <v>A</v>
          </cell>
          <cell r="D1266" t="str">
            <v>N/A</v>
          </cell>
          <cell r="E1266" t="str">
            <v>2E-5669/Y1203-155C ALTAMAR BRAZALETE</v>
          </cell>
          <cell r="F1266" t="str">
            <v>BRAZALETE</v>
          </cell>
          <cell r="G1266" t="str">
            <v>2E-5669/Y1203-155</v>
          </cell>
          <cell r="H1266" t="str">
            <v>ALTAMAR</v>
          </cell>
          <cell r="I1266">
            <v>0.98</v>
          </cell>
        </row>
        <row r="1267">
          <cell r="A1267" t="str">
            <v>19-01266</v>
          </cell>
          <cell r="B1267" t="str">
            <v>ORKHON GROUP</v>
          </cell>
          <cell r="C1267" t="str">
            <v>A</v>
          </cell>
          <cell r="D1267" t="str">
            <v>N/A</v>
          </cell>
          <cell r="E1267" t="str">
            <v>3D-5070/Y1203-40 ALTAMAR PULSERA</v>
          </cell>
          <cell r="F1267" t="str">
            <v>BRAZALETE</v>
          </cell>
          <cell r="G1267" t="str">
            <v>3D-5070/Y1203-40</v>
          </cell>
          <cell r="H1267" t="str">
            <v>ALTAMAR</v>
          </cell>
          <cell r="I1267">
            <v>1.55</v>
          </cell>
        </row>
        <row r="1268">
          <cell r="A1268" t="str">
            <v>19-01267</v>
          </cell>
          <cell r="B1268" t="str">
            <v>ORKHON GROUP</v>
          </cell>
          <cell r="C1268" t="str">
            <v>A</v>
          </cell>
          <cell r="D1268" t="str">
            <v>N/A</v>
          </cell>
          <cell r="E1268" t="str">
            <v>1F-11022/Y1203-09 ALTAMAR BOLSO DE PLAYA</v>
          </cell>
          <cell r="F1268" t="str">
            <v>BOLSO</v>
          </cell>
          <cell r="G1268" t="str">
            <v>3D-5070/Y1203-40</v>
          </cell>
          <cell r="H1268" t="str">
            <v>ALTAMAR</v>
          </cell>
          <cell r="I1268">
            <v>8.8000000000000007</v>
          </cell>
        </row>
        <row r="1269">
          <cell r="A1269" t="str">
            <v>19-01268</v>
          </cell>
          <cell r="B1269" t="str">
            <v>ORKHON GROUP</v>
          </cell>
          <cell r="C1269" t="str">
            <v>A</v>
          </cell>
          <cell r="D1269" t="str">
            <v>N/A</v>
          </cell>
          <cell r="E1269" t="str">
            <v>1G-11582/2317 ALTAMAR BOLSO PEQUENO</v>
          </cell>
          <cell r="F1269" t="str">
            <v>BOLSO</v>
          </cell>
          <cell r="G1269" t="str">
            <v>1G-11582/2317</v>
          </cell>
          <cell r="H1269" t="str">
            <v>ALTAMAR</v>
          </cell>
          <cell r="I1269">
            <v>16</v>
          </cell>
        </row>
        <row r="1270">
          <cell r="A1270" t="str">
            <v>19-01269</v>
          </cell>
          <cell r="B1270" t="str">
            <v>ORKHON GROUP</v>
          </cell>
          <cell r="C1270" t="str">
            <v>A</v>
          </cell>
          <cell r="D1270" t="str">
            <v>N/A</v>
          </cell>
          <cell r="E1270" t="str">
            <v>2C-4350/1203-287 ALTAMAR BRACELET</v>
          </cell>
          <cell r="F1270" t="str">
            <v>BRACELET</v>
          </cell>
          <cell r="G1270" t="str">
            <v>2C-4350/1203-287</v>
          </cell>
          <cell r="H1270" t="str">
            <v>ALTAMAR</v>
          </cell>
          <cell r="I1270">
            <v>0.98</v>
          </cell>
        </row>
        <row r="1271">
          <cell r="A1271" t="str">
            <v>19-01270</v>
          </cell>
          <cell r="B1271" t="str">
            <v>ORKHON GROUP</v>
          </cell>
          <cell r="C1271" t="str">
            <v>A</v>
          </cell>
          <cell r="D1271" t="str">
            <v>N/A</v>
          </cell>
          <cell r="E1271" t="str">
            <v>2C-4350/Y1203-297 ALTAMAR BRACELET</v>
          </cell>
          <cell r="F1271" t="str">
            <v>BRACELET</v>
          </cell>
          <cell r="G1271" t="str">
            <v>2C-4350/Y1203-297</v>
          </cell>
          <cell r="H1271" t="str">
            <v>ALTAMAR</v>
          </cell>
          <cell r="I1271">
            <v>0.98</v>
          </cell>
        </row>
        <row r="1272">
          <cell r="A1272" t="str">
            <v>19-01271</v>
          </cell>
          <cell r="B1272" t="str">
            <v>ORKHON GROUP</v>
          </cell>
          <cell r="C1272" t="str">
            <v>A</v>
          </cell>
          <cell r="D1272" t="str">
            <v>N/A</v>
          </cell>
          <cell r="E1272" t="str">
            <v>035-1207 ALTAMAR BOLSO DE PLAYA</v>
          </cell>
          <cell r="F1272" t="str">
            <v>BOLSO</v>
          </cell>
          <cell r="G1272" t="str">
            <v>035-1207</v>
          </cell>
          <cell r="H1272" t="str">
            <v>ALTAMAR</v>
          </cell>
          <cell r="I1272">
            <v>13</v>
          </cell>
        </row>
        <row r="1273">
          <cell r="A1273" t="str">
            <v>19-01272</v>
          </cell>
          <cell r="B1273" t="str">
            <v>ORKHON GROUP</v>
          </cell>
          <cell r="C1273" t="str">
            <v>A</v>
          </cell>
          <cell r="D1273" t="str">
            <v>N/A</v>
          </cell>
          <cell r="E1273" t="str">
            <v>3856/BX783 ALTAMAR SOMBRERO</v>
          </cell>
          <cell r="F1273" t="str">
            <v>SOMBRERO</v>
          </cell>
          <cell r="G1273" t="str">
            <v>3856/BX783</v>
          </cell>
          <cell r="H1273" t="str">
            <v>ALTAMAR</v>
          </cell>
          <cell r="I1273">
            <v>8.93</v>
          </cell>
        </row>
        <row r="1274">
          <cell r="A1274" t="str">
            <v>19-01273</v>
          </cell>
          <cell r="B1274" t="str">
            <v>ORKHON GROUP</v>
          </cell>
          <cell r="C1274" t="str">
            <v>A</v>
          </cell>
          <cell r="D1274" t="str">
            <v>N/A</v>
          </cell>
          <cell r="E1274" t="str">
            <v>38546/BX741 ALTAMAR SOMBRERO</v>
          </cell>
          <cell r="F1274" t="str">
            <v>SOMBRERO</v>
          </cell>
          <cell r="G1274" t="str">
            <v>38546/BX741</v>
          </cell>
          <cell r="H1274" t="str">
            <v>ALTAMAR</v>
          </cell>
          <cell r="I1274">
            <v>6.27</v>
          </cell>
        </row>
        <row r="1275">
          <cell r="A1275" t="str">
            <v>19-01274</v>
          </cell>
          <cell r="B1275" t="str">
            <v>ORKHON GROUP</v>
          </cell>
          <cell r="C1275" t="str">
            <v>A</v>
          </cell>
          <cell r="D1275" t="str">
            <v>N/A</v>
          </cell>
          <cell r="E1275" t="str">
            <v>38546/BX976 ALTAMAR SOMBRERO</v>
          </cell>
          <cell r="F1275" t="str">
            <v>SOMBRERO</v>
          </cell>
          <cell r="G1275" t="str">
            <v>38546/BX976</v>
          </cell>
          <cell r="H1275" t="str">
            <v>ALTAMAR</v>
          </cell>
          <cell r="I1275">
            <v>7.8</v>
          </cell>
        </row>
        <row r="1276">
          <cell r="A1276" t="str">
            <v>19-01275</v>
          </cell>
          <cell r="B1276" t="str">
            <v>ORKHON GROUP</v>
          </cell>
          <cell r="C1276" t="str">
            <v>A</v>
          </cell>
          <cell r="D1276" t="str">
            <v>N/A</v>
          </cell>
          <cell r="E1276" t="str">
            <v>46298/X14-14207 ALTAMAR BUFANDA</v>
          </cell>
          <cell r="F1276" t="str">
            <v>BUFANDA</v>
          </cell>
          <cell r="G1276" t="str">
            <v>46298/X14-14207</v>
          </cell>
          <cell r="H1276" t="str">
            <v>ALTAMAR</v>
          </cell>
          <cell r="I1276">
            <v>10.15</v>
          </cell>
        </row>
        <row r="1277">
          <cell r="A1277" t="str">
            <v>19-01276</v>
          </cell>
          <cell r="B1277" t="str">
            <v>ORKHON GROUP</v>
          </cell>
          <cell r="C1277" t="str">
            <v>A</v>
          </cell>
          <cell r="D1277" t="str">
            <v>N/A</v>
          </cell>
          <cell r="E1277" t="str">
            <v>1F-11357/1207-57 BOLSO DE PLAYA</v>
          </cell>
          <cell r="F1277" t="str">
            <v>BOLSO</v>
          </cell>
          <cell r="G1277" t="str">
            <v>1F-11357/1207-57</v>
          </cell>
          <cell r="H1277" t="str">
            <v>ALTAMAR</v>
          </cell>
          <cell r="I1277">
            <v>8.8000000000000007</v>
          </cell>
        </row>
        <row r="1278">
          <cell r="A1278" t="str">
            <v>19-01277</v>
          </cell>
          <cell r="B1278" t="str">
            <v>ORKHON GROUP</v>
          </cell>
          <cell r="C1278" t="str">
            <v>A</v>
          </cell>
          <cell r="D1278" t="str">
            <v>N/A</v>
          </cell>
          <cell r="E1278" t="str">
            <v>46298/X11-1207 ALTARMAR BUFANDA</v>
          </cell>
          <cell r="F1278" t="str">
            <v>BUFANDA</v>
          </cell>
          <cell r="G1278" t="str">
            <v>46298/X11-1207</v>
          </cell>
          <cell r="H1278" t="str">
            <v>ALTAMAR</v>
          </cell>
          <cell r="I1278">
            <v>11.37</v>
          </cell>
        </row>
        <row r="1279">
          <cell r="A1279" t="str">
            <v>19-01278</v>
          </cell>
          <cell r="B1279" t="str">
            <v>ORKHON GROUP</v>
          </cell>
          <cell r="C1279" t="str">
            <v>A</v>
          </cell>
          <cell r="D1279" t="str">
            <v>N/A</v>
          </cell>
          <cell r="E1279" t="str">
            <v>2E-5663B/09-5663-7 ALTAMAR FLOR</v>
          </cell>
          <cell r="F1279" t="str">
            <v>FLOR</v>
          </cell>
          <cell r="G1279" t="str">
            <v>2E-5663B/09-5663-</v>
          </cell>
          <cell r="H1279" t="str">
            <v>ALTAMAR</v>
          </cell>
          <cell r="I1279">
            <v>1.55</v>
          </cell>
        </row>
        <row r="1280">
          <cell r="A1280" t="str">
            <v>19-01279</v>
          </cell>
          <cell r="B1280" t="str">
            <v>ORKHON GROUP</v>
          </cell>
          <cell r="C1280" t="str">
            <v>A</v>
          </cell>
          <cell r="D1280" t="str">
            <v>N/A</v>
          </cell>
          <cell r="E1280" t="str">
            <v>47338/WJ-017 ALTMAR SCARF</v>
          </cell>
          <cell r="F1280" t="str">
            <v>BUFANDA</v>
          </cell>
          <cell r="G1280" t="str">
            <v>47338/WJ-017</v>
          </cell>
          <cell r="H1280" t="str">
            <v>ALTAMAR</v>
          </cell>
          <cell r="I1280">
            <v>4.9000000000000004</v>
          </cell>
        </row>
        <row r="1281">
          <cell r="A1281" t="str">
            <v>19-01280</v>
          </cell>
          <cell r="B1281" t="str">
            <v>ORKHON GROUP</v>
          </cell>
          <cell r="C1281" t="str">
            <v>A</v>
          </cell>
          <cell r="D1281" t="str">
            <v>N/A</v>
          </cell>
          <cell r="E1281" t="str">
            <v>2D-5304/1107-129 ALTAMAR COLLAR</v>
          </cell>
          <cell r="F1281" t="str">
            <v>COLLAR</v>
          </cell>
          <cell r="G1281" t="str">
            <v>2D-5304/1107-129</v>
          </cell>
          <cell r="H1281" t="str">
            <v>ALTAMAR</v>
          </cell>
          <cell r="I1281">
            <v>1.55</v>
          </cell>
        </row>
        <row r="1282">
          <cell r="A1282" t="str">
            <v>19-01281</v>
          </cell>
          <cell r="B1282" t="str">
            <v>ORKHON GROUP</v>
          </cell>
          <cell r="C1282" t="str">
            <v>A</v>
          </cell>
          <cell r="D1282" t="str">
            <v>N/A</v>
          </cell>
          <cell r="E1282" t="str">
            <v>46265/1107-347 ALTAMAR PAREO</v>
          </cell>
          <cell r="F1282" t="str">
            <v>PAREO</v>
          </cell>
          <cell r="G1282" t="str">
            <v>46265/1107-347</v>
          </cell>
          <cell r="H1282" t="str">
            <v>ALTAMAR</v>
          </cell>
          <cell r="I1282">
            <v>3.38</v>
          </cell>
        </row>
        <row r="1283">
          <cell r="A1283" t="str">
            <v>19-01282</v>
          </cell>
          <cell r="B1283" t="str">
            <v>ORKHON GROUP</v>
          </cell>
          <cell r="C1283" t="str">
            <v>A</v>
          </cell>
          <cell r="D1283" t="str">
            <v>N/A</v>
          </cell>
          <cell r="E1283" t="str">
            <v>46265/1107-348 ALTAMAR PAREO</v>
          </cell>
          <cell r="F1283" t="str">
            <v>PAREO</v>
          </cell>
          <cell r="G1283" t="str">
            <v>46265/1107-348</v>
          </cell>
          <cell r="H1283" t="str">
            <v>ALTAMAR</v>
          </cell>
          <cell r="I1283">
            <v>4.9000000000000004</v>
          </cell>
        </row>
        <row r="1284">
          <cell r="A1284" t="str">
            <v>19-01283</v>
          </cell>
          <cell r="B1284" t="str">
            <v>ORKHON GROUP</v>
          </cell>
          <cell r="C1284" t="str">
            <v>A</v>
          </cell>
          <cell r="D1284" t="str">
            <v>N/A</v>
          </cell>
          <cell r="E1284" t="str">
            <v>39217/1107-305 ALTAMAR SOMBRERO</v>
          </cell>
          <cell r="F1284" t="str">
            <v>SOMBRERO</v>
          </cell>
          <cell r="G1284" t="str">
            <v>39217/1107-305</v>
          </cell>
          <cell r="H1284" t="str">
            <v>ALTAMAR</v>
          </cell>
          <cell r="I1284">
            <v>6.95</v>
          </cell>
        </row>
        <row r="1285">
          <cell r="A1285" t="str">
            <v>19-01284</v>
          </cell>
          <cell r="B1285" t="str">
            <v>ORKHON GROUP</v>
          </cell>
          <cell r="C1285" t="str">
            <v>A</v>
          </cell>
          <cell r="D1285" t="str">
            <v>N/A</v>
          </cell>
          <cell r="E1285" t="str">
            <v>39217/1107-306 ALTAMAR SOMBRERO</v>
          </cell>
          <cell r="F1285" t="str">
            <v>SOMBRERO</v>
          </cell>
          <cell r="G1285" t="str">
            <v>39217/1107-306</v>
          </cell>
          <cell r="H1285" t="str">
            <v>ALTAMAR</v>
          </cell>
          <cell r="I1285">
            <v>5.92</v>
          </cell>
        </row>
        <row r="1286">
          <cell r="A1286" t="str">
            <v>19-01285</v>
          </cell>
          <cell r="B1286" t="str">
            <v>ORKHON GROUP</v>
          </cell>
          <cell r="C1286" t="str">
            <v>A</v>
          </cell>
          <cell r="D1286" t="str">
            <v>N/A</v>
          </cell>
          <cell r="E1286" t="str">
            <v>39217/1107-314 ALTAMAR SOMBRERO</v>
          </cell>
          <cell r="F1286" t="str">
            <v>SOMBRERO</v>
          </cell>
          <cell r="G1286" t="str">
            <v>39217/1107-314</v>
          </cell>
          <cell r="H1286" t="str">
            <v>ALTAMAR</v>
          </cell>
          <cell r="I1286">
            <v>5.92</v>
          </cell>
        </row>
        <row r="1287">
          <cell r="A1287" t="str">
            <v>19-01286</v>
          </cell>
          <cell r="B1287" t="str">
            <v>ORKHON GROUP</v>
          </cell>
          <cell r="C1287" t="str">
            <v>A</v>
          </cell>
          <cell r="D1287" t="str">
            <v>N/A</v>
          </cell>
          <cell r="E1287" t="str">
            <v>39217/1107-317 ALTAMAR SOMBRERO</v>
          </cell>
          <cell r="F1287" t="str">
            <v>SOMBRERO</v>
          </cell>
          <cell r="G1287" t="str">
            <v>39217/1107-317</v>
          </cell>
          <cell r="H1287" t="str">
            <v>ALTAMAR</v>
          </cell>
          <cell r="I1287">
            <v>5.92</v>
          </cell>
        </row>
        <row r="1288">
          <cell r="A1288" t="str">
            <v>19-01287</v>
          </cell>
          <cell r="B1288" t="str">
            <v>ORKHON GROUP</v>
          </cell>
          <cell r="C1288" t="str">
            <v>A</v>
          </cell>
          <cell r="D1288" t="str">
            <v>N/A</v>
          </cell>
          <cell r="E1288" t="str">
            <v>46298/P-12 ALTAMAR BUFANDA</v>
          </cell>
          <cell r="F1288" t="str">
            <v>BUFANDA</v>
          </cell>
          <cell r="G1288" t="str">
            <v>46298/P-12</v>
          </cell>
          <cell r="H1288" t="str">
            <v>ALTAMAR</v>
          </cell>
          <cell r="I1288">
            <v>8.33</v>
          </cell>
        </row>
        <row r="1289">
          <cell r="A1289" t="str">
            <v>19-01288</v>
          </cell>
          <cell r="B1289" t="str">
            <v>ORKHON GROUP</v>
          </cell>
          <cell r="C1289" t="str">
            <v>A</v>
          </cell>
          <cell r="D1289" t="str">
            <v>N/A</v>
          </cell>
          <cell r="E1289" t="str">
            <v>38546/BX741 ALTAMAR SOMBRERO</v>
          </cell>
          <cell r="F1289" t="str">
            <v>SOMBRERO</v>
          </cell>
          <cell r="G1289" t="str">
            <v>38546/BX741</v>
          </cell>
          <cell r="H1289" t="str">
            <v>ALTAMAR</v>
          </cell>
          <cell r="I1289">
            <v>8.4600000000000009</v>
          </cell>
        </row>
        <row r="1290">
          <cell r="A1290" t="str">
            <v>19-01289</v>
          </cell>
          <cell r="B1290" t="str">
            <v>ORKHON GROUP</v>
          </cell>
          <cell r="C1290" t="str">
            <v>A</v>
          </cell>
          <cell r="D1290" t="str">
            <v>N/A</v>
          </cell>
          <cell r="E1290" t="str">
            <v>46298/X1-1207 ALTAMAR BUFANDA</v>
          </cell>
          <cell r="F1290" t="str">
            <v>BUFANDA</v>
          </cell>
          <cell r="G1290" t="str">
            <v>46298/X1-1207</v>
          </cell>
          <cell r="H1290" t="str">
            <v>ALTAMAR</v>
          </cell>
          <cell r="I1290">
            <v>10.15</v>
          </cell>
        </row>
        <row r="1291">
          <cell r="A1291" t="str">
            <v>19-01290</v>
          </cell>
          <cell r="B1291" t="str">
            <v>ORKHON GROUP</v>
          </cell>
          <cell r="C1291" t="str">
            <v>A</v>
          </cell>
          <cell r="D1291" t="str">
            <v>N/A</v>
          </cell>
          <cell r="E1291" t="str">
            <v>46298/X2-1207 ALTAMAR BUFANDA</v>
          </cell>
          <cell r="F1291" t="str">
            <v>BUFANDA</v>
          </cell>
          <cell r="G1291" t="str">
            <v>46298/X2-1207</v>
          </cell>
          <cell r="H1291" t="str">
            <v>ALTAMAR</v>
          </cell>
          <cell r="I1291">
            <v>11.37</v>
          </cell>
        </row>
        <row r="1292">
          <cell r="A1292" t="str">
            <v>19-01291</v>
          </cell>
          <cell r="B1292" t="str">
            <v>ORKHON GROUP</v>
          </cell>
          <cell r="C1292" t="str">
            <v>A</v>
          </cell>
          <cell r="D1292" t="str">
            <v>N/A</v>
          </cell>
          <cell r="E1292" t="str">
            <v>46298/X9-1207 ALTAMAR BUFANDA</v>
          </cell>
          <cell r="F1292" t="str">
            <v>BUFANDA</v>
          </cell>
          <cell r="G1292" t="str">
            <v>46298/X9-1207</v>
          </cell>
          <cell r="H1292" t="str">
            <v>ALTAMAR</v>
          </cell>
          <cell r="I1292">
            <v>10.962999999999999</v>
          </cell>
        </row>
        <row r="1293">
          <cell r="A1293" t="str">
            <v>19-01292</v>
          </cell>
          <cell r="B1293" t="str">
            <v>ORKHON GROUP</v>
          </cell>
          <cell r="C1293" t="str">
            <v>A</v>
          </cell>
          <cell r="D1293" t="str">
            <v>N/A</v>
          </cell>
          <cell r="E1293" t="str">
            <v>46265/39-1207 ALTAMAR BUFANDA</v>
          </cell>
          <cell r="F1293" t="str">
            <v>BUFANDA</v>
          </cell>
          <cell r="G1293" t="str">
            <v>46265/39-1207</v>
          </cell>
          <cell r="H1293" t="str">
            <v>ALTAMAR</v>
          </cell>
          <cell r="I1293">
            <v>4.38</v>
          </cell>
        </row>
        <row r="1294">
          <cell r="A1294" t="str">
            <v>19-01293</v>
          </cell>
          <cell r="B1294" t="str">
            <v>GLOBAL DISTRIBUTOR</v>
          </cell>
          <cell r="C1294" t="str">
            <v>D</v>
          </cell>
          <cell r="D1294" t="str">
            <v>N/A</v>
          </cell>
          <cell r="E1294" t="str">
            <v>WAT-003961-CAT CLOUDZ SPIDERMAN LICENSED KIDS WATCHES DISCONTINUED</v>
          </cell>
          <cell r="F1294" t="str">
            <v>RELOJES</v>
          </cell>
          <cell r="G1294" t="str">
            <v>WAT-003961-CAT</v>
          </cell>
          <cell r="H1294" t="str">
            <v>CLOUDZ</v>
          </cell>
          <cell r="I1294">
            <v>7.65</v>
          </cell>
        </row>
        <row r="1295">
          <cell r="A1295" t="str">
            <v>19-01294</v>
          </cell>
          <cell r="B1295" t="str">
            <v>GLOBAL DISTRIBUTOR</v>
          </cell>
          <cell r="C1295" t="str">
            <v>D</v>
          </cell>
          <cell r="D1295" t="str">
            <v>N/A</v>
          </cell>
          <cell r="E1295" t="str">
            <v>WAT-004159-CAT CLOUDZ SPONGEBOB LICENSED KIDS WATCHES DISCONTINUED</v>
          </cell>
          <cell r="F1295" t="str">
            <v>RELOJES</v>
          </cell>
          <cell r="G1295" t="str">
            <v>WAT-004159-CAT</v>
          </cell>
          <cell r="H1295" t="str">
            <v>CLOUDZ</v>
          </cell>
          <cell r="I1295">
            <v>7.65</v>
          </cell>
        </row>
        <row r="1296">
          <cell r="A1296" t="str">
            <v>19-01295</v>
          </cell>
          <cell r="B1296" t="str">
            <v>GLOBAL DISTRIBUTOR</v>
          </cell>
          <cell r="C1296" t="str">
            <v>D</v>
          </cell>
          <cell r="D1296" t="str">
            <v>N/A</v>
          </cell>
          <cell r="E1296" t="str">
            <v>WAT-004166-CAT CLOUDZ DORA THE EXPLORER LICENSED KIDS WATCHES DISCONTINUED</v>
          </cell>
          <cell r="F1296" t="str">
            <v>RELOJES</v>
          </cell>
          <cell r="G1296" t="str">
            <v>WAT-004166-CAT</v>
          </cell>
          <cell r="H1296" t="str">
            <v>CLOUDZ</v>
          </cell>
          <cell r="I1296">
            <v>7.65</v>
          </cell>
        </row>
        <row r="1297">
          <cell r="A1297" t="str">
            <v>19-01296</v>
          </cell>
          <cell r="B1297" t="str">
            <v>GLOBAL DISTRIBUTOR</v>
          </cell>
          <cell r="C1297" t="str">
            <v>D</v>
          </cell>
          <cell r="D1297" t="str">
            <v>N/A</v>
          </cell>
          <cell r="E1297" t="str">
            <v>WAT-029992-CAT CLOUDZ DISNEY PRINCESS LICENSED KIDS WATCHES DISCONTINUED</v>
          </cell>
          <cell r="F1297" t="str">
            <v>RELOJES</v>
          </cell>
          <cell r="G1297" t="str">
            <v>WAT-029992-CAT</v>
          </cell>
          <cell r="H1297" t="str">
            <v>CLOUDZ</v>
          </cell>
          <cell r="I1297">
            <v>7.65</v>
          </cell>
        </row>
        <row r="1298">
          <cell r="A1298" t="str">
            <v>19-01297</v>
          </cell>
          <cell r="B1298" t="str">
            <v>GLOBAL DISTRIBUTOR</v>
          </cell>
          <cell r="C1298" t="str">
            <v>D</v>
          </cell>
          <cell r="D1298" t="str">
            <v>N/A</v>
          </cell>
          <cell r="E1298" t="str">
            <v>WAT-030110-CAT CLOUDZ CARS LICENSED KIDS WATCHES DISCONTINUED</v>
          </cell>
          <cell r="F1298" t="str">
            <v>RELOJES</v>
          </cell>
          <cell r="G1298" t="str">
            <v>WAT-030110-CAT</v>
          </cell>
          <cell r="H1298" t="str">
            <v>CLOUDZ</v>
          </cell>
          <cell r="I1298">
            <v>7.65</v>
          </cell>
        </row>
        <row r="1299">
          <cell r="A1299" t="str">
            <v>19-01298</v>
          </cell>
          <cell r="B1299" t="str">
            <v>GLOBAL DISTRIBUTOR</v>
          </cell>
          <cell r="C1299" t="str">
            <v>D</v>
          </cell>
          <cell r="D1299" t="str">
            <v>N/A</v>
          </cell>
          <cell r="E1299" t="str">
            <v>WAT-030134-CAT CLOUDZ TINKER BELL LICENSED KIDS WATCHES DISCONTINUED</v>
          </cell>
          <cell r="F1299" t="str">
            <v>RELOJES</v>
          </cell>
          <cell r="G1299" t="str">
            <v>WAT-030134-CAT</v>
          </cell>
          <cell r="H1299" t="str">
            <v>CLOUDZ</v>
          </cell>
          <cell r="I1299">
            <v>7.65</v>
          </cell>
        </row>
        <row r="1300">
          <cell r="A1300" t="str">
            <v>19-01299</v>
          </cell>
          <cell r="B1300" t="str">
            <v>GLOBAL DISTRIBUTOR</v>
          </cell>
          <cell r="C1300" t="str">
            <v>D</v>
          </cell>
          <cell r="D1300" t="str">
            <v>N/A</v>
          </cell>
          <cell r="E1300" t="str">
            <v>WAT-033203-CAT CLOUDZ TOY STORY LICENSED KIDS WATCHES DISCONTINUED</v>
          </cell>
          <cell r="F1300" t="str">
            <v>RELOJES</v>
          </cell>
          <cell r="G1300" t="str">
            <v>WAT-033203-CAT</v>
          </cell>
          <cell r="H1300" t="str">
            <v>CLOUDZ</v>
          </cell>
          <cell r="I1300">
            <v>7.65</v>
          </cell>
        </row>
        <row r="1301">
          <cell r="A1301" t="str">
            <v>19-01300</v>
          </cell>
          <cell r="B1301" t="str">
            <v>GLOBAL DISTRIBUTOR</v>
          </cell>
          <cell r="C1301" t="str">
            <v>D</v>
          </cell>
          <cell r="D1301" t="str">
            <v>N/A</v>
          </cell>
          <cell r="E1301" t="str">
            <v>WAT-033210-CAT CLOUDZ IRON MAN LICENSED KIDS WATCHES DISCONTINUED</v>
          </cell>
          <cell r="F1301" t="str">
            <v>RELOJES</v>
          </cell>
          <cell r="G1301" t="str">
            <v>WAT-033210-CAT</v>
          </cell>
          <cell r="H1301" t="str">
            <v>CLOUDZ</v>
          </cell>
          <cell r="I1301">
            <v>7.65</v>
          </cell>
        </row>
        <row r="1302">
          <cell r="A1302" t="str">
            <v>19-01301</v>
          </cell>
          <cell r="B1302" t="str">
            <v>GLOBAL DISTRIBUTOR</v>
          </cell>
          <cell r="C1302" t="str">
            <v>D</v>
          </cell>
          <cell r="D1302" t="str">
            <v>N/A</v>
          </cell>
          <cell r="E1302" t="str">
            <v>WAT-033227-CAT CLOUDZ FAIRIES LICENSED KIDS WATCHES DISCONTINUED</v>
          </cell>
          <cell r="F1302" t="str">
            <v>RELOJES</v>
          </cell>
          <cell r="G1302" t="str">
            <v>WAT-033227-CAT</v>
          </cell>
          <cell r="H1302" t="str">
            <v>CLOUDZ</v>
          </cell>
          <cell r="I1302">
            <v>7.65</v>
          </cell>
        </row>
        <row r="1303">
          <cell r="A1303" t="str">
            <v>19-01302</v>
          </cell>
          <cell r="B1303" t="str">
            <v>GLOBAL DISTRIBUTOR</v>
          </cell>
          <cell r="C1303" t="str">
            <v>D</v>
          </cell>
          <cell r="D1303" t="str">
            <v>N/A</v>
          </cell>
          <cell r="E1303" t="str">
            <v>WAT-915387-CAT CLOUDZ HELLO KITTY LICENSED KIDS WATCHES</v>
          </cell>
          <cell r="F1303" t="str">
            <v>RELOJES</v>
          </cell>
          <cell r="G1303" t="str">
            <v>WAT-915387-CAT</v>
          </cell>
          <cell r="H1303" t="str">
            <v>CLOUDZ</v>
          </cell>
          <cell r="I1303">
            <v>0</v>
          </cell>
        </row>
        <row r="1304">
          <cell r="A1304" t="str">
            <v>19-01303</v>
          </cell>
          <cell r="B1304" t="str">
            <v>GLOBAL DISTRIBUTOR</v>
          </cell>
          <cell r="C1304" t="str">
            <v>D</v>
          </cell>
          <cell r="D1304" t="str">
            <v>N/A</v>
          </cell>
          <cell r="E1304" t="str">
            <v>WAT-927045-CAT CLOUDZ MICKEY MOUSE LICENSED KIDS WATCHES DISCONTINUED</v>
          </cell>
          <cell r="F1304" t="str">
            <v>RELOJES</v>
          </cell>
          <cell r="G1304" t="str">
            <v>WAT-927045-CAT</v>
          </cell>
          <cell r="H1304" t="str">
            <v>CLOUDZ</v>
          </cell>
          <cell r="I1304">
            <v>7.65</v>
          </cell>
        </row>
        <row r="1305">
          <cell r="A1305" t="str">
            <v>19-01304</v>
          </cell>
          <cell r="B1305" t="str">
            <v>GLOBAL DISTRIBUTOR</v>
          </cell>
          <cell r="C1305" t="str">
            <v>D</v>
          </cell>
          <cell r="D1305" t="str">
            <v>N/A</v>
          </cell>
          <cell r="E1305" t="str">
            <v>SKS-021682 CLOUDZ KID'S TRAVEL SOCKS DISCONTINUED</v>
          </cell>
          <cell r="F1305" t="str">
            <v>MEDIAS</v>
          </cell>
          <cell r="G1305" t="str">
            <v>SKS-021682</v>
          </cell>
          <cell r="H1305" t="str">
            <v>CLOUDZ</v>
          </cell>
          <cell r="I1305">
            <v>0</v>
          </cell>
        </row>
        <row r="1306">
          <cell r="A1306" t="str">
            <v>19-01305</v>
          </cell>
          <cell r="B1306" t="str">
            <v>GLOBAL DISTRIBUTOR</v>
          </cell>
          <cell r="C1306" t="str">
            <v>D</v>
          </cell>
          <cell r="D1306" t="str">
            <v>N/A</v>
          </cell>
          <cell r="E1306" t="str">
            <v>SKS-918920 CLOUDZ KIDZ PLUSH SLIPPER BUDDIES: DOG DISCONTINUED</v>
          </cell>
          <cell r="F1306" t="str">
            <v>PANTUFLAS</v>
          </cell>
          <cell r="G1306" t="str">
            <v>SKS-918920</v>
          </cell>
          <cell r="H1306" t="str">
            <v>CLOUDZ</v>
          </cell>
          <cell r="I1306">
            <v>4.5</v>
          </cell>
        </row>
        <row r="1307">
          <cell r="A1307" t="str">
            <v>19-01306</v>
          </cell>
          <cell r="B1307" t="str">
            <v>GLOBAL DISTRIBUTOR</v>
          </cell>
          <cell r="C1307" t="str">
            <v>D</v>
          </cell>
          <cell r="D1307" t="str">
            <v>N/A</v>
          </cell>
          <cell r="E1307" t="str">
            <v>SKS-918937 CLOUDZ KIDZ PLUSH SLIPPER BUDDIES: CAT DISCONTINUED</v>
          </cell>
          <cell r="F1307" t="str">
            <v>PANTUFLAS</v>
          </cell>
          <cell r="G1307" t="str">
            <v>SKS-918937</v>
          </cell>
          <cell r="H1307" t="str">
            <v>CLOUDZ</v>
          </cell>
          <cell r="I1307">
            <v>4.5</v>
          </cell>
        </row>
        <row r="1308">
          <cell r="A1308" t="str">
            <v>19-01307</v>
          </cell>
          <cell r="B1308" t="str">
            <v>GLOBAL DISTRIBUTOR</v>
          </cell>
          <cell r="C1308" t="str">
            <v>D</v>
          </cell>
          <cell r="D1308" t="str">
            <v>N/A</v>
          </cell>
          <cell r="E1308" t="str">
            <v>SKS-918944 CLOUDZ KIDZ PLUSH SLIPPER BUDDIES: LION DISCONTINUED</v>
          </cell>
          <cell r="F1308" t="str">
            <v>PANTUFLAS</v>
          </cell>
          <cell r="G1308" t="str">
            <v>SKS-918944</v>
          </cell>
          <cell r="H1308" t="str">
            <v>CLOUDZ</v>
          </cell>
          <cell r="I1308">
            <v>4.5</v>
          </cell>
        </row>
        <row r="1309">
          <cell r="A1309" t="str">
            <v>19-01308</v>
          </cell>
          <cell r="B1309" t="str">
            <v>GLOBAL DISTRIBUTOR</v>
          </cell>
          <cell r="C1309" t="str">
            <v>D</v>
          </cell>
          <cell r="D1309" t="str">
            <v>N/A</v>
          </cell>
          <cell r="E1309" t="str">
            <v>SKS-918951 CLOUDZ KIDZ PLUSH SLIPPER BUDDIES: DINOSAUR DISCONTINUED</v>
          </cell>
          <cell r="F1309" t="str">
            <v>PANTUFLAS</v>
          </cell>
          <cell r="G1309" t="str">
            <v>SKS-918951</v>
          </cell>
          <cell r="H1309" t="str">
            <v>CLOUDZ</v>
          </cell>
          <cell r="I1309">
            <v>4.5</v>
          </cell>
        </row>
        <row r="1310">
          <cell r="A1310" t="str">
            <v>19-01309</v>
          </cell>
          <cell r="B1310" t="str">
            <v>GLOBAL DISTRIBUTOR</v>
          </cell>
          <cell r="C1310" t="str">
            <v>D</v>
          </cell>
          <cell r="D1310" t="str">
            <v>N/A</v>
          </cell>
          <cell r="E1310" t="str">
            <v>SKS-918968 CLOUDZ KIDZ PLUSH SLIPPER BUDDIES: MONKEY DISCONTINUED</v>
          </cell>
          <cell r="F1310" t="str">
            <v>PANTUFLAS</v>
          </cell>
          <cell r="G1310" t="str">
            <v>SKS-918968</v>
          </cell>
          <cell r="H1310" t="str">
            <v>CLOUDZ</v>
          </cell>
          <cell r="I1310">
            <v>4.5</v>
          </cell>
        </row>
        <row r="1311">
          <cell r="A1311" t="str">
            <v>19-01310</v>
          </cell>
          <cell r="B1311" t="str">
            <v>GLOBAL DISTRIBUTOR</v>
          </cell>
          <cell r="C1311" t="str">
            <v>D</v>
          </cell>
          <cell r="D1311" t="str">
            <v>N/A</v>
          </cell>
          <cell r="E1311" t="str">
            <v>SKS-918975 CLOUDZ KIDZ PLUSH SLIPPER BUDDIES: LADYBUG DISCONTINUED</v>
          </cell>
          <cell r="F1311" t="str">
            <v>PANTUFLAS</v>
          </cell>
          <cell r="G1311" t="str">
            <v>SKS-918975</v>
          </cell>
          <cell r="H1311" t="str">
            <v>CLOUDZ</v>
          </cell>
          <cell r="I1311">
            <v>4.5</v>
          </cell>
        </row>
        <row r="1312">
          <cell r="A1312" t="str">
            <v>19-01311</v>
          </cell>
          <cell r="B1312" t="str">
            <v>GLOBAL DISTRIBUTOR</v>
          </cell>
          <cell r="C1312" t="str">
            <v>D</v>
          </cell>
          <cell r="D1312" t="str">
            <v>N/A</v>
          </cell>
          <cell r="E1312" t="str">
            <v>PIL-924372 CLOUDZ 5-IN-1 PILLOW DISCONTINUED</v>
          </cell>
          <cell r="F1312" t="str">
            <v>ALMOHADA</v>
          </cell>
          <cell r="G1312" t="str">
            <v>PIL-924372</v>
          </cell>
          <cell r="H1312" t="str">
            <v>CLOUDZ</v>
          </cell>
          <cell r="I1312">
            <v>0</v>
          </cell>
        </row>
        <row r="1313">
          <cell r="A1313" t="str">
            <v>19-01312</v>
          </cell>
          <cell r="B1313" t="str">
            <v>DESIGN GO</v>
          </cell>
          <cell r="C1313" t="str">
            <v>D</v>
          </cell>
          <cell r="D1313" t="str">
            <v>N/A</v>
          </cell>
          <cell r="E1313" t="str">
            <v>453 DESING GO PLUSH PILLOW</v>
          </cell>
          <cell r="F1313" t="str">
            <v>ALMOHADA</v>
          </cell>
          <cell r="G1313">
            <v>453</v>
          </cell>
          <cell r="H1313" t="str">
            <v>DESIGN GO</v>
          </cell>
          <cell r="I1313">
            <v>0</v>
          </cell>
        </row>
        <row r="1314">
          <cell r="A1314" t="str">
            <v>19-01313</v>
          </cell>
          <cell r="B1314" t="str">
            <v>DESIGN GO</v>
          </cell>
          <cell r="C1314" t="str">
            <v>D</v>
          </cell>
          <cell r="D1314" t="str">
            <v>N/A</v>
          </cell>
          <cell r="E1314" t="str">
            <v>458 DESING GO MEMORY FOAM LUMBAR SUPPORT</v>
          </cell>
          <cell r="F1314" t="str">
            <v>ALMOHADA</v>
          </cell>
          <cell r="G1314">
            <v>458</v>
          </cell>
          <cell r="H1314" t="str">
            <v>DESIGN GO</v>
          </cell>
          <cell r="I1314">
            <v>0</v>
          </cell>
        </row>
        <row r="1315">
          <cell r="A1315" t="str">
            <v>19-01314</v>
          </cell>
          <cell r="B1315" t="str">
            <v>GLOBAL DISTRIBUTOR</v>
          </cell>
          <cell r="C1315" t="str">
            <v>D</v>
          </cell>
          <cell r="D1315" t="str">
            <v>N/A</v>
          </cell>
          <cell r="E1315" t="str">
            <v>CLKP-600 CLOUDZ KIDS NECK PILLOW  ASSORTED DISCONTINUED</v>
          </cell>
          <cell r="F1315" t="str">
            <v>ALMOHADA</v>
          </cell>
          <cell r="G1315" t="str">
            <v>CLKP-600</v>
          </cell>
          <cell r="H1315" t="str">
            <v>CLOUDZ</v>
          </cell>
          <cell r="I1315">
            <v>5.25</v>
          </cell>
        </row>
        <row r="1316">
          <cell r="A1316" t="str">
            <v>19-01315</v>
          </cell>
          <cell r="B1316" t="str">
            <v>ORKHON GROUP</v>
          </cell>
          <cell r="C1316" t="str">
            <v>A</v>
          </cell>
          <cell r="D1316" t="str">
            <v>N/A</v>
          </cell>
          <cell r="E1316" t="str">
            <v>46298/P-5 BUFANDA</v>
          </cell>
          <cell r="F1316" t="str">
            <v>BUFANDA</v>
          </cell>
          <cell r="G1316">
            <v>116168</v>
          </cell>
          <cell r="H1316" t="str">
            <v>ALTAMAR</v>
          </cell>
          <cell r="I1316">
            <v>8.33</v>
          </cell>
        </row>
        <row r="1317">
          <cell r="A1317" t="str">
            <v>19-01316</v>
          </cell>
          <cell r="B1317" t="str">
            <v>ORKHON GROUP</v>
          </cell>
          <cell r="C1317" t="str">
            <v>A</v>
          </cell>
          <cell r="D1317" t="str">
            <v>N/A</v>
          </cell>
          <cell r="E1317" t="str">
            <v>46298/P-9 BUFANDA</v>
          </cell>
          <cell r="F1317" t="str">
            <v>BUFANDA</v>
          </cell>
          <cell r="G1317">
            <v>116176</v>
          </cell>
          <cell r="H1317" t="str">
            <v>ALTAMAR</v>
          </cell>
          <cell r="I1317">
            <v>11.37</v>
          </cell>
        </row>
        <row r="1318">
          <cell r="A1318" t="str">
            <v>19-01317</v>
          </cell>
          <cell r="B1318" t="str">
            <v>ORKHON GROUP</v>
          </cell>
          <cell r="C1318" t="str">
            <v>A</v>
          </cell>
          <cell r="D1318" t="str">
            <v>N/A</v>
          </cell>
          <cell r="E1318" t="str">
            <v>38774/06-1207 SOMBRERO</v>
          </cell>
          <cell r="F1318" t="str">
            <v>SOMBRERO</v>
          </cell>
          <cell r="G1318">
            <v>116704</v>
          </cell>
          <cell r="H1318" t="str">
            <v>ALTAMAR</v>
          </cell>
          <cell r="I1318">
            <v>6.07</v>
          </cell>
        </row>
        <row r="1319">
          <cell r="A1319" t="str">
            <v>19-01318</v>
          </cell>
          <cell r="B1319" t="str">
            <v>ORKHON GROUP</v>
          </cell>
          <cell r="C1319" t="str">
            <v>A</v>
          </cell>
          <cell r="D1319" t="str">
            <v>N/A</v>
          </cell>
          <cell r="E1319" t="str">
            <v>39359/15-1207 SOMBRERO</v>
          </cell>
          <cell r="F1319" t="str">
            <v>SOMBRERO</v>
          </cell>
          <cell r="G1319">
            <v>116708</v>
          </cell>
          <cell r="H1319" t="str">
            <v>ALTAMAR</v>
          </cell>
          <cell r="I1319">
            <v>8.93</v>
          </cell>
        </row>
        <row r="1320">
          <cell r="A1320" t="str">
            <v>19-01319</v>
          </cell>
          <cell r="B1320" t="str">
            <v>ORKHON GROUP</v>
          </cell>
          <cell r="C1320" t="str">
            <v>A</v>
          </cell>
          <cell r="D1320" t="str">
            <v>N/A</v>
          </cell>
          <cell r="E1320" t="str">
            <v>46298/X4-1207 BUFANDA</v>
          </cell>
          <cell r="F1320" t="str">
            <v>BUFANDA</v>
          </cell>
          <cell r="G1320">
            <v>116721</v>
          </cell>
          <cell r="H1320" t="str">
            <v>ALTAMAR</v>
          </cell>
          <cell r="I1320">
            <v>10.15</v>
          </cell>
        </row>
        <row r="1321">
          <cell r="A1321" t="str">
            <v>19-01320</v>
          </cell>
          <cell r="B1321" t="str">
            <v>ORKHON GROUP</v>
          </cell>
          <cell r="C1321" t="str">
            <v>A</v>
          </cell>
          <cell r="D1321" t="str">
            <v>N/A</v>
          </cell>
          <cell r="E1321" t="str">
            <v>46298/P-2 BUFANDA</v>
          </cell>
          <cell r="F1321" t="str">
            <v>BUFANDA</v>
          </cell>
          <cell r="G1321">
            <v>116171</v>
          </cell>
          <cell r="H1321" t="str">
            <v>ALTAMAR</v>
          </cell>
          <cell r="I1321">
            <v>6.2</v>
          </cell>
        </row>
        <row r="1322">
          <cell r="A1322" t="str">
            <v>19-01321</v>
          </cell>
          <cell r="B1322" t="str">
            <v>ORKHON GROUP</v>
          </cell>
          <cell r="C1322" t="str">
            <v>A</v>
          </cell>
          <cell r="D1322" t="str">
            <v>N/A</v>
          </cell>
          <cell r="E1322" t="str">
            <v>1G-11662/A-388 BOLSO</v>
          </cell>
          <cell r="F1322" t="str">
            <v>BOLSO</v>
          </cell>
          <cell r="G1322">
            <v>116199</v>
          </cell>
          <cell r="H1322" t="str">
            <v>ALTAMAR</v>
          </cell>
          <cell r="I1322">
            <v>13</v>
          </cell>
        </row>
        <row r="1323">
          <cell r="A1323" t="str">
            <v>19-01322</v>
          </cell>
          <cell r="B1323" t="str">
            <v>ORKHON GROUP</v>
          </cell>
          <cell r="C1323" t="str">
            <v>A</v>
          </cell>
          <cell r="D1323" t="str">
            <v>N/A</v>
          </cell>
          <cell r="E1323" t="str">
            <v>031-1207 BOLSO DE PLAYA</v>
          </cell>
          <cell r="F1323" t="str">
            <v>BOLSO</v>
          </cell>
          <cell r="G1323">
            <v>116679</v>
          </cell>
          <cell r="H1323" t="str">
            <v>ALTAMAR</v>
          </cell>
          <cell r="I1323">
            <v>15.4</v>
          </cell>
        </row>
        <row r="1324">
          <cell r="A1324" t="str">
            <v>19-01323</v>
          </cell>
          <cell r="B1324" t="str">
            <v>ORKHON GROUP</v>
          </cell>
          <cell r="C1324" t="str">
            <v>A</v>
          </cell>
          <cell r="D1324" t="str">
            <v>N/A</v>
          </cell>
          <cell r="E1324" t="str">
            <v>46298/X12-1207 BUFANDA</v>
          </cell>
          <cell r="F1324" t="str">
            <v>BUFANDA</v>
          </cell>
          <cell r="G1324">
            <v>116725</v>
          </cell>
          <cell r="H1324" t="str">
            <v>ALTAMAR</v>
          </cell>
          <cell r="I1324">
            <v>8.33</v>
          </cell>
        </row>
        <row r="1325">
          <cell r="A1325" t="str">
            <v>19-01324</v>
          </cell>
          <cell r="B1325" t="str">
            <v>ORKHON GROUP</v>
          </cell>
          <cell r="C1325" t="str">
            <v>A</v>
          </cell>
          <cell r="D1325" t="str">
            <v>N/A</v>
          </cell>
          <cell r="E1325" t="str">
            <v>46265/40-1207 BUFANDA</v>
          </cell>
          <cell r="F1325" t="str">
            <v>BUFANDA</v>
          </cell>
          <cell r="G1325">
            <v>116729</v>
          </cell>
          <cell r="H1325" t="str">
            <v>ALTAMAR</v>
          </cell>
          <cell r="I1325">
            <v>4.38</v>
          </cell>
        </row>
        <row r="1326">
          <cell r="A1326" t="str">
            <v>19-01325</v>
          </cell>
          <cell r="B1326" t="str">
            <v>ORKHON GROUP</v>
          </cell>
          <cell r="C1326" t="str">
            <v>A</v>
          </cell>
          <cell r="D1326" t="str">
            <v>N/A</v>
          </cell>
          <cell r="E1326" t="str">
            <v>46265/49-1207 BUFANDA</v>
          </cell>
          <cell r="F1326" t="str">
            <v>BUFANDA</v>
          </cell>
          <cell r="G1326">
            <v>116732</v>
          </cell>
          <cell r="H1326" t="str">
            <v>ALTAMAR</v>
          </cell>
          <cell r="I1326">
            <v>6.05</v>
          </cell>
        </row>
        <row r="1327">
          <cell r="A1327" t="str">
            <v>19-01326</v>
          </cell>
          <cell r="B1327" t="str">
            <v>ORKHON GROUP</v>
          </cell>
          <cell r="C1327" t="str">
            <v>A</v>
          </cell>
          <cell r="D1327" t="str">
            <v>N/A</v>
          </cell>
          <cell r="E1327" t="str">
            <v>1F-11113/59-1207 BOLSO DE PLAYA</v>
          </cell>
          <cell r="F1327" t="str">
            <v>BOLSO</v>
          </cell>
          <cell r="G1327">
            <v>116735</v>
          </cell>
          <cell r="H1327" t="str">
            <v>ALTAMAR</v>
          </cell>
          <cell r="I1327">
            <v>8.8000000000000007</v>
          </cell>
        </row>
        <row r="1328">
          <cell r="A1328" t="str">
            <v>19-01327</v>
          </cell>
          <cell r="B1328" t="str">
            <v>ORKHON GROUP</v>
          </cell>
          <cell r="C1328" t="str">
            <v>A</v>
          </cell>
          <cell r="D1328" t="str">
            <v>N/A</v>
          </cell>
          <cell r="E1328" t="str">
            <v>1F-11113/64-1207 BOLSO DE PLAYA</v>
          </cell>
          <cell r="F1328" t="str">
            <v>BOLSO</v>
          </cell>
          <cell r="G1328">
            <v>116738</v>
          </cell>
          <cell r="H1328" t="str">
            <v>ALTAMAR</v>
          </cell>
          <cell r="I1328">
            <v>16</v>
          </cell>
        </row>
        <row r="1329">
          <cell r="A1329" t="str">
            <v>19-01328</v>
          </cell>
          <cell r="B1329" t="str">
            <v>ORKHON GROUP</v>
          </cell>
          <cell r="C1329" t="str">
            <v>A</v>
          </cell>
          <cell r="D1329" t="str">
            <v>N/A</v>
          </cell>
          <cell r="E1329" t="str">
            <v>46265/1207-43 BUFANDA</v>
          </cell>
          <cell r="F1329" t="str">
            <v>BUFANDA</v>
          </cell>
          <cell r="G1329">
            <v>116841</v>
          </cell>
          <cell r="H1329" t="str">
            <v>ALTAMAR</v>
          </cell>
          <cell r="I1329">
            <v>4.9000000000000004</v>
          </cell>
        </row>
        <row r="1330">
          <cell r="A1330" t="str">
            <v>19-01329</v>
          </cell>
          <cell r="B1330" t="str">
            <v>DICARINA</v>
          </cell>
          <cell r="C1330" t="str">
            <v>D</v>
          </cell>
          <cell r="D1330" t="str">
            <v>N/A</v>
          </cell>
          <cell r="E1330" t="str">
            <v>Y08816A6 HT FACIAL SNSCRN SPF50 12X60ML</v>
          </cell>
          <cell r="F1330" t="str">
            <v>SUN BLOCK</v>
          </cell>
          <cell r="G1330" t="str">
            <v>Y08816A6</v>
          </cell>
          <cell r="H1330" t="str">
            <v>HAWAIAN TROPIC</v>
          </cell>
          <cell r="I1330">
            <v>0</v>
          </cell>
        </row>
        <row r="1331">
          <cell r="A1331" t="str">
            <v>19-01330</v>
          </cell>
          <cell r="B1331" t="str">
            <v>DICARINA</v>
          </cell>
          <cell r="C1331" t="str">
            <v>D</v>
          </cell>
          <cell r="D1331" t="str">
            <v>N/A</v>
          </cell>
          <cell r="E1331" t="str">
            <v>Y0877000 HT OZONO LTN SPF80 12X120ML</v>
          </cell>
          <cell r="F1331" t="str">
            <v>SUN BLOCK</v>
          </cell>
          <cell r="G1331" t="str">
            <v>Y0877000</v>
          </cell>
          <cell r="H1331" t="str">
            <v>HAWAIAN TROPIC</v>
          </cell>
          <cell r="I1331">
            <v>0</v>
          </cell>
        </row>
        <row r="1332">
          <cell r="A1332" t="str">
            <v>19-01331</v>
          </cell>
          <cell r="B1332" t="str">
            <v>DICARINA</v>
          </cell>
          <cell r="C1332" t="str">
            <v>D</v>
          </cell>
          <cell r="D1332" t="str">
            <v>N/A</v>
          </cell>
          <cell r="E1332" t="str">
            <v>Y0887800 HT OZONO SNSCN LTN SPF80 12X240ML</v>
          </cell>
          <cell r="F1332" t="str">
            <v>SUN BLOCK</v>
          </cell>
          <cell r="G1332" t="str">
            <v>Y0887800</v>
          </cell>
          <cell r="H1332" t="str">
            <v>HAWAIAN TROPIC</v>
          </cell>
          <cell r="I1332">
            <v>0</v>
          </cell>
        </row>
        <row r="1333">
          <cell r="A1333" t="str">
            <v>19-01332</v>
          </cell>
          <cell r="B1333" t="str">
            <v>DICARINA</v>
          </cell>
          <cell r="C1333" t="str">
            <v>D</v>
          </cell>
          <cell r="D1333" t="str">
            <v>N/A</v>
          </cell>
          <cell r="E1333" t="str">
            <v>Y0887700 HT OZONO SNSCRN LTN SPF80 12X90ML</v>
          </cell>
          <cell r="F1333" t="str">
            <v>SUN BLOCK</v>
          </cell>
          <cell r="G1333" t="str">
            <v>Y0887700</v>
          </cell>
          <cell r="H1333" t="str">
            <v>HAWAIAN TROPIC</v>
          </cell>
          <cell r="I1333">
            <v>0</v>
          </cell>
        </row>
        <row r="1334">
          <cell r="A1334" t="str">
            <v>19-01333</v>
          </cell>
          <cell r="B1334" t="str">
            <v>DICARINA</v>
          </cell>
          <cell r="C1334" t="str">
            <v>D</v>
          </cell>
          <cell r="D1334" t="str">
            <v>N/A</v>
          </cell>
          <cell r="E1334" t="str">
            <v>Y0216400 HT SHEER TOUCH SPF30 12X120ML</v>
          </cell>
          <cell r="F1334" t="str">
            <v>SUN BLOCK</v>
          </cell>
          <cell r="G1334" t="str">
            <v>Y0216400</v>
          </cell>
          <cell r="H1334" t="str">
            <v>HAWAIAN TROPIC</v>
          </cell>
          <cell r="I1334">
            <v>0</v>
          </cell>
        </row>
        <row r="1335">
          <cell r="A1335" t="str">
            <v>19-01334</v>
          </cell>
          <cell r="B1335" t="str">
            <v>DICARINA</v>
          </cell>
          <cell r="C1335" t="str">
            <v>D</v>
          </cell>
          <cell r="D1335" t="str">
            <v>N/A</v>
          </cell>
          <cell r="E1335" t="str">
            <v>Y08807B6 HT SHEER TOUCH SPF50+ CS 12X180ML</v>
          </cell>
          <cell r="F1335" t="str">
            <v>SUN BLOCK</v>
          </cell>
          <cell r="G1335" t="str">
            <v>Y08807B6</v>
          </cell>
          <cell r="H1335" t="str">
            <v>HAWAIAN TROPIC</v>
          </cell>
          <cell r="I1335">
            <v>0</v>
          </cell>
        </row>
        <row r="1336">
          <cell r="A1336" t="str">
            <v>19-01335</v>
          </cell>
          <cell r="B1336" t="str">
            <v>DICARINA</v>
          </cell>
          <cell r="C1336" t="str">
            <v>D</v>
          </cell>
          <cell r="D1336" t="str">
            <v>N/A</v>
          </cell>
          <cell r="E1336" t="str">
            <v>Y0886200 HT SHEER TOUCH LTN SPF50+ 12X120ML</v>
          </cell>
          <cell r="F1336" t="str">
            <v>SUN BLOCK</v>
          </cell>
          <cell r="G1336" t="str">
            <v>Y0886200</v>
          </cell>
          <cell r="H1336" t="str">
            <v>HAWAIAN TROPIC</v>
          </cell>
          <cell r="I1336">
            <v>0</v>
          </cell>
        </row>
        <row r="1337">
          <cell r="A1337" t="str">
            <v>19-01336</v>
          </cell>
          <cell r="B1337" t="str">
            <v>DICARINA</v>
          </cell>
          <cell r="C1337" t="str">
            <v>D</v>
          </cell>
          <cell r="D1337" t="str">
            <v>N/A</v>
          </cell>
          <cell r="E1337" t="str">
            <v>Y0804000 HT SHEER TOUCH LOC PROT SOLAR SPF 60 12X240 ML</v>
          </cell>
          <cell r="F1337" t="str">
            <v>SUN BLOCK</v>
          </cell>
          <cell r="G1337" t="str">
            <v>Y0804000</v>
          </cell>
          <cell r="H1337" t="str">
            <v>HAWAIAN TROPIC</v>
          </cell>
          <cell r="I1337">
            <v>0</v>
          </cell>
        </row>
        <row r="1338">
          <cell r="A1338" t="str">
            <v>19-01337</v>
          </cell>
          <cell r="B1338" t="str">
            <v>DICARINA</v>
          </cell>
          <cell r="C1338" t="str">
            <v>D</v>
          </cell>
          <cell r="D1338" t="str">
            <v>N/A</v>
          </cell>
          <cell r="E1338" t="str">
            <v>Y08882A6 HT SILK HYDRATION LOSPF/FPS 10 12X1</v>
          </cell>
          <cell r="F1338" t="str">
            <v>SUN BLOCK</v>
          </cell>
          <cell r="G1338" t="str">
            <v>Y08882A6</v>
          </cell>
          <cell r="H1338" t="str">
            <v>HAWAIAN TROPIC</v>
          </cell>
          <cell r="I1338">
            <v>0</v>
          </cell>
        </row>
        <row r="1339">
          <cell r="A1339" t="str">
            <v>19-01338</v>
          </cell>
          <cell r="B1339" t="str">
            <v>DICARINA</v>
          </cell>
          <cell r="C1339" t="str">
            <v>D</v>
          </cell>
          <cell r="D1339" t="str">
            <v>N/A</v>
          </cell>
          <cell r="E1339" t="str">
            <v>Y0888300 HT SILK HYDRATION SPF/FPS 50 12X1</v>
          </cell>
          <cell r="F1339" t="str">
            <v>SUN BLOCK</v>
          </cell>
          <cell r="G1339" t="str">
            <v>Y0888300</v>
          </cell>
          <cell r="H1339" t="str">
            <v>HAWAIAN TROPIC</v>
          </cell>
          <cell r="I1339">
            <v>0</v>
          </cell>
        </row>
        <row r="1340">
          <cell r="A1340" t="str">
            <v>19-01339</v>
          </cell>
          <cell r="B1340" t="str">
            <v>DICARINA</v>
          </cell>
          <cell r="C1340" t="str">
            <v>D</v>
          </cell>
          <cell r="D1340" t="str">
            <v>N/A</v>
          </cell>
          <cell r="E1340" t="str">
            <v>Y0331800 HT CARROT LOTION SPF10 12X240ML</v>
          </cell>
          <cell r="F1340" t="str">
            <v>SUN BLOCK</v>
          </cell>
          <cell r="G1340" t="str">
            <v>Y0331800</v>
          </cell>
          <cell r="H1340" t="str">
            <v>HAWAIAN TROPIC</v>
          </cell>
          <cell r="I1340">
            <v>0</v>
          </cell>
        </row>
        <row r="1341">
          <cell r="A1341" t="str">
            <v>19-01340</v>
          </cell>
          <cell r="B1341" t="str">
            <v>DICARINA</v>
          </cell>
          <cell r="C1341" t="str">
            <v>D</v>
          </cell>
          <cell r="D1341" t="str">
            <v>N/A</v>
          </cell>
          <cell r="E1341" t="str">
            <v>Y0879900 HT CARROT OIL CS SPF30 12X180ML</v>
          </cell>
          <cell r="F1341" t="str">
            <v>SUN BLOCK</v>
          </cell>
          <cell r="G1341" t="str">
            <v>Y0879900</v>
          </cell>
          <cell r="H1341" t="str">
            <v>HAWAIAN TROPIC</v>
          </cell>
          <cell r="I1341">
            <v>0</v>
          </cell>
        </row>
        <row r="1342">
          <cell r="A1342" t="str">
            <v>19-01341</v>
          </cell>
          <cell r="B1342" t="str">
            <v>DICARINA</v>
          </cell>
          <cell r="C1342" t="str">
            <v>D</v>
          </cell>
          <cell r="D1342" t="str">
            <v>N/A</v>
          </cell>
          <cell r="E1342" t="str">
            <v>Y0887000 HT CARROT LOTION SPF30 8OZ 12X240ML</v>
          </cell>
          <cell r="F1342" t="str">
            <v>SUN BLOCK</v>
          </cell>
          <cell r="G1342" t="str">
            <v>Y0887000</v>
          </cell>
          <cell r="H1342" t="str">
            <v>HAWAIAN TROPIC</v>
          </cell>
          <cell r="I1342">
            <v>0</v>
          </cell>
        </row>
        <row r="1343">
          <cell r="A1343" t="str">
            <v>19-01342</v>
          </cell>
          <cell r="B1343" t="str">
            <v>DICARINA</v>
          </cell>
          <cell r="C1343" t="str">
            <v>D</v>
          </cell>
          <cell r="D1343" t="str">
            <v>N/A</v>
          </cell>
          <cell r="E1343" t="str">
            <v>Y08806A6 HT KIDS SPF 50 CS 12X180ML</v>
          </cell>
          <cell r="F1343" t="str">
            <v>SUN BLOCK</v>
          </cell>
          <cell r="G1343" t="str">
            <v>Y08806A6</v>
          </cell>
          <cell r="H1343" t="str">
            <v>HAWAIAN TROPIC</v>
          </cell>
          <cell r="I1343">
            <v>0</v>
          </cell>
        </row>
        <row r="1344">
          <cell r="A1344" t="str">
            <v>19-01343</v>
          </cell>
          <cell r="B1344" t="str">
            <v>DICARINA</v>
          </cell>
          <cell r="C1344" t="str">
            <v>D</v>
          </cell>
          <cell r="D1344" t="str">
            <v>N/A</v>
          </cell>
          <cell r="E1344" t="str">
            <v>Y0882500 HT BABY SNSCRN LTN SPF80 12X240ML</v>
          </cell>
          <cell r="F1344" t="str">
            <v>SUN BLOCK</v>
          </cell>
          <cell r="G1344" t="str">
            <v>Y0882500</v>
          </cell>
          <cell r="H1344" t="str">
            <v>HAWAIAN TROPIC</v>
          </cell>
          <cell r="I1344">
            <v>0</v>
          </cell>
        </row>
        <row r="1345">
          <cell r="A1345" t="str">
            <v>19-01344</v>
          </cell>
          <cell r="B1345" t="str">
            <v>DICARINA</v>
          </cell>
          <cell r="C1345" t="str">
            <v>D</v>
          </cell>
          <cell r="D1345" t="str">
            <v>N/A</v>
          </cell>
          <cell r="E1345" t="str">
            <v>Y0885900 HT BABY LOTION SPF50+ 12X120ML</v>
          </cell>
          <cell r="F1345" t="str">
            <v>SUN BLOCK</v>
          </cell>
          <cell r="G1345" t="str">
            <v>Y0885900</v>
          </cell>
          <cell r="H1345" t="str">
            <v>HAWAIAN TROPIC</v>
          </cell>
          <cell r="I1345">
            <v>0</v>
          </cell>
        </row>
        <row r="1346">
          <cell r="A1346" t="str">
            <v>19-01345</v>
          </cell>
          <cell r="B1346" t="str">
            <v>DICARINA</v>
          </cell>
          <cell r="C1346" t="str">
            <v>D</v>
          </cell>
          <cell r="D1346" t="str">
            <v>N/A</v>
          </cell>
          <cell r="E1346" t="str">
            <v>Y08817A6 HT ISLANDBERRYLIPGLOSS SPF20 12X15ML</v>
          </cell>
          <cell r="F1346" t="str">
            <v>SUN BLOCK</v>
          </cell>
          <cell r="G1346" t="str">
            <v>Y08817A6</v>
          </cell>
          <cell r="H1346" t="str">
            <v>HAWAIAN TROPIC</v>
          </cell>
          <cell r="I1346">
            <v>0</v>
          </cell>
        </row>
        <row r="1347">
          <cell r="A1347" t="str">
            <v>19-01346</v>
          </cell>
          <cell r="B1347" t="str">
            <v>DICARINA</v>
          </cell>
          <cell r="C1347" t="str">
            <v>D</v>
          </cell>
          <cell r="D1347" t="str">
            <v>N/A</v>
          </cell>
          <cell r="E1347" t="str">
            <v>Y08850A6 HT LIP BALM COCONUT SPF30 24X4GR</v>
          </cell>
          <cell r="F1347" t="str">
            <v>SUN BLOCK</v>
          </cell>
          <cell r="G1347" t="str">
            <v>Y08850A6</v>
          </cell>
          <cell r="H1347" t="str">
            <v>HAWAIAN TROPIC</v>
          </cell>
          <cell r="I1347">
            <v>0</v>
          </cell>
        </row>
        <row r="1348">
          <cell r="A1348" t="str">
            <v>19-01347</v>
          </cell>
          <cell r="B1348" t="str">
            <v>DICARINA</v>
          </cell>
          <cell r="C1348" t="str">
            <v>D</v>
          </cell>
          <cell r="D1348" t="str">
            <v>N/A</v>
          </cell>
          <cell r="E1348" t="str">
            <v>Y08851A6 HT LIP BALM SPF30 VANILLA 24X4G</v>
          </cell>
          <cell r="F1348" t="str">
            <v>SUN BLOCK</v>
          </cell>
          <cell r="G1348" t="str">
            <v>Y08851A6</v>
          </cell>
          <cell r="H1348" t="str">
            <v>HAWAIAN TROPIC</v>
          </cell>
          <cell r="I1348">
            <v>0</v>
          </cell>
        </row>
        <row r="1349">
          <cell r="A1349" t="str">
            <v>19-01348</v>
          </cell>
          <cell r="B1349" t="str">
            <v>DICARINA</v>
          </cell>
          <cell r="C1349" t="str">
            <v>D</v>
          </cell>
          <cell r="D1349" t="str">
            <v>N/A</v>
          </cell>
          <cell r="E1349" t="str">
            <v>Y0881300 HT ISLANDSPORT CS SPF30 6OZ 12X180ML</v>
          </cell>
          <cell r="F1349" t="str">
            <v>SUN BLOCK</v>
          </cell>
          <cell r="G1349" t="str">
            <v>Y0881300</v>
          </cell>
          <cell r="H1349" t="str">
            <v>HAWAIAN TROPIC</v>
          </cell>
          <cell r="I1349">
            <v>0</v>
          </cell>
        </row>
        <row r="1350">
          <cell r="A1350" t="str">
            <v>19-01349</v>
          </cell>
          <cell r="B1350" t="str">
            <v>DICARINA</v>
          </cell>
          <cell r="C1350" t="str">
            <v>D</v>
          </cell>
          <cell r="D1350" t="str">
            <v>N/A</v>
          </cell>
          <cell r="E1350" t="str">
            <v>Y0202800 HT TAN LOC BRON CON FILTRO SOLAR SPF4 12X240ML</v>
          </cell>
          <cell r="F1350" t="str">
            <v>SUN BLOCK</v>
          </cell>
          <cell r="G1350" t="str">
            <v>Y0202800</v>
          </cell>
          <cell r="H1350" t="str">
            <v>HAWAIAN TROPIC</v>
          </cell>
          <cell r="I1350">
            <v>0</v>
          </cell>
        </row>
        <row r="1351">
          <cell r="A1351" t="str">
            <v>19-01350</v>
          </cell>
          <cell r="B1351" t="str">
            <v>DICARINA</v>
          </cell>
          <cell r="C1351" t="str">
            <v>D</v>
          </cell>
          <cell r="D1351" t="str">
            <v>N/A</v>
          </cell>
          <cell r="E1351" t="str">
            <v>Y0209800 HT TANNING LOTION SPF6 12X240ML</v>
          </cell>
          <cell r="F1351" t="str">
            <v>SUN BLOCK</v>
          </cell>
          <cell r="G1351" t="str">
            <v>Y0209800</v>
          </cell>
          <cell r="H1351" t="str">
            <v>HAWAIAN TROPIC</v>
          </cell>
          <cell r="I1351">
            <v>0</v>
          </cell>
        </row>
        <row r="1352">
          <cell r="A1352" t="str">
            <v>19-01351</v>
          </cell>
          <cell r="B1352" t="str">
            <v>DICARINA</v>
          </cell>
          <cell r="C1352" t="str">
            <v>D</v>
          </cell>
          <cell r="D1352" t="str">
            <v>N/A</v>
          </cell>
          <cell r="E1352" t="str">
            <v>Y0305600 HT ACEITE BRON CON FILTRO SOLAR EN SPRAY 12X1</v>
          </cell>
          <cell r="F1352" t="str">
            <v>SUN BLOCK</v>
          </cell>
          <cell r="G1352" t="str">
            <v>Y0305600</v>
          </cell>
          <cell r="H1352" t="str">
            <v>HAWAIAN TROPIC</v>
          </cell>
          <cell r="I1352">
            <v>0</v>
          </cell>
        </row>
        <row r="1353">
          <cell r="A1353" t="str">
            <v>19-01352</v>
          </cell>
          <cell r="B1353" t="str">
            <v>DICARINA</v>
          </cell>
          <cell r="C1353" t="str">
            <v>D</v>
          </cell>
          <cell r="D1353" t="str">
            <v>N/A</v>
          </cell>
          <cell r="E1353" t="str">
            <v>Y0315600 HT TANNING OIL SPF15 12X240ML</v>
          </cell>
          <cell r="F1353" t="str">
            <v>SUN BLOCK</v>
          </cell>
          <cell r="G1353" t="str">
            <v>Y0315600</v>
          </cell>
          <cell r="H1353" t="str">
            <v>HAWAIAN TROPIC</v>
          </cell>
          <cell r="I1353">
            <v>0</v>
          </cell>
        </row>
        <row r="1354">
          <cell r="A1354" t="str">
            <v>19-01353</v>
          </cell>
          <cell r="B1354" t="str">
            <v>DICARINA</v>
          </cell>
          <cell r="C1354" t="str">
            <v>D</v>
          </cell>
          <cell r="D1354" t="str">
            <v>N/A</v>
          </cell>
          <cell r="E1354" t="str">
            <v>Y0332800 HT AFTERSUN GEL-ICE 12X240ML</v>
          </cell>
          <cell r="F1354" t="str">
            <v>SUN BLOCK</v>
          </cell>
          <cell r="G1354" t="str">
            <v>Y0332800</v>
          </cell>
          <cell r="H1354" t="str">
            <v>HAWAIAN TROPIC</v>
          </cell>
          <cell r="I1354">
            <v>0</v>
          </cell>
        </row>
        <row r="1355">
          <cell r="A1355" t="str">
            <v>19-01354</v>
          </cell>
          <cell r="B1355" t="str">
            <v>N/A</v>
          </cell>
          <cell r="C1355" t="str">
            <v>A</v>
          </cell>
          <cell r="D1355" t="str">
            <v>NO</v>
          </cell>
          <cell r="E1355" t="str">
            <v>E0113200 ENERGIZER MAX AA 48X1</v>
          </cell>
          <cell r="F1355" t="str">
            <v>BATTERY</v>
          </cell>
          <cell r="G1355" t="str">
            <v>E0113200</v>
          </cell>
          <cell r="H1355" t="str">
            <v>ENERGIZER</v>
          </cell>
          <cell r="I1355">
            <v>0</v>
          </cell>
        </row>
        <row r="1356">
          <cell r="A1356" t="str">
            <v>19-01355</v>
          </cell>
          <cell r="B1356" t="str">
            <v>N/A</v>
          </cell>
          <cell r="C1356" t="str">
            <v>A</v>
          </cell>
          <cell r="D1356" t="str">
            <v>NO</v>
          </cell>
          <cell r="E1356" t="str">
            <v>E0113200H001 ENERGIZER MAX AA - PROMO 48X1</v>
          </cell>
          <cell r="F1356" t="str">
            <v>BATTERY</v>
          </cell>
          <cell r="G1356" t="str">
            <v>E0113200H001</v>
          </cell>
          <cell r="H1356" t="str">
            <v>ENERGIZER</v>
          </cell>
          <cell r="I1356">
            <v>0</v>
          </cell>
        </row>
        <row r="1357">
          <cell r="A1357" t="str">
            <v>19-01356</v>
          </cell>
          <cell r="B1357" t="str">
            <v>N/A</v>
          </cell>
          <cell r="C1357" t="str">
            <v>A</v>
          </cell>
          <cell r="D1357" t="str">
            <v>NO</v>
          </cell>
          <cell r="E1357" t="str">
            <v>E0154600 ENERGIZER MAX AA 48X1</v>
          </cell>
          <cell r="F1357" t="str">
            <v>BATTERY</v>
          </cell>
          <cell r="G1357" t="str">
            <v>E0154600</v>
          </cell>
          <cell r="H1357" t="str">
            <v>ENERGIZER</v>
          </cell>
          <cell r="I1357">
            <v>0</v>
          </cell>
        </row>
        <row r="1358">
          <cell r="A1358" t="str">
            <v>19-01357</v>
          </cell>
          <cell r="B1358" t="str">
            <v>N/A</v>
          </cell>
          <cell r="C1358" t="str">
            <v>A</v>
          </cell>
          <cell r="D1358" t="str">
            <v>NO</v>
          </cell>
          <cell r="E1358" t="str">
            <v>E1079700 ENERGIZER MAX AA  6+2 48X1</v>
          </cell>
          <cell r="F1358" t="str">
            <v>BATTERY</v>
          </cell>
          <cell r="G1358" t="str">
            <v>E1079700</v>
          </cell>
          <cell r="H1358" t="str">
            <v>ENERGIZER</v>
          </cell>
          <cell r="I1358">
            <v>0</v>
          </cell>
        </row>
        <row r="1359">
          <cell r="A1359" t="str">
            <v>19-01358</v>
          </cell>
          <cell r="B1359" t="str">
            <v>N/A</v>
          </cell>
          <cell r="C1359" t="str">
            <v>A</v>
          </cell>
          <cell r="D1359" t="str">
            <v>NO</v>
          </cell>
          <cell r="E1359" t="str">
            <v>E0647000 ENERGIZER MAX AA 48X1</v>
          </cell>
          <cell r="F1359" t="str">
            <v>BATTERY</v>
          </cell>
          <cell r="G1359" t="str">
            <v>E0647000</v>
          </cell>
          <cell r="H1359" t="str">
            <v>ENERGIZER</v>
          </cell>
          <cell r="I1359">
            <v>0</v>
          </cell>
        </row>
        <row r="1360">
          <cell r="A1360" t="str">
            <v>19-01359</v>
          </cell>
          <cell r="B1360" t="str">
            <v>N/A</v>
          </cell>
          <cell r="C1360" t="str">
            <v>A</v>
          </cell>
          <cell r="D1360" t="str">
            <v>NO</v>
          </cell>
          <cell r="E1360" t="str">
            <v>E0140000 ENERGIZER MAX AAA 48X1</v>
          </cell>
          <cell r="F1360" t="str">
            <v>BATTERY</v>
          </cell>
          <cell r="G1360" t="str">
            <v>E0140000</v>
          </cell>
          <cell r="H1360" t="str">
            <v>ENERGIZER</v>
          </cell>
          <cell r="I1360">
            <v>0</v>
          </cell>
        </row>
        <row r="1361">
          <cell r="A1361" t="str">
            <v>19-01360</v>
          </cell>
          <cell r="B1361" t="str">
            <v>N/A</v>
          </cell>
          <cell r="C1361" t="str">
            <v>A</v>
          </cell>
          <cell r="D1361" t="str">
            <v>NO</v>
          </cell>
          <cell r="E1361" t="str">
            <v>E1080500 ENERGIZER MAX AAA   6+2 48X1</v>
          </cell>
          <cell r="F1361" t="str">
            <v>BATTERY</v>
          </cell>
          <cell r="G1361" t="str">
            <v>E1080500</v>
          </cell>
          <cell r="H1361" t="str">
            <v>ENERGIZER</v>
          </cell>
          <cell r="I1361">
            <v>0</v>
          </cell>
        </row>
        <row r="1362">
          <cell r="A1362" t="str">
            <v>19-01361</v>
          </cell>
          <cell r="B1362" t="str">
            <v>N/A</v>
          </cell>
          <cell r="C1362" t="str">
            <v>A</v>
          </cell>
          <cell r="D1362" t="str">
            <v>NO</v>
          </cell>
          <cell r="E1362" t="str">
            <v>E0990900 ENERGIZER MAX AAA 48X1</v>
          </cell>
          <cell r="F1362" t="str">
            <v>BATTERY</v>
          </cell>
          <cell r="G1362" t="str">
            <v>E0990900</v>
          </cell>
          <cell r="H1362" t="str">
            <v>ENERGIZER</v>
          </cell>
          <cell r="I1362">
            <v>0</v>
          </cell>
        </row>
        <row r="1363">
          <cell r="A1363" t="str">
            <v>19-01362</v>
          </cell>
          <cell r="B1363" t="str">
            <v>N/A</v>
          </cell>
          <cell r="C1363" t="str">
            <v>A</v>
          </cell>
          <cell r="D1363" t="str">
            <v>NO</v>
          </cell>
          <cell r="E1363" t="str">
            <v>E0990900H001 ENERGIZER MAX AAA - PROMO 48X1</v>
          </cell>
          <cell r="F1363" t="str">
            <v>BATTERY</v>
          </cell>
          <cell r="G1363" t="str">
            <v>E0990900H001</v>
          </cell>
          <cell r="H1363" t="str">
            <v>ENERGIZER</v>
          </cell>
          <cell r="I1363">
            <v>0</v>
          </cell>
        </row>
        <row r="1364">
          <cell r="A1364" t="str">
            <v>19-01363</v>
          </cell>
          <cell r="B1364" t="str">
            <v>N/A</v>
          </cell>
          <cell r="C1364" t="str">
            <v>A</v>
          </cell>
          <cell r="D1364" t="str">
            <v>NO</v>
          </cell>
          <cell r="E1364" t="str">
            <v>E0263400 ENERGIZER RECHARGEABLES CHARGERS CHVCWB 4X1</v>
          </cell>
          <cell r="F1364" t="str">
            <v>BATTERY</v>
          </cell>
          <cell r="G1364" t="str">
            <v>E0263400</v>
          </cell>
          <cell r="H1364" t="str">
            <v>ENERGIZER</v>
          </cell>
          <cell r="I1364">
            <v>0</v>
          </cell>
        </row>
        <row r="1365">
          <cell r="A1365" t="str">
            <v>19-01364</v>
          </cell>
          <cell r="B1365" t="str">
            <v>N/A</v>
          </cell>
          <cell r="C1365" t="str">
            <v>A</v>
          </cell>
          <cell r="D1365" t="str">
            <v>NO</v>
          </cell>
          <cell r="E1365" t="str">
            <v>E0801100 RECHARGEABLES BATTERIES AA 24X1</v>
          </cell>
          <cell r="F1365" t="str">
            <v>CHARGER</v>
          </cell>
          <cell r="G1365" t="str">
            <v>E0801100</v>
          </cell>
          <cell r="H1365" t="str">
            <v>ENERGIZER</v>
          </cell>
          <cell r="I1365">
            <v>0</v>
          </cell>
        </row>
        <row r="1366">
          <cell r="A1366" t="str">
            <v>19-01365</v>
          </cell>
          <cell r="B1366" t="str">
            <v>N/A</v>
          </cell>
          <cell r="C1366" t="str">
            <v>A</v>
          </cell>
          <cell r="D1366" t="str">
            <v>NO</v>
          </cell>
          <cell r="E1366" t="str">
            <v>E0801000 RECHARGEABLES BATTERIES AA 24X1</v>
          </cell>
          <cell r="F1366" t="str">
            <v>CHARGER</v>
          </cell>
          <cell r="G1366" t="str">
            <v>E0801000</v>
          </cell>
          <cell r="H1366" t="str">
            <v>ENERGIZER</v>
          </cell>
          <cell r="I1366">
            <v>0</v>
          </cell>
        </row>
        <row r="1367">
          <cell r="A1367" t="str">
            <v>19-01366</v>
          </cell>
          <cell r="B1367" t="str">
            <v>N/A</v>
          </cell>
          <cell r="C1367" t="str">
            <v>A</v>
          </cell>
          <cell r="D1367" t="str">
            <v>NO</v>
          </cell>
          <cell r="E1367" t="str">
            <v>E0917100 RECHARGEABLES BATTERIES AAA 24X1</v>
          </cell>
          <cell r="F1367" t="str">
            <v>CHARGER</v>
          </cell>
          <cell r="G1367" t="str">
            <v>E0917100</v>
          </cell>
          <cell r="H1367" t="str">
            <v>ENERGIZER</v>
          </cell>
          <cell r="I1367">
            <v>0</v>
          </cell>
        </row>
        <row r="1368">
          <cell r="A1368" t="str">
            <v>19-01367</v>
          </cell>
          <cell r="B1368" t="str">
            <v>N/A</v>
          </cell>
          <cell r="C1368" t="str">
            <v>A</v>
          </cell>
          <cell r="D1368" t="str">
            <v>NO</v>
          </cell>
          <cell r="E1368" t="str">
            <v>E0791700 ENERGIZER LITIUM AA L91 24X1</v>
          </cell>
          <cell r="F1368" t="str">
            <v>BATTERY</v>
          </cell>
          <cell r="G1368" t="str">
            <v>E0791700</v>
          </cell>
          <cell r="H1368" t="str">
            <v>ENERGIZER</v>
          </cell>
          <cell r="I1368">
            <v>0</v>
          </cell>
        </row>
        <row r="1369">
          <cell r="A1369" t="str">
            <v>19-01368</v>
          </cell>
          <cell r="B1369" t="str">
            <v>N/A</v>
          </cell>
          <cell r="C1369" t="str">
            <v>A</v>
          </cell>
          <cell r="D1369" t="str">
            <v>NO</v>
          </cell>
          <cell r="E1369" t="str">
            <v>E0793000 ENERGIZER LITIUM AAA L92 24X1</v>
          </cell>
          <cell r="F1369" t="str">
            <v>BATTERY</v>
          </cell>
          <cell r="G1369" t="str">
            <v>E0793000</v>
          </cell>
          <cell r="H1369" t="str">
            <v>ENERGIZER</v>
          </cell>
          <cell r="I1369">
            <v>0</v>
          </cell>
        </row>
        <row r="1370">
          <cell r="A1370" t="str">
            <v>19-01369</v>
          </cell>
          <cell r="B1370" t="str">
            <v>DICARINA</v>
          </cell>
          <cell r="C1370" t="str">
            <v>D</v>
          </cell>
          <cell r="D1370" t="str">
            <v>N/A</v>
          </cell>
          <cell r="E1370" t="str">
            <v>X5464500 BB ULTRA DEFENSE 80 12X1</v>
          </cell>
          <cell r="F1370" t="str">
            <v>SUN BLOCK</v>
          </cell>
          <cell r="G1370" t="str">
            <v>X5464500</v>
          </cell>
          <cell r="H1370" t="str">
            <v>BANANA BOAT</v>
          </cell>
          <cell r="I1370">
            <v>0</v>
          </cell>
        </row>
        <row r="1371">
          <cell r="A1371" t="str">
            <v>19-01370</v>
          </cell>
          <cell r="B1371" t="str">
            <v>CESAR ARROCHA</v>
          </cell>
          <cell r="C1371" t="str">
            <v>A</v>
          </cell>
          <cell r="D1371" t="str">
            <v>NO</v>
          </cell>
          <cell r="E1371" t="str">
            <v>BANANA BOAT ULTRADEFENSE MAXIMA PROTECCION SPF100</v>
          </cell>
          <cell r="F1371" t="str">
            <v>SUN BLOCK</v>
          </cell>
          <cell r="G1371" t="str">
            <v>INPL  54965</v>
          </cell>
          <cell r="H1371" t="str">
            <v>BANANA BOAT</v>
          </cell>
          <cell r="I1371">
            <v>7.3</v>
          </cell>
        </row>
        <row r="1372">
          <cell r="A1372" t="str">
            <v>19-01371</v>
          </cell>
          <cell r="B1372" t="str">
            <v>DICARINA</v>
          </cell>
          <cell r="C1372" t="str">
            <v>D</v>
          </cell>
          <cell r="D1372" t="str">
            <v>N/A</v>
          </cell>
          <cell r="E1372" t="str">
            <v>X5518200 BB ULTRA DEFENSE SPF 50 6X1000ML</v>
          </cell>
          <cell r="F1372" t="str">
            <v>SUN BLOCK</v>
          </cell>
          <cell r="G1372" t="str">
            <v>X5518200</v>
          </cell>
          <cell r="H1372" t="str">
            <v>BANANA BOAT</v>
          </cell>
          <cell r="I1372">
            <v>0</v>
          </cell>
        </row>
        <row r="1373">
          <cell r="A1373" t="str">
            <v>19-01372</v>
          </cell>
          <cell r="B1373" t="str">
            <v>CESAR ARROCHA</v>
          </cell>
          <cell r="C1373" t="str">
            <v>A</v>
          </cell>
          <cell r="D1373" t="str">
            <v>NO</v>
          </cell>
          <cell r="E1373" t="str">
            <v>BANANA BOAT ULTRADEFENSE SPF50 118 ML</v>
          </cell>
          <cell r="F1373" t="str">
            <v>SUN BLOCK</v>
          </cell>
          <cell r="G1373" t="str">
            <v>INPL 54981</v>
          </cell>
          <cell r="H1373" t="str">
            <v>BANANA BOAT</v>
          </cell>
          <cell r="I1373">
            <v>5.6</v>
          </cell>
        </row>
        <row r="1374">
          <cell r="A1374" t="str">
            <v>19-01373</v>
          </cell>
          <cell r="B1374" t="str">
            <v>CESAR ARROCHA</v>
          </cell>
          <cell r="C1374" t="str">
            <v>A</v>
          </cell>
          <cell r="D1374" t="str">
            <v>NO</v>
          </cell>
          <cell r="E1374" t="str">
            <v>BANANA BOAT ULTRA DEFENSE SPF30 118 ML</v>
          </cell>
          <cell r="F1374" t="str">
            <v>SUN BLOCK</v>
          </cell>
          <cell r="G1374" t="str">
            <v>INPL  54963</v>
          </cell>
          <cell r="H1374" t="str">
            <v>BANANA BOAT</v>
          </cell>
          <cell r="I1374">
            <v>3.9</v>
          </cell>
        </row>
        <row r="1375">
          <cell r="A1375" t="str">
            <v>19-01374</v>
          </cell>
          <cell r="B1375" t="str">
            <v>CESAR ARROCHA</v>
          </cell>
          <cell r="C1375" t="str">
            <v>A</v>
          </cell>
          <cell r="D1375" t="str">
            <v>NO</v>
          </cell>
          <cell r="E1375" t="str">
            <v>BANANA BOAT ULTRADEFENSE SPF30 236 ML</v>
          </cell>
          <cell r="F1375" t="str">
            <v>SUN BLOCK</v>
          </cell>
          <cell r="G1375" t="str">
            <v>INPL  54624</v>
          </cell>
          <cell r="H1375" t="str">
            <v>BANANA BOAT</v>
          </cell>
          <cell r="I1375">
            <v>6.3</v>
          </cell>
        </row>
        <row r="1376">
          <cell r="A1376" t="str">
            <v>19-01375</v>
          </cell>
          <cell r="B1376" t="str">
            <v>CESAR ARROCHA</v>
          </cell>
          <cell r="C1376" t="str">
            <v>A</v>
          </cell>
          <cell r="D1376" t="str">
            <v>NO</v>
          </cell>
          <cell r="E1376" t="str">
            <v>BANANA BOAT ULTRADEFENSE SPF50 236 ML</v>
          </cell>
          <cell r="F1376" t="str">
            <v>SUN BLOCK</v>
          </cell>
          <cell r="G1376" t="str">
            <v>INPL  54625</v>
          </cell>
          <cell r="H1376" t="str">
            <v>BANANA BOAT</v>
          </cell>
          <cell r="I1376">
            <v>0</v>
          </cell>
        </row>
        <row r="1377">
          <cell r="A1377" t="str">
            <v>19-01376</v>
          </cell>
          <cell r="B1377" t="str">
            <v>CESAR ARROCHA</v>
          </cell>
          <cell r="C1377" t="str">
            <v>A</v>
          </cell>
          <cell r="D1377" t="str">
            <v>NO</v>
          </cell>
          <cell r="E1377" t="str">
            <v>BANANA BOAT ULTRADEFENSE SPF50 60 ML</v>
          </cell>
          <cell r="F1377" t="str">
            <v>SUN BLOCK</v>
          </cell>
          <cell r="G1377" t="str">
            <v>INPL  55055</v>
          </cell>
          <cell r="H1377" t="str">
            <v>BANANA BOAT</v>
          </cell>
          <cell r="I1377">
            <v>4.2</v>
          </cell>
        </row>
        <row r="1378">
          <cell r="A1378" t="str">
            <v>19-01377</v>
          </cell>
          <cell r="B1378" t="str">
            <v>DICARINA</v>
          </cell>
          <cell r="C1378" t="str">
            <v>D</v>
          </cell>
          <cell r="D1378" t="str">
            <v>N/A</v>
          </cell>
          <cell r="E1378" t="str">
            <v>X5065500 BB VITAMIN E GEL 12X453G</v>
          </cell>
          <cell r="F1378" t="str">
            <v>SUN BLOCK</v>
          </cell>
          <cell r="G1378" t="str">
            <v>X5065500</v>
          </cell>
          <cell r="H1378" t="str">
            <v>BANANA BOAT</v>
          </cell>
          <cell r="I1378">
            <v>0</v>
          </cell>
        </row>
        <row r="1379">
          <cell r="A1379" t="str">
            <v>19-01378</v>
          </cell>
          <cell r="B1379" t="str">
            <v>CESAR ARROCHA</v>
          </cell>
          <cell r="C1379" t="str">
            <v>A</v>
          </cell>
          <cell r="D1379" t="str">
            <v>NO</v>
          </cell>
          <cell r="E1379" t="str">
            <v>BANANA BOAT AFTER SUN ALOE VERA BARREL 8 ONZ</v>
          </cell>
          <cell r="F1379" t="str">
            <v>SUN BLOCK</v>
          </cell>
          <cell r="G1379" t="str">
            <v>INPL 50007</v>
          </cell>
          <cell r="H1379" t="str">
            <v>BANANA BOAT</v>
          </cell>
          <cell r="I1379">
            <v>4.5</v>
          </cell>
        </row>
        <row r="1380">
          <cell r="A1380" t="str">
            <v>19-01379</v>
          </cell>
          <cell r="B1380" t="str">
            <v>CESAR ARROCHA</v>
          </cell>
          <cell r="C1380" t="str">
            <v>A</v>
          </cell>
          <cell r="D1380" t="str">
            <v>NO</v>
          </cell>
          <cell r="E1380" t="str">
            <v>BANANA BOAT ALOE VITAMINA E LIP BALM SPF30</v>
          </cell>
          <cell r="F1380" t="str">
            <v>SUN BLOCK</v>
          </cell>
          <cell r="G1380" t="str">
            <v>INPL  59415</v>
          </cell>
          <cell r="H1380" t="str">
            <v>BANANA BOAT</v>
          </cell>
          <cell r="I1380">
            <v>0</v>
          </cell>
        </row>
        <row r="1381">
          <cell r="A1381" t="str">
            <v>19-01380</v>
          </cell>
          <cell r="B1381" t="str">
            <v>DICARINA</v>
          </cell>
          <cell r="C1381" t="str">
            <v>D</v>
          </cell>
          <cell r="D1381" t="str">
            <v>N/A</v>
          </cell>
          <cell r="E1381" t="str">
            <v>X5 BB ALOE VITAMIN E LIP BALM SPF30 24X1</v>
          </cell>
          <cell r="F1381" t="str">
            <v>SUN BLOCK</v>
          </cell>
          <cell r="G1381" t="str">
            <v>X5</v>
          </cell>
          <cell r="H1381" t="str">
            <v>BANANA BOAT</v>
          </cell>
          <cell r="I1381">
            <v>0</v>
          </cell>
        </row>
        <row r="1382">
          <cell r="A1382" t="str">
            <v>19-01381</v>
          </cell>
          <cell r="B1382" t="str">
            <v>CESAR ARROCHA</v>
          </cell>
          <cell r="C1382" t="str">
            <v>A</v>
          </cell>
          <cell r="D1382" t="str">
            <v>NO</v>
          </cell>
          <cell r="E1382" t="str">
            <v>BANANA BOAT KIDS TEAR FREE LOTION SPF 50</v>
          </cell>
          <cell r="F1382" t="str">
            <v>SUN BLOCK</v>
          </cell>
          <cell r="G1382" t="str">
            <v>INPL 50143</v>
          </cell>
          <cell r="H1382" t="str">
            <v>BANANA BOAT</v>
          </cell>
          <cell r="I1382">
            <v>8.6</v>
          </cell>
        </row>
        <row r="1383">
          <cell r="A1383" t="str">
            <v>19-01382</v>
          </cell>
          <cell r="B1383" t="str">
            <v>DICARINA</v>
          </cell>
          <cell r="C1383" t="str">
            <v>D</v>
          </cell>
          <cell r="D1383" t="str">
            <v>N/A</v>
          </cell>
          <cell r="E1383" t="str">
            <v>X5513800 BB ULTRA MIST KIDS TF SPF50+ 6X175ML</v>
          </cell>
          <cell r="F1383" t="str">
            <v>SUN BLOCK</v>
          </cell>
          <cell r="G1383" t="str">
            <v>X5513800</v>
          </cell>
          <cell r="H1383" t="str">
            <v>BANANA BOAT</v>
          </cell>
          <cell r="I1383">
            <v>0</v>
          </cell>
        </row>
        <row r="1384">
          <cell r="A1384" t="str">
            <v>19-01383</v>
          </cell>
          <cell r="B1384" t="str">
            <v>CESAR ARROCHA</v>
          </cell>
          <cell r="C1384" t="str">
            <v>A</v>
          </cell>
          <cell r="D1384" t="str">
            <v>NO</v>
          </cell>
          <cell r="E1384" t="str">
            <v>BANANA BOAT KIDS MAXIMA PROTECCION SPF100</v>
          </cell>
          <cell r="F1384" t="str">
            <v>SUN BLOCK</v>
          </cell>
          <cell r="G1384" t="str">
            <v>INPL 55062</v>
          </cell>
          <cell r="H1384" t="str">
            <v>BANANA BOAT</v>
          </cell>
          <cell r="I1384">
            <v>7.3</v>
          </cell>
        </row>
        <row r="1385">
          <cell r="A1385" t="str">
            <v>19-01384</v>
          </cell>
          <cell r="B1385" t="str">
            <v>CESAR ARROCHA</v>
          </cell>
          <cell r="C1385" t="str">
            <v>A</v>
          </cell>
          <cell r="D1385" t="str">
            <v>NO</v>
          </cell>
          <cell r="E1385" t="str">
            <v>BANANA BOAT BABY MAXIMA PROTECCION SPF100</v>
          </cell>
          <cell r="F1385" t="str">
            <v>SUN BLOCK</v>
          </cell>
          <cell r="G1385" t="str">
            <v>INPL 55063</v>
          </cell>
          <cell r="H1385" t="str">
            <v>BANANA BOAT</v>
          </cell>
          <cell r="I1385">
            <v>7.8</v>
          </cell>
        </row>
        <row r="1386">
          <cell r="A1386" t="str">
            <v>19-01385</v>
          </cell>
          <cell r="B1386" t="str">
            <v>DICARINA</v>
          </cell>
          <cell r="C1386" t="str">
            <v>D</v>
          </cell>
          <cell r="D1386" t="str">
            <v>N/A</v>
          </cell>
          <cell r="E1386" t="str">
            <v>X5516200 BB KIDS FPS50+ LTN 12X236ML</v>
          </cell>
          <cell r="F1386" t="str">
            <v>SUN BLOCK</v>
          </cell>
          <cell r="G1386" t="str">
            <v>X5516200</v>
          </cell>
          <cell r="H1386" t="str">
            <v>BANANA BOAT</v>
          </cell>
          <cell r="I1386">
            <v>0</v>
          </cell>
        </row>
        <row r="1387">
          <cell r="A1387" t="str">
            <v>19-01386</v>
          </cell>
          <cell r="B1387" t="str">
            <v>DICARINA</v>
          </cell>
          <cell r="C1387" t="str">
            <v>D</v>
          </cell>
          <cell r="D1387" t="str">
            <v>N/A</v>
          </cell>
          <cell r="E1387" t="str">
            <v>X5014300 BB KIDS TF 50 12X236ML</v>
          </cell>
          <cell r="F1387" t="str">
            <v>SUN BLOCK</v>
          </cell>
          <cell r="G1387" t="str">
            <v>X5014300</v>
          </cell>
          <cell r="H1387" t="str">
            <v>BANANA BOAT</v>
          </cell>
          <cell r="I1387">
            <v>0</v>
          </cell>
        </row>
        <row r="1388">
          <cell r="A1388" t="str">
            <v>19-01387</v>
          </cell>
          <cell r="B1388" t="str">
            <v>DICARINA</v>
          </cell>
          <cell r="C1388" t="str">
            <v>D</v>
          </cell>
          <cell r="D1388" t="str">
            <v>N/A</v>
          </cell>
          <cell r="E1388" t="str">
            <v>X5499900 BB SPORT SPF50 LTN 12X118ML</v>
          </cell>
          <cell r="F1388" t="str">
            <v>SUN BLOCK</v>
          </cell>
          <cell r="G1388" t="str">
            <v>X5499900</v>
          </cell>
          <cell r="H1388" t="str">
            <v>BANANA BOAT</v>
          </cell>
          <cell r="I1388">
            <v>0</v>
          </cell>
        </row>
        <row r="1389">
          <cell r="A1389" t="str">
            <v>19-01388</v>
          </cell>
          <cell r="B1389" t="str">
            <v>DICARINA</v>
          </cell>
          <cell r="C1389" t="str">
            <v>D</v>
          </cell>
          <cell r="D1389" t="str">
            <v>N/A</v>
          </cell>
          <cell r="E1389" t="str">
            <v>X5449100 BB UM SPORT 50 CLEAR SPRAY 6X177ML</v>
          </cell>
          <cell r="F1389" t="str">
            <v>SUN BLOCK</v>
          </cell>
          <cell r="G1389" t="str">
            <v>X5449100</v>
          </cell>
          <cell r="H1389" t="str">
            <v>BANANA BOAT</v>
          </cell>
          <cell r="I1389">
            <v>0</v>
          </cell>
        </row>
        <row r="1390">
          <cell r="A1390" t="str">
            <v>19-01389</v>
          </cell>
          <cell r="B1390" t="str">
            <v>DICARINA</v>
          </cell>
          <cell r="C1390" t="str">
            <v>D</v>
          </cell>
          <cell r="D1390" t="str">
            <v>N/A</v>
          </cell>
          <cell r="E1390" t="str">
            <v>X5317900 BB BB UM SPORT SPF50 CS 6X177ML</v>
          </cell>
          <cell r="F1390" t="str">
            <v>SUN BLOCK</v>
          </cell>
          <cell r="G1390" t="str">
            <v>X5317900</v>
          </cell>
          <cell r="H1390" t="str">
            <v>BANANA BOAT</v>
          </cell>
          <cell r="I1390">
            <v>0</v>
          </cell>
        </row>
        <row r="1391">
          <cell r="A1391" t="str">
            <v>19-01390</v>
          </cell>
          <cell r="B1391" t="str">
            <v>CESAR ARROCHA</v>
          </cell>
          <cell r="C1391" t="str">
            <v>A</v>
          </cell>
          <cell r="D1391" t="str">
            <v>NO</v>
          </cell>
          <cell r="E1391" t="str">
            <v>BANANA BOAT DARK TANNING OIL SPF4 8 ONZ</v>
          </cell>
          <cell r="F1391" t="str">
            <v>SUN BLOCK</v>
          </cell>
          <cell r="G1391" t="str">
            <v>INPL 50025</v>
          </cell>
          <cell r="H1391" t="str">
            <v>BANANA BOAT</v>
          </cell>
          <cell r="I1391">
            <v>5.6</v>
          </cell>
        </row>
        <row r="1392">
          <cell r="A1392" t="str">
            <v>19-01391</v>
          </cell>
          <cell r="B1392" t="str">
            <v>CESAR ARROCHA</v>
          </cell>
          <cell r="C1392" t="str">
            <v>A</v>
          </cell>
          <cell r="D1392" t="str">
            <v>NO</v>
          </cell>
          <cell r="E1392" t="str">
            <v>BANANA BOAT TANNING OIL SPRAY SPF8 8 ONZ</v>
          </cell>
          <cell r="F1392" t="str">
            <v>SUN BLOCK</v>
          </cell>
          <cell r="G1392" t="str">
            <v>INPL 50088</v>
          </cell>
          <cell r="H1392" t="str">
            <v>BANANA BOAT</v>
          </cell>
          <cell r="I1392">
            <v>6</v>
          </cell>
        </row>
        <row r="1393">
          <cell r="A1393" t="str">
            <v>19-01392</v>
          </cell>
          <cell r="B1393" t="str">
            <v>CESAR ARROCHA</v>
          </cell>
          <cell r="C1393" t="str">
            <v>A</v>
          </cell>
          <cell r="D1393" t="str">
            <v>NO</v>
          </cell>
          <cell r="E1393" t="str">
            <v>BANANA BOAT TANNING OIL SPF15 236 ML</v>
          </cell>
          <cell r="F1393" t="str">
            <v>SUN BLOCK</v>
          </cell>
          <cell r="G1393" t="str">
            <v>INPL 50402</v>
          </cell>
          <cell r="H1393" t="str">
            <v>BANANA BOAT</v>
          </cell>
          <cell r="I1393">
            <v>0</v>
          </cell>
        </row>
        <row r="1394">
          <cell r="A1394" t="str">
            <v>19-01393</v>
          </cell>
          <cell r="B1394" t="str">
            <v>CESAR ARROCHA</v>
          </cell>
          <cell r="C1394" t="str">
            <v>A</v>
          </cell>
          <cell r="D1394" t="str">
            <v>SI</v>
          </cell>
          <cell r="E1394" t="str">
            <v>PLAYTEX PERSONAL CLEANSING CLOTH TRAVEL PACK 16 CT</v>
          </cell>
          <cell r="F1394" t="str">
            <v>WIPES</v>
          </cell>
          <cell r="G1394" t="str">
            <v>INPL 6903</v>
          </cell>
          <cell r="H1394" t="str">
            <v>PLAYTEX</v>
          </cell>
          <cell r="I1394">
            <v>1.7</v>
          </cell>
        </row>
        <row r="1395">
          <cell r="A1395" t="str">
            <v>19-01394</v>
          </cell>
          <cell r="B1395" t="str">
            <v>CESAR ARROCHA</v>
          </cell>
          <cell r="C1395" t="str">
            <v>A</v>
          </cell>
          <cell r="D1395" t="str">
            <v>SI</v>
          </cell>
          <cell r="E1395" t="str">
            <v>PLAYTEX TAMPONES REGULAR SIN DESODORANTE 8CT</v>
          </cell>
          <cell r="F1395" t="str">
            <v>TAMPONS</v>
          </cell>
          <cell r="G1395" t="str">
            <v>INPL  8477</v>
          </cell>
          <cell r="H1395" t="str">
            <v>PLAYTEX</v>
          </cell>
          <cell r="I1395">
            <v>2</v>
          </cell>
        </row>
        <row r="1396">
          <cell r="A1396" t="str">
            <v>19-01395</v>
          </cell>
          <cell r="B1396" t="str">
            <v>CESAR ARROCHA</v>
          </cell>
          <cell r="C1396" t="str">
            <v>A</v>
          </cell>
          <cell r="D1396" t="str">
            <v>SI</v>
          </cell>
          <cell r="E1396" t="str">
            <v>PLAYTEX TAMPONES SUPER SIN DESODORANTE  8CT</v>
          </cell>
          <cell r="F1396" t="str">
            <v>TAMPONS</v>
          </cell>
          <cell r="G1396" t="str">
            <v>INPL  8478</v>
          </cell>
          <cell r="H1396" t="str">
            <v>PLAYTEX</v>
          </cell>
          <cell r="I1396">
            <v>2</v>
          </cell>
        </row>
        <row r="1397">
          <cell r="A1397" t="str">
            <v>19-01396</v>
          </cell>
          <cell r="B1397" t="str">
            <v>CESAR ARROCHA</v>
          </cell>
          <cell r="C1397" t="str">
            <v>A</v>
          </cell>
          <cell r="D1397" t="str">
            <v>SI</v>
          </cell>
          <cell r="E1397" t="str">
            <v>PLAYTEX TAMPONES REGULAR CON DESODORANTE 8CT</v>
          </cell>
          <cell r="F1397" t="str">
            <v>TAMPONS</v>
          </cell>
          <cell r="G1397" t="str">
            <v>INPL  8479</v>
          </cell>
          <cell r="H1397" t="str">
            <v>PLAYTEX</v>
          </cell>
          <cell r="I1397">
            <v>2</v>
          </cell>
        </row>
        <row r="1398">
          <cell r="A1398" t="str">
            <v>19-01397</v>
          </cell>
          <cell r="B1398" t="str">
            <v>CESAR ARROCHA</v>
          </cell>
          <cell r="C1398" t="str">
            <v>A</v>
          </cell>
          <cell r="D1398" t="str">
            <v>SI</v>
          </cell>
          <cell r="E1398" t="str">
            <v>PLAYTEX TAMPONES SUPER CON DESODORANTE 8CT</v>
          </cell>
          <cell r="F1398" t="str">
            <v>TAMPONS</v>
          </cell>
          <cell r="G1398" t="str">
            <v>INPL  8480</v>
          </cell>
          <cell r="H1398" t="str">
            <v>PLAYTEX</v>
          </cell>
          <cell r="I1398">
            <v>2</v>
          </cell>
        </row>
        <row r="1399">
          <cell r="A1399" t="str">
            <v>19-01398</v>
          </cell>
          <cell r="B1399" t="str">
            <v>DICARINA</v>
          </cell>
          <cell r="C1399" t="str">
            <v>D</v>
          </cell>
          <cell r="D1399" t="str">
            <v>N/A</v>
          </cell>
          <cell r="E1399" t="str">
            <v>X0899700 GG 36CT MULTI UNSC 2/6S</v>
          </cell>
          <cell r="F1399" t="str">
            <v>TAMPONS</v>
          </cell>
          <cell r="G1399" t="str">
            <v>X0899700</v>
          </cell>
          <cell r="H1399" t="str">
            <v>PLAYTEX</v>
          </cell>
          <cell r="I1399">
            <v>0</v>
          </cell>
        </row>
        <row r="1400">
          <cell r="A1400" t="str">
            <v>19-01399</v>
          </cell>
          <cell r="B1400" t="str">
            <v>DICARINA</v>
          </cell>
          <cell r="C1400" t="str">
            <v>D</v>
          </cell>
          <cell r="D1400" t="str">
            <v>N/A</v>
          </cell>
          <cell r="E1400" t="str">
            <v>X0983300 GG 20CT REG SCENTED 2/6S</v>
          </cell>
          <cell r="F1400" t="str">
            <v>TAMPONS</v>
          </cell>
          <cell r="G1400" t="str">
            <v>X0983300</v>
          </cell>
          <cell r="H1400" t="str">
            <v>PLAYTEX</v>
          </cell>
          <cell r="I1400">
            <v>0</v>
          </cell>
        </row>
        <row r="1401">
          <cell r="A1401" t="str">
            <v>19-01400</v>
          </cell>
          <cell r="B1401" t="str">
            <v>DICARINA</v>
          </cell>
          <cell r="C1401" t="str">
            <v>D</v>
          </cell>
          <cell r="D1401" t="str">
            <v>N/A</v>
          </cell>
          <cell r="E1401" t="str">
            <v>X0983700 GG 20CT REGULAR UNSC 2/6S</v>
          </cell>
          <cell r="F1401" t="str">
            <v>TAMPONS</v>
          </cell>
          <cell r="G1401" t="str">
            <v>X0983700</v>
          </cell>
          <cell r="H1401" t="str">
            <v>PLAYTEX</v>
          </cell>
          <cell r="I1401">
            <v>0</v>
          </cell>
        </row>
        <row r="1402">
          <cell r="A1402" t="str">
            <v>19-01401</v>
          </cell>
          <cell r="B1402" t="str">
            <v>DICARINA</v>
          </cell>
          <cell r="C1402" t="str">
            <v>D</v>
          </cell>
          <cell r="D1402" t="str">
            <v>N/A</v>
          </cell>
          <cell r="E1402" t="str">
            <v>X0983400 GG 18CT SUP SCENTED 2/6S</v>
          </cell>
          <cell r="F1402" t="str">
            <v>TAMPONS</v>
          </cell>
          <cell r="G1402" t="str">
            <v>X0983400</v>
          </cell>
          <cell r="H1402" t="str">
            <v>PLAYTEX</v>
          </cell>
          <cell r="I1402">
            <v>0</v>
          </cell>
        </row>
        <row r="1403">
          <cell r="A1403" t="str">
            <v>19-01402</v>
          </cell>
          <cell r="B1403" t="str">
            <v>DICARINA</v>
          </cell>
          <cell r="C1403" t="str">
            <v>D</v>
          </cell>
          <cell r="D1403" t="str">
            <v>N/A</v>
          </cell>
          <cell r="E1403" t="str">
            <v>X0983800 GG 18CT SUPER UNSC 2/6S</v>
          </cell>
          <cell r="F1403" t="str">
            <v>TAMPONS</v>
          </cell>
          <cell r="G1403" t="str">
            <v>X0983800</v>
          </cell>
          <cell r="H1403" t="str">
            <v>PLAYTEX</v>
          </cell>
          <cell r="I1403">
            <v>0</v>
          </cell>
        </row>
        <row r="1404">
          <cell r="A1404" t="str">
            <v>19-01403</v>
          </cell>
          <cell r="B1404" t="str">
            <v>DICARINA</v>
          </cell>
          <cell r="C1404" t="str">
            <v>D</v>
          </cell>
          <cell r="D1404" t="str">
            <v>N/A</v>
          </cell>
          <cell r="E1404" t="str">
            <v>X0983500 GG 18CT SUP PLUS SCENTED 2/6S</v>
          </cell>
          <cell r="F1404" t="str">
            <v>TAMPONS</v>
          </cell>
          <cell r="G1404" t="str">
            <v>X0983500</v>
          </cell>
          <cell r="H1404" t="str">
            <v>PLAYTEX</v>
          </cell>
          <cell r="I1404">
            <v>0</v>
          </cell>
        </row>
        <row r="1405">
          <cell r="A1405" t="str">
            <v>19-01404</v>
          </cell>
          <cell r="B1405" t="str">
            <v>DICARINA</v>
          </cell>
          <cell r="C1405" t="str">
            <v>D</v>
          </cell>
          <cell r="D1405" t="str">
            <v>N/A</v>
          </cell>
          <cell r="E1405" t="str">
            <v>X0983900 GG 18CT SUPER PLUS UNSC 2/6S</v>
          </cell>
          <cell r="F1405" t="str">
            <v>TAMPONS</v>
          </cell>
          <cell r="G1405" t="str">
            <v>X0983900</v>
          </cell>
          <cell r="H1405" t="str">
            <v>PLAYTEX</v>
          </cell>
          <cell r="I1405">
            <v>0</v>
          </cell>
        </row>
        <row r="1406">
          <cell r="A1406" t="str">
            <v>19-01405</v>
          </cell>
          <cell r="B1406" t="str">
            <v>DICARINA</v>
          </cell>
          <cell r="C1406" t="str">
            <v>D</v>
          </cell>
          <cell r="D1406" t="str">
            <v>N/A</v>
          </cell>
          <cell r="E1406" t="str">
            <v>X0810800 PLAYTEX SPORT 18CT REG SCENTED 2/6S</v>
          </cell>
          <cell r="F1406" t="str">
            <v>TAMPONS</v>
          </cell>
          <cell r="G1406" t="str">
            <v>X0810800</v>
          </cell>
          <cell r="H1406" t="str">
            <v>PLAYTEX</v>
          </cell>
          <cell r="I1406">
            <v>0</v>
          </cell>
        </row>
        <row r="1407">
          <cell r="A1407" t="str">
            <v>19-01406</v>
          </cell>
          <cell r="B1407" t="str">
            <v>DICARINA</v>
          </cell>
          <cell r="C1407" t="str">
            <v>D</v>
          </cell>
          <cell r="D1407" t="str">
            <v>N/A</v>
          </cell>
          <cell r="E1407" t="str">
            <v>X0810900 PLAYTEX SPORT 18CT REGULAR UNSCNT 2/6S</v>
          </cell>
          <cell r="F1407" t="str">
            <v>TAMPONS</v>
          </cell>
          <cell r="G1407" t="str">
            <v>X0810900</v>
          </cell>
          <cell r="H1407" t="str">
            <v>PLAYTEX</v>
          </cell>
          <cell r="I1407">
            <v>0</v>
          </cell>
        </row>
        <row r="1408">
          <cell r="A1408" t="str">
            <v>19-01407</v>
          </cell>
          <cell r="B1408" t="str">
            <v>DICARINA</v>
          </cell>
          <cell r="C1408" t="str">
            <v>D</v>
          </cell>
          <cell r="D1408" t="str">
            <v>N/A</v>
          </cell>
          <cell r="E1408" t="str">
            <v>X0811000 PLAYTEX SPORT 18CT SUPER SCENTED 2/6S</v>
          </cell>
          <cell r="F1408" t="str">
            <v>TAMPONS</v>
          </cell>
          <cell r="G1408" t="str">
            <v>X0811000</v>
          </cell>
          <cell r="H1408" t="str">
            <v>PLAYTEX</v>
          </cell>
          <cell r="I1408">
            <v>0</v>
          </cell>
        </row>
        <row r="1409">
          <cell r="A1409" t="str">
            <v>19-01408</v>
          </cell>
          <cell r="B1409" t="str">
            <v>DICARINA</v>
          </cell>
          <cell r="C1409" t="str">
            <v>D</v>
          </cell>
          <cell r="D1409" t="str">
            <v>N/A</v>
          </cell>
          <cell r="E1409" t="str">
            <v>X0811100 PLAYTEX SPORT 18CT SUPER UNSCNT 2/6S</v>
          </cell>
          <cell r="F1409" t="str">
            <v>TAMPONS</v>
          </cell>
          <cell r="G1409" t="str">
            <v>X0811100</v>
          </cell>
          <cell r="H1409" t="str">
            <v>PLAYTEX</v>
          </cell>
          <cell r="I1409">
            <v>0</v>
          </cell>
        </row>
        <row r="1410">
          <cell r="A1410" t="str">
            <v>19-01409</v>
          </cell>
          <cell r="B1410" t="str">
            <v>CESAR ARROCHA</v>
          </cell>
          <cell r="C1410" t="str">
            <v>A</v>
          </cell>
          <cell r="D1410" t="str">
            <v>SI</v>
          </cell>
          <cell r="E1410" t="str">
            <v>WET ONES WIPES CITRUS SCENT TRAVEL 20CT</v>
          </cell>
          <cell r="F1410" t="str">
            <v>WIPES</v>
          </cell>
          <cell r="G1410" t="str">
            <v>INPL  04864</v>
          </cell>
          <cell r="H1410" t="str">
            <v>WET ONES</v>
          </cell>
          <cell r="I1410">
            <v>1.7</v>
          </cell>
        </row>
        <row r="1411">
          <cell r="A1411" t="str">
            <v>19-01410</v>
          </cell>
          <cell r="B1411" t="str">
            <v>CESAR ARROCHA</v>
          </cell>
          <cell r="C1411" t="str">
            <v>A</v>
          </cell>
          <cell r="D1411" t="str">
            <v>SI</v>
          </cell>
          <cell r="E1411" t="str">
            <v>WET ONES WIPES ANTIBACTERIAL TRAVEL 20CT</v>
          </cell>
          <cell r="F1411" t="str">
            <v>WIPES</v>
          </cell>
          <cell r="G1411" t="str">
            <v>INPL  04843</v>
          </cell>
          <cell r="H1411" t="str">
            <v>WET ONES</v>
          </cell>
          <cell r="I1411">
            <v>1.7</v>
          </cell>
        </row>
        <row r="1412">
          <cell r="A1412" t="str">
            <v>19-01411</v>
          </cell>
          <cell r="B1412" t="str">
            <v>CESAR ARROCHA</v>
          </cell>
          <cell r="C1412" t="str">
            <v>A</v>
          </cell>
          <cell r="D1412" t="str">
            <v>SI</v>
          </cell>
          <cell r="E1412" t="str">
            <v>TROJAN PRESERVATIVO CLASICO-ENZ 3CT</v>
          </cell>
          <cell r="F1412" t="str">
            <v>CONDOMS</v>
          </cell>
          <cell r="G1412" t="str">
            <v>TROJ 2000030</v>
          </cell>
          <cell r="H1412" t="str">
            <v>TROJAN</v>
          </cell>
          <cell r="I1412">
            <v>1.84</v>
          </cell>
        </row>
        <row r="1413">
          <cell r="A1413" t="str">
            <v>19-01412</v>
          </cell>
          <cell r="B1413" t="str">
            <v>CESAR ARROCHA</v>
          </cell>
          <cell r="C1413" t="str">
            <v>A</v>
          </cell>
          <cell r="D1413" t="str">
            <v>SI</v>
          </cell>
          <cell r="E1413" t="str">
            <v>TROJAN PRESERVATIVO TEXTURIZADO ANILLADO 3CT</v>
          </cell>
          <cell r="F1413" t="str">
            <v>CONDOMS</v>
          </cell>
          <cell r="G1413" t="str">
            <v>TROJ  2000031</v>
          </cell>
          <cell r="H1413" t="str">
            <v>TROJAN</v>
          </cell>
          <cell r="I1413">
            <v>1.84</v>
          </cell>
        </row>
        <row r="1414">
          <cell r="A1414" t="str">
            <v>19-01413</v>
          </cell>
          <cell r="B1414" t="str">
            <v>CESAR ARROCHA</v>
          </cell>
          <cell r="C1414" t="str">
            <v>A</v>
          </cell>
          <cell r="D1414" t="str">
            <v>SI</v>
          </cell>
          <cell r="E1414" t="str">
            <v>TROJAN PRESERVATIVO TEXTURIZADO ANILLADO 12CT</v>
          </cell>
          <cell r="F1414" t="str">
            <v>CONDOMS</v>
          </cell>
          <cell r="G1414" t="str">
            <v>TROJ  2000037</v>
          </cell>
          <cell r="H1414" t="str">
            <v>TROJAN</v>
          </cell>
          <cell r="I1414">
            <v>6.57</v>
          </cell>
        </row>
        <row r="1415">
          <cell r="A1415" t="str">
            <v>19-01414</v>
          </cell>
          <cell r="B1415" t="str">
            <v>CESAR ARROCHA</v>
          </cell>
          <cell r="C1415" t="str">
            <v>A</v>
          </cell>
          <cell r="D1415" t="str">
            <v>SI</v>
          </cell>
          <cell r="E1415" t="str">
            <v>TROJAN MAGNUM 3CT</v>
          </cell>
          <cell r="F1415" t="str">
            <v>CONDOMS</v>
          </cell>
          <cell r="G1415" t="str">
            <v>TROJ  2000260</v>
          </cell>
          <cell r="H1415" t="str">
            <v>TROJAN</v>
          </cell>
          <cell r="I1415">
            <v>1.84</v>
          </cell>
        </row>
        <row r="1416">
          <cell r="A1416" t="str">
            <v>19-01415</v>
          </cell>
          <cell r="B1416" t="str">
            <v>ASTOR</v>
          </cell>
          <cell r="C1416" t="str">
            <v>D</v>
          </cell>
          <cell r="D1416" t="str">
            <v>N/A</v>
          </cell>
          <cell r="E1416" t="str">
            <v>03331 DUREX RETARDANTE  144X1 DISCONTINUED</v>
          </cell>
          <cell r="F1416" t="str">
            <v>CONDOMS</v>
          </cell>
          <cell r="G1416" t="str">
            <v>DURE 03331</v>
          </cell>
          <cell r="H1416" t="str">
            <v>DUREX</v>
          </cell>
          <cell r="I1416">
            <v>0</v>
          </cell>
        </row>
        <row r="1417">
          <cell r="A1417" t="str">
            <v>19-01416</v>
          </cell>
          <cell r="B1417" t="str">
            <v>ASTOR</v>
          </cell>
          <cell r="C1417" t="str">
            <v>D</v>
          </cell>
          <cell r="D1417" t="str">
            <v>N/A</v>
          </cell>
          <cell r="E1417" t="str">
            <v>033374 DUREX FIESTA 144X1 DISCONTINUED</v>
          </cell>
          <cell r="F1417" t="str">
            <v>CONDOMS</v>
          </cell>
          <cell r="G1417" t="str">
            <v>DURE 033374</v>
          </cell>
          <cell r="H1417" t="str">
            <v>DUREX</v>
          </cell>
          <cell r="I1417">
            <v>0</v>
          </cell>
        </row>
        <row r="1418">
          <cell r="A1418" t="str">
            <v>19-01417</v>
          </cell>
          <cell r="B1418" t="str">
            <v>ASTOR</v>
          </cell>
          <cell r="C1418" t="str">
            <v>D</v>
          </cell>
          <cell r="D1418" t="str">
            <v>N/A</v>
          </cell>
          <cell r="E1418" t="str">
            <v>03338 DUREX FUEGO 144X1 DISCONTINUED</v>
          </cell>
          <cell r="F1418" t="str">
            <v>CONDOMS</v>
          </cell>
          <cell r="G1418" t="str">
            <v>DURE 03338</v>
          </cell>
          <cell r="H1418" t="str">
            <v>DUREX</v>
          </cell>
          <cell r="I1418">
            <v>0</v>
          </cell>
        </row>
        <row r="1419">
          <cell r="A1419" t="str">
            <v>19-01418</v>
          </cell>
          <cell r="B1419" t="str">
            <v>ASTOR</v>
          </cell>
          <cell r="C1419" t="str">
            <v>D</v>
          </cell>
          <cell r="D1419" t="str">
            <v>N/A</v>
          </cell>
          <cell r="E1419" t="str">
            <v>DUREX EXTRASEGURO  3CT DISCONTINUED</v>
          </cell>
          <cell r="F1419" t="str">
            <v>CONDOMS</v>
          </cell>
          <cell r="G1419" t="str">
            <v>DURE 36722</v>
          </cell>
          <cell r="H1419" t="str">
            <v>DUREX</v>
          </cell>
          <cell r="I1419">
            <v>0</v>
          </cell>
        </row>
        <row r="1420">
          <cell r="A1420" t="str">
            <v>19-01419</v>
          </cell>
          <cell r="B1420" t="str">
            <v>ASTOR</v>
          </cell>
          <cell r="C1420" t="str">
            <v>A</v>
          </cell>
          <cell r="D1420" t="str">
            <v>SI</v>
          </cell>
          <cell r="E1420" t="str">
            <v>DUREX MAXIMO PLACER 3CT</v>
          </cell>
          <cell r="F1420" t="str">
            <v>CONDOMS</v>
          </cell>
          <cell r="G1420" t="str">
            <v>DURE 36838</v>
          </cell>
          <cell r="H1420" t="str">
            <v>DUREX</v>
          </cell>
          <cell r="I1420">
            <v>2.52</v>
          </cell>
        </row>
        <row r="1421">
          <cell r="A1421" t="str">
            <v>19-01420</v>
          </cell>
          <cell r="B1421" t="str">
            <v>ASTOR</v>
          </cell>
          <cell r="C1421" t="str">
            <v>D</v>
          </cell>
          <cell r="D1421" t="str">
            <v>N/A</v>
          </cell>
          <cell r="E1421" t="str">
            <v>098922 DUREX SENSACION INTENSA 144X1 DISCONTINUED</v>
          </cell>
          <cell r="F1421" t="str">
            <v>CONDOMS</v>
          </cell>
          <cell r="G1421" t="str">
            <v>DURE 098922</v>
          </cell>
          <cell r="H1421" t="str">
            <v>DUREX</v>
          </cell>
          <cell r="I1421">
            <v>0</v>
          </cell>
        </row>
        <row r="1422">
          <cell r="A1422" t="str">
            <v>19-01421</v>
          </cell>
          <cell r="B1422" t="str">
            <v>ASTOR</v>
          </cell>
          <cell r="C1422" t="str">
            <v>D</v>
          </cell>
          <cell r="D1422" t="str">
            <v>N/A</v>
          </cell>
          <cell r="E1422" t="str">
            <v>730440 DUREX COMFORT 144X1 DISCONTINUED</v>
          </cell>
          <cell r="F1422" t="str">
            <v>CONDOMS</v>
          </cell>
          <cell r="G1422" t="str">
            <v>DURE 730440</v>
          </cell>
          <cell r="H1422" t="str">
            <v>DUREX</v>
          </cell>
          <cell r="I1422">
            <v>0</v>
          </cell>
        </row>
        <row r="1423">
          <cell r="A1423" t="str">
            <v>19-01422</v>
          </cell>
          <cell r="B1423" t="str">
            <v>ASTOR</v>
          </cell>
          <cell r="C1423" t="str">
            <v>D</v>
          </cell>
          <cell r="D1423" t="str">
            <v>N/A</v>
          </cell>
          <cell r="E1423" t="str">
            <v>730549 DUREX TROPICAL 144X1</v>
          </cell>
          <cell r="F1423" t="str">
            <v>CONDOMS</v>
          </cell>
          <cell r="G1423" t="str">
            <v>DURE 730549</v>
          </cell>
          <cell r="H1423" t="str">
            <v>DUREX</v>
          </cell>
          <cell r="I1423">
            <v>0</v>
          </cell>
        </row>
        <row r="1424">
          <cell r="A1424" t="str">
            <v>19-01423</v>
          </cell>
          <cell r="B1424" t="str">
            <v>ASTOR</v>
          </cell>
          <cell r="C1424" t="str">
            <v>D</v>
          </cell>
          <cell r="D1424" t="str">
            <v>N/A</v>
          </cell>
          <cell r="E1424" t="str">
            <v>731133  DUREX LATEX NATURAL 144X1</v>
          </cell>
          <cell r="F1424" t="str">
            <v>CONDOMS</v>
          </cell>
          <cell r="G1424" t="str">
            <v>DURE 731133</v>
          </cell>
          <cell r="H1424" t="str">
            <v>DUREX</v>
          </cell>
          <cell r="I1424">
            <v>0</v>
          </cell>
        </row>
        <row r="1425">
          <cell r="A1425" t="str">
            <v>19-01424</v>
          </cell>
          <cell r="B1425" t="str">
            <v>ASTOR</v>
          </cell>
          <cell r="C1425" t="str">
            <v>A</v>
          </cell>
          <cell r="D1425" t="str">
            <v>SI</v>
          </cell>
          <cell r="E1425" t="str">
            <v>DUREX SENSITIVO ULTRA DELGADO 3CT</v>
          </cell>
          <cell r="F1425" t="str">
            <v>CONDOMS</v>
          </cell>
          <cell r="G1425" t="str">
            <v>DURE 36715</v>
          </cell>
          <cell r="H1425" t="str">
            <v>DUREX</v>
          </cell>
          <cell r="I1425">
            <v>2.69</v>
          </cell>
        </row>
        <row r="1426">
          <cell r="A1426" t="str">
            <v>19-01425</v>
          </cell>
          <cell r="B1426" t="str">
            <v>ASTOR</v>
          </cell>
          <cell r="C1426" t="str">
            <v>D</v>
          </cell>
          <cell r="D1426" t="str">
            <v>N/A</v>
          </cell>
          <cell r="E1426" t="str">
            <v>73133 DUREX ULTRA SENSITIVO RIBED 144X1</v>
          </cell>
          <cell r="F1426" t="str">
            <v>CONDOMS</v>
          </cell>
          <cell r="G1426" t="str">
            <v>DURE 73133</v>
          </cell>
          <cell r="H1426" t="str">
            <v>DUREX</v>
          </cell>
          <cell r="I1426">
            <v>0</v>
          </cell>
        </row>
        <row r="1427">
          <cell r="A1427" t="str">
            <v>19-01426</v>
          </cell>
          <cell r="B1427" t="str">
            <v>ASTOR</v>
          </cell>
          <cell r="C1427" t="str">
            <v>D</v>
          </cell>
          <cell r="D1427" t="str">
            <v>N/A</v>
          </cell>
          <cell r="E1427" t="str">
            <v>03369 DUREX LUBRICANTE INTIMO CALOR INTENSO 72X1</v>
          </cell>
          <cell r="F1427" t="str">
            <v>CONDOMS</v>
          </cell>
          <cell r="G1427" t="str">
            <v>DURE 03369</v>
          </cell>
          <cell r="H1427" t="str">
            <v>DUREX</v>
          </cell>
          <cell r="I1427">
            <v>0</v>
          </cell>
        </row>
        <row r="1428">
          <cell r="A1428" t="str">
            <v>19-01427</v>
          </cell>
          <cell r="B1428" t="str">
            <v>ASTOR</v>
          </cell>
          <cell r="C1428" t="str">
            <v>A</v>
          </cell>
          <cell r="D1428" t="str">
            <v>SI</v>
          </cell>
          <cell r="E1428" t="str">
            <v>DUREX PLAY PIÑA COLADA</v>
          </cell>
          <cell r="F1428" t="str">
            <v>CONDOMS</v>
          </cell>
          <cell r="G1428" t="str">
            <v>DURE 36179</v>
          </cell>
          <cell r="H1428" t="str">
            <v>DUREX</v>
          </cell>
          <cell r="I1428">
            <v>4.6100000000000003</v>
          </cell>
        </row>
        <row r="1429">
          <cell r="A1429" t="str">
            <v>19-01428</v>
          </cell>
          <cell r="B1429" t="str">
            <v>ASTOR</v>
          </cell>
          <cell r="C1429" t="str">
            <v>D</v>
          </cell>
          <cell r="D1429" t="str">
            <v>N/A</v>
          </cell>
          <cell r="E1429" t="str">
            <v>03371 DUREX LUBRICANTE INTIMO MASAJE INTIMO 2 EN 1 72X1</v>
          </cell>
          <cell r="F1429" t="str">
            <v>CONDOMS</v>
          </cell>
          <cell r="G1429" t="str">
            <v>DURE 03371</v>
          </cell>
          <cell r="H1429" t="str">
            <v>DUREX</v>
          </cell>
          <cell r="I1429">
            <v>0</v>
          </cell>
        </row>
        <row r="1430">
          <cell r="A1430" t="str">
            <v>19-01429</v>
          </cell>
          <cell r="B1430" t="str">
            <v>ASTOR</v>
          </cell>
          <cell r="C1430" t="str">
            <v>A</v>
          </cell>
          <cell r="D1430" t="str">
            <v>SI</v>
          </cell>
          <cell r="E1430" t="str">
            <v>DUREX LUBRICANTE COSQUILLAS Y PLACER</v>
          </cell>
          <cell r="F1430" t="str">
            <v>CONDOMS</v>
          </cell>
          <cell r="G1430" t="str">
            <v>DURE 36130</v>
          </cell>
          <cell r="H1430" t="str">
            <v>DUREX</v>
          </cell>
          <cell r="I1430">
            <v>4.6900000000000004</v>
          </cell>
        </row>
        <row r="1431">
          <cell r="A1431" t="str">
            <v>19-01430</v>
          </cell>
          <cell r="B1431" t="str">
            <v>ASTOR</v>
          </cell>
          <cell r="C1431" t="str">
            <v>D</v>
          </cell>
          <cell r="D1431" t="str">
            <v>N/A</v>
          </cell>
          <cell r="E1431" t="str">
            <v>03374 DUREX LUBRICANTE INTIMO CEREZA 72X1</v>
          </cell>
          <cell r="F1431" t="str">
            <v>CONDOMS</v>
          </cell>
          <cell r="G1431" t="str">
            <v>DURE 03374</v>
          </cell>
          <cell r="H1431" t="str">
            <v>DUREX</v>
          </cell>
          <cell r="I1431">
            <v>0</v>
          </cell>
        </row>
        <row r="1432">
          <cell r="A1432" t="str">
            <v>19-01431</v>
          </cell>
          <cell r="B1432" t="str">
            <v>ASTOR</v>
          </cell>
          <cell r="C1432" t="str">
            <v>D</v>
          </cell>
          <cell r="D1432" t="str">
            <v>N/A</v>
          </cell>
          <cell r="E1432" t="str">
            <v>033382 DUREX LOVE BOX (SENSITIVO THIN) 72X1</v>
          </cell>
          <cell r="F1432" t="str">
            <v>CONDOMS</v>
          </cell>
          <cell r="G1432" t="str">
            <v>DURE 033382</v>
          </cell>
          <cell r="H1432" t="str">
            <v>DUREX</v>
          </cell>
          <cell r="I1432">
            <v>0</v>
          </cell>
        </row>
        <row r="1433">
          <cell r="A1433" t="str">
            <v>19-01432</v>
          </cell>
          <cell r="B1433" t="str">
            <v>ASTOR</v>
          </cell>
          <cell r="C1433" t="str">
            <v>A</v>
          </cell>
          <cell r="D1433" t="str">
            <v>SI</v>
          </cell>
          <cell r="E1433" t="str">
            <v>DUREX PLAY VIBRATION</v>
          </cell>
          <cell r="F1433" t="str">
            <v>CONDOMS</v>
          </cell>
          <cell r="G1433" t="str">
            <v>DURE 30170</v>
          </cell>
          <cell r="H1433" t="str">
            <v>DUREX</v>
          </cell>
          <cell r="I1433">
            <v>5.96</v>
          </cell>
        </row>
        <row r="1434">
          <cell r="A1434" t="str">
            <v>19-01433</v>
          </cell>
          <cell r="B1434" t="str">
            <v>ORKHON GROUP</v>
          </cell>
          <cell r="C1434" t="str">
            <v>A</v>
          </cell>
          <cell r="D1434" t="str">
            <v>N/A</v>
          </cell>
          <cell r="E1434" t="str">
            <v>39217/1107-322 ALTAMAR SOMBRERO</v>
          </cell>
          <cell r="F1434" t="str">
            <v>SOMBRERO</v>
          </cell>
          <cell r="G1434">
            <v>39217</v>
          </cell>
          <cell r="H1434" t="str">
            <v>ALTAMAR</v>
          </cell>
          <cell r="I1434">
            <v>0</v>
          </cell>
        </row>
        <row r="1435">
          <cell r="A1435" t="str">
            <v>19-01434</v>
          </cell>
          <cell r="B1435" t="str">
            <v>ORKHON GROUP</v>
          </cell>
          <cell r="C1435" t="str">
            <v>A</v>
          </cell>
          <cell r="D1435" t="str">
            <v>N/A</v>
          </cell>
          <cell r="E1435" t="str">
            <v>38546/BX650 ALTAMAR SOMBRERO</v>
          </cell>
          <cell r="F1435" t="str">
            <v>SOMBRERO</v>
          </cell>
          <cell r="G1435">
            <v>38546</v>
          </cell>
          <cell r="H1435" t="str">
            <v>ALTAMAR</v>
          </cell>
          <cell r="I1435">
            <v>0</v>
          </cell>
        </row>
        <row r="1436">
          <cell r="A1436" t="str">
            <v>19-01435</v>
          </cell>
          <cell r="B1436" t="str">
            <v>ORKHON GROUP</v>
          </cell>
          <cell r="C1436" t="str">
            <v>A</v>
          </cell>
          <cell r="D1436" t="str">
            <v>N/A</v>
          </cell>
          <cell r="E1436" t="str">
            <v>39359/15-1207 ALTAMAR SOMBRERO</v>
          </cell>
          <cell r="F1436" t="str">
            <v>SOMBRERO</v>
          </cell>
          <cell r="G1436">
            <v>39359</v>
          </cell>
          <cell r="H1436" t="str">
            <v>ALTAMAR</v>
          </cell>
          <cell r="I1436">
            <v>0</v>
          </cell>
        </row>
        <row r="1437">
          <cell r="A1437" t="str">
            <v>19-01436</v>
          </cell>
          <cell r="B1437" t="str">
            <v>ORKHON GROUP</v>
          </cell>
          <cell r="C1437" t="str">
            <v>A</v>
          </cell>
          <cell r="D1437" t="str">
            <v>N/A</v>
          </cell>
          <cell r="E1437" t="str">
            <v>39359/22-1207 ALTAMAR SOMBRERO</v>
          </cell>
          <cell r="F1437" t="str">
            <v>SOMBRERO</v>
          </cell>
          <cell r="G1437">
            <v>39359</v>
          </cell>
          <cell r="H1437" t="str">
            <v>ALTAMAR</v>
          </cell>
          <cell r="I1437">
            <v>0</v>
          </cell>
        </row>
        <row r="1438">
          <cell r="A1438" t="str">
            <v>19-01437</v>
          </cell>
          <cell r="B1438" t="str">
            <v>ORKHON GROUP</v>
          </cell>
          <cell r="C1438" t="str">
            <v>A</v>
          </cell>
          <cell r="D1438" t="str">
            <v>N/A</v>
          </cell>
          <cell r="E1438" t="str">
            <v>39174/36-1207 ALTAMAR SOMBRERO</v>
          </cell>
          <cell r="F1438" t="str">
            <v>SOMBRERO</v>
          </cell>
          <cell r="G1438">
            <v>39174</v>
          </cell>
          <cell r="H1438" t="str">
            <v>ALTAMAR</v>
          </cell>
          <cell r="I1438">
            <v>8</v>
          </cell>
        </row>
        <row r="1439">
          <cell r="A1439" t="str">
            <v>19-01438</v>
          </cell>
          <cell r="B1439" t="str">
            <v>N/A</v>
          </cell>
          <cell r="C1439" t="str">
            <v>D</v>
          </cell>
          <cell r="D1439" t="str">
            <v>N/A</v>
          </cell>
          <cell r="E1439" t="str">
            <v>229 ZIPPO ROYAL MATTE DISCONTINUED</v>
          </cell>
          <cell r="F1439" t="str">
            <v>ENCENDEDORES</v>
          </cell>
          <cell r="G1439">
            <v>229</v>
          </cell>
          <cell r="H1439" t="str">
            <v>ZIPPO</v>
          </cell>
          <cell r="I1439">
            <v>0</v>
          </cell>
        </row>
        <row r="1440">
          <cell r="A1440" t="str">
            <v>19-01439</v>
          </cell>
          <cell r="B1440" t="str">
            <v>N/A</v>
          </cell>
          <cell r="C1440" t="str">
            <v>D</v>
          </cell>
          <cell r="D1440" t="str">
            <v>N/A</v>
          </cell>
          <cell r="E1440" t="str">
            <v>231 ZIPPO ORANGE MATTE DISCONTINUED</v>
          </cell>
          <cell r="F1440" t="str">
            <v>ENCENDEDORES</v>
          </cell>
          <cell r="G1440">
            <v>231</v>
          </cell>
          <cell r="H1440" t="str">
            <v>ZIPPO</v>
          </cell>
          <cell r="I1440">
            <v>0</v>
          </cell>
        </row>
        <row r="1441">
          <cell r="A1441" t="str">
            <v>19-01440</v>
          </cell>
          <cell r="B1441" t="str">
            <v>N/A</v>
          </cell>
          <cell r="C1441" t="str">
            <v>D</v>
          </cell>
          <cell r="D1441" t="str">
            <v>N/A</v>
          </cell>
          <cell r="E1441" t="str">
            <v>238 ZIPPO PINK MATTE DISCONTINUED</v>
          </cell>
          <cell r="F1441" t="str">
            <v>ENCENDEDORES</v>
          </cell>
          <cell r="G1441">
            <v>238</v>
          </cell>
          <cell r="H1441" t="str">
            <v>ZIPPO</v>
          </cell>
          <cell r="I1441">
            <v>0</v>
          </cell>
        </row>
        <row r="1442">
          <cell r="A1442" t="str">
            <v>19-01441</v>
          </cell>
          <cell r="B1442" t="str">
            <v>N/A</v>
          </cell>
          <cell r="C1442" t="str">
            <v>D</v>
          </cell>
          <cell r="D1442" t="str">
            <v>N/A</v>
          </cell>
          <cell r="E1442" t="str">
            <v>254 ZIPPO HIGH POLISH BRASS DISCONTINUED</v>
          </cell>
          <cell r="F1442" t="str">
            <v>ENCENDEDORES</v>
          </cell>
          <cell r="G1442">
            <v>254</v>
          </cell>
          <cell r="H1442" t="str">
            <v>ZIPPO</v>
          </cell>
          <cell r="I1442">
            <v>0</v>
          </cell>
        </row>
        <row r="1443">
          <cell r="A1443" t="str">
            <v>19-01442</v>
          </cell>
          <cell r="B1443" t="str">
            <v>N/A</v>
          </cell>
          <cell r="C1443" t="str">
            <v>D</v>
          </cell>
          <cell r="D1443" t="str">
            <v>N/A</v>
          </cell>
          <cell r="E1443" t="str">
            <v>667 ZIPPO BLACK ICE DISCONTINUED</v>
          </cell>
          <cell r="F1443" t="str">
            <v>ENCENDEDORES</v>
          </cell>
          <cell r="G1443">
            <v>667</v>
          </cell>
          <cell r="H1443" t="str">
            <v>ZIPPO</v>
          </cell>
          <cell r="I1443">
            <v>0</v>
          </cell>
        </row>
        <row r="1444">
          <cell r="A1444" t="str">
            <v>19-01443</v>
          </cell>
          <cell r="B1444" t="str">
            <v>N/A</v>
          </cell>
          <cell r="C1444" t="str">
            <v>D</v>
          </cell>
          <cell r="D1444" t="str">
            <v>N/A</v>
          </cell>
          <cell r="E1444" t="str">
            <v>1638 ZIPPO PINK MATTE, SLIM DISCONTINUED</v>
          </cell>
          <cell r="F1444" t="str">
            <v>ENCENDEDORES</v>
          </cell>
          <cell r="G1444">
            <v>1638</v>
          </cell>
          <cell r="H1444" t="str">
            <v>ZIPPO</v>
          </cell>
          <cell r="I1444">
            <v>0</v>
          </cell>
        </row>
        <row r="1445">
          <cell r="A1445" t="str">
            <v>19-01444</v>
          </cell>
          <cell r="B1445" t="str">
            <v>N/A</v>
          </cell>
          <cell r="C1445" t="str">
            <v>D</v>
          </cell>
          <cell r="D1445" t="str">
            <v>N/A</v>
          </cell>
          <cell r="E1445" t="str">
            <v>20762 ZIPPO BLACK ICE DISCONTINUED</v>
          </cell>
          <cell r="F1445" t="str">
            <v>ENCENDEDORES</v>
          </cell>
          <cell r="G1445">
            <v>20762</v>
          </cell>
          <cell r="H1445" t="str">
            <v>ZIPPO</v>
          </cell>
          <cell r="I1445">
            <v>0</v>
          </cell>
        </row>
        <row r="1446">
          <cell r="A1446" t="str">
            <v>19-01445</v>
          </cell>
          <cell r="B1446" t="str">
            <v>N/A</v>
          </cell>
          <cell r="C1446" t="str">
            <v>D</v>
          </cell>
          <cell r="D1446" t="str">
            <v>N/A</v>
          </cell>
          <cell r="E1446" t="str">
            <v>20895 ZIPPO BRUSHED CHROME DISCONTINUED</v>
          </cell>
          <cell r="F1446" t="str">
            <v>ENCENDEDORES</v>
          </cell>
          <cell r="G1446">
            <v>20895</v>
          </cell>
          <cell r="H1446" t="str">
            <v>ZIPPO</v>
          </cell>
          <cell r="I1446">
            <v>0</v>
          </cell>
        </row>
        <row r="1447">
          <cell r="A1447" t="str">
            <v>19-01446</v>
          </cell>
          <cell r="B1447" t="str">
            <v>N/A</v>
          </cell>
          <cell r="C1447" t="str">
            <v>D</v>
          </cell>
          <cell r="D1447" t="str">
            <v>N/A</v>
          </cell>
          <cell r="E1447" t="str">
            <v>20991 ZIPPO ARMOR HIGH POLISH CHROME DISCONTINUED</v>
          </cell>
          <cell r="F1447" t="str">
            <v>ENCENDEDORES</v>
          </cell>
          <cell r="G1447">
            <v>20991</v>
          </cell>
          <cell r="H1447" t="str">
            <v>ZIPPO</v>
          </cell>
          <cell r="I1447">
            <v>0</v>
          </cell>
        </row>
        <row r="1448">
          <cell r="A1448" t="str">
            <v>19-01447</v>
          </cell>
          <cell r="B1448" t="str">
            <v>N/A</v>
          </cell>
          <cell r="C1448" t="str">
            <v>D</v>
          </cell>
          <cell r="D1448" t="str">
            <v>N/A</v>
          </cell>
          <cell r="E1448" t="str">
            <v>21055 ZIPPO SAPPHIRE DISCONTINUED</v>
          </cell>
          <cell r="F1448" t="str">
            <v>ENCENDEDORES</v>
          </cell>
          <cell r="G1448">
            <v>21055</v>
          </cell>
          <cell r="H1448" t="str">
            <v>ZIPPO</v>
          </cell>
          <cell r="I1448">
            <v>0</v>
          </cell>
        </row>
        <row r="1449">
          <cell r="A1449" t="str">
            <v>19-01448</v>
          </cell>
          <cell r="B1449" t="str">
            <v>N/A</v>
          </cell>
          <cell r="C1449" t="str">
            <v>D</v>
          </cell>
          <cell r="D1449" t="str">
            <v>N/A</v>
          </cell>
          <cell r="E1449" t="str">
            <v>21155 ZIPPO SATIN CHROME DISCONTINUED</v>
          </cell>
          <cell r="F1449" t="str">
            <v>ENCENDEDORES</v>
          </cell>
          <cell r="G1449">
            <v>21155</v>
          </cell>
          <cell r="H1449" t="str">
            <v>ZIPPO</v>
          </cell>
          <cell r="I1449">
            <v>0</v>
          </cell>
        </row>
        <row r="1450">
          <cell r="A1450" t="str">
            <v>19-01449</v>
          </cell>
          <cell r="B1450" t="str">
            <v>N/A</v>
          </cell>
          <cell r="C1450" t="str">
            <v>D</v>
          </cell>
          <cell r="D1450" t="str">
            <v>N/A</v>
          </cell>
          <cell r="E1450" t="str">
            <v>24472 ZIPPO BLACK MATTE DISCONTINUED</v>
          </cell>
          <cell r="F1450" t="str">
            <v>ENCENDEDORES</v>
          </cell>
          <cell r="G1450">
            <v>24472</v>
          </cell>
          <cell r="H1450" t="str">
            <v>ZIPPO</v>
          </cell>
          <cell r="I1450">
            <v>0</v>
          </cell>
        </row>
        <row r="1451">
          <cell r="A1451" t="str">
            <v>19-01450</v>
          </cell>
          <cell r="B1451" t="str">
            <v>N/A</v>
          </cell>
          <cell r="C1451" t="str">
            <v>D</v>
          </cell>
          <cell r="D1451" t="str">
            <v>N/A</v>
          </cell>
          <cell r="E1451" t="str">
            <v>24717 ZIPPO TOFFEE DISCONTINUED</v>
          </cell>
          <cell r="F1451" t="str">
            <v>ENCENDEDORES</v>
          </cell>
          <cell r="G1451">
            <v>24717</v>
          </cell>
          <cell r="H1451" t="str">
            <v>ZIPPO</v>
          </cell>
          <cell r="I1451">
            <v>0</v>
          </cell>
        </row>
        <row r="1452">
          <cell r="A1452" t="str">
            <v>19-01451</v>
          </cell>
          <cell r="B1452" t="str">
            <v>N/A</v>
          </cell>
          <cell r="C1452" t="str">
            <v>D</v>
          </cell>
          <cell r="D1452" t="str">
            <v>N/A</v>
          </cell>
          <cell r="E1452" t="str">
            <v>24721 ZIPPO BLACK MATTE DISCONTINUED</v>
          </cell>
          <cell r="F1452" t="str">
            <v>ENCENDEDORES</v>
          </cell>
          <cell r="G1452">
            <v>24721</v>
          </cell>
          <cell r="H1452" t="str">
            <v>ZIPPO</v>
          </cell>
          <cell r="I1452">
            <v>0</v>
          </cell>
        </row>
        <row r="1453">
          <cell r="A1453" t="str">
            <v>19-01452</v>
          </cell>
          <cell r="B1453" t="str">
            <v>N/A</v>
          </cell>
          <cell r="C1453" t="str">
            <v>D</v>
          </cell>
          <cell r="D1453" t="str">
            <v>N/A</v>
          </cell>
          <cell r="E1453" t="str">
            <v>24800 ZIPPO BRUSHED CHROME DISCONTINUED</v>
          </cell>
          <cell r="F1453" t="str">
            <v>ENCENDEDORES</v>
          </cell>
          <cell r="G1453">
            <v>24800</v>
          </cell>
          <cell r="H1453" t="str">
            <v>ZIPPO</v>
          </cell>
          <cell r="I1453">
            <v>0</v>
          </cell>
        </row>
        <row r="1454">
          <cell r="A1454" t="str">
            <v>19-01453</v>
          </cell>
          <cell r="B1454" t="str">
            <v>N/A</v>
          </cell>
          <cell r="C1454" t="str">
            <v>D</v>
          </cell>
          <cell r="D1454" t="str">
            <v>N/A</v>
          </cell>
          <cell r="E1454" t="str">
            <v>24836 ZIPPO HIGH POLISH CHROME DISCONTINUED</v>
          </cell>
          <cell r="F1454" t="str">
            <v>ENCENDEDORES</v>
          </cell>
          <cell r="G1454">
            <v>24836</v>
          </cell>
          <cell r="H1454" t="str">
            <v>ZIPPO</v>
          </cell>
          <cell r="I1454">
            <v>0</v>
          </cell>
        </row>
        <row r="1455">
          <cell r="A1455" t="str">
            <v>19-01454</v>
          </cell>
          <cell r="B1455" t="str">
            <v>N/A</v>
          </cell>
          <cell r="C1455" t="str">
            <v>D</v>
          </cell>
          <cell r="D1455" t="str">
            <v>N/A</v>
          </cell>
          <cell r="E1455" t="str">
            <v>24839 ZIPPO LEMON MATTE DISCONTINUED</v>
          </cell>
          <cell r="F1455" t="str">
            <v>ENCENDEDORES</v>
          </cell>
          <cell r="G1455">
            <v>24839</v>
          </cell>
          <cell r="H1455" t="str">
            <v>ZIPPO</v>
          </cell>
          <cell r="I1455">
            <v>0</v>
          </cell>
        </row>
        <row r="1456">
          <cell r="A1456" t="str">
            <v>19-01455</v>
          </cell>
          <cell r="B1456" t="str">
            <v>N/A</v>
          </cell>
          <cell r="C1456" t="str">
            <v>D</v>
          </cell>
          <cell r="D1456" t="str">
            <v>N/A</v>
          </cell>
          <cell r="E1456" t="str">
            <v>28062 ZIPPO LEMON MATTE DISCONTINUED</v>
          </cell>
          <cell r="F1456" t="str">
            <v>ENCENDEDORES</v>
          </cell>
          <cell r="G1456">
            <v>28062</v>
          </cell>
          <cell r="H1456" t="str">
            <v>ZIPPO</v>
          </cell>
          <cell r="I1456">
            <v>0</v>
          </cell>
        </row>
        <row r="1457">
          <cell r="A1457" t="str">
            <v>19-01456</v>
          </cell>
          <cell r="B1457" t="str">
            <v>N/A</v>
          </cell>
          <cell r="C1457" t="str">
            <v>D</v>
          </cell>
          <cell r="D1457" t="str">
            <v>N/A</v>
          </cell>
          <cell r="E1457" t="str">
            <v>28272 ZIPPO WHITE MATTE DISCONTINUED</v>
          </cell>
          <cell r="F1457" t="str">
            <v>ENCENDEDORES</v>
          </cell>
          <cell r="G1457">
            <v>28272</v>
          </cell>
          <cell r="H1457" t="str">
            <v>ZIPPO</v>
          </cell>
          <cell r="I1457">
            <v>0</v>
          </cell>
        </row>
        <row r="1458">
          <cell r="A1458" t="str">
            <v>19-01457</v>
          </cell>
          <cell r="B1458" t="str">
            <v>N/A</v>
          </cell>
          <cell r="C1458" t="str">
            <v>D</v>
          </cell>
          <cell r="D1458" t="str">
            <v>N/A</v>
          </cell>
          <cell r="E1458" t="str">
            <v>28283 ZIPPO BRUSHED CHROME DISCONTINUED</v>
          </cell>
          <cell r="F1458" t="str">
            <v>ENCENDEDORES</v>
          </cell>
          <cell r="G1458">
            <v>28283</v>
          </cell>
          <cell r="H1458" t="str">
            <v>ZIPPO</v>
          </cell>
          <cell r="I1458">
            <v>0</v>
          </cell>
        </row>
        <row r="1459">
          <cell r="A1459" t="str">
            <v>19-01458</v>
          </cell>
          <cell r="B1459" t="str">
            <v>N/A</v>
          </cell>
          <cell r="C1459" t="str">
            <v>D</v>
          </cell>
          <cell r="D1459" t="str">
            <v>N/A</v>
          </cell>
          <cell r="E1459" t="str">
            <v>28286 ZIPPO HIGH POLISH CHROME DISCONTINUED</v>
          </cell>
          <cell r="F1459" t="str">
            <v>ENCENDEDORES</v>
          </cell>
          <cell r="G1459">
            <v>28286</v>
          </cell>
          <cell r="H1459" t="str">
            <v>ZIPPO</v>
          </cell>
          <cell r="I1459">
            <v>0</v>
          </cell>
        </row>
        <row r="1460">
          <cell r="A1460" t="str">
            <v>19-01459</v>
          </cell>
          <cell r="B1460" t="str">
            <v>N/A</v>
          </cell>
          <cell r="C1460" t="str">
            <v>D</v>
          </cell>
          <cell r="D1460" t="str">
            <v>N/A</v>
          </cell>
          <cell r="E1460" t="str">
            <v>28289 ZIPPO HIGH POLISH CHROME DISCONTINUED</v>
          </cell>
          <cell r="F1460" t="str">
            <v>ENCENDEDORES</v>
          </cell>
          <cell r="G1460">
            <v>28289</v>
          </cell>
          <cell r="H1460" t="str">
            <v>ZIPPO</v>
          </cell>
          <cell r="I1460">
            <v>0</v>
          </cell>
        </row>
        <row r="1461">
          <cell r="A1461" t="str">
            <v>19-01460</v>
          </cell>
          <cell r="B1461" t="str">
            <v>N/A</v>
          </cell>
          <cell r="C1461" t="str">
            <v>D</v>
          </cell>
          <cell r="D1461" t="str">
            <v>N/A</v>
          </cell>
          <cell r="E1461" t="str">
            <v>28291 ZIPPO HIGH POLISH CHROME DISCONTINUED</v>
          </cell>
          <cell r="F1461" t="str">
            <v>ENCENDEDORES</v>
          </cell>
          <cell r="G1461">
            <v>28291</v>
          </cell>
          <cell r="H1461" t="str">
            <v>ZIPPO</v>
          </cell>
          <cell r="I1461">
            <v>0</v>
          </cell>
        </row>
        <row r="1462">
          <cell r="A1462" t="str">
            <v>19-01461</v>
          </cell>
          <cell r="B1462" t="str">
            <v>N/A</v>
          </cell>
          <cell r="C1462" t="str">
            <v>D</v>
          </cell>
          <cell r="D1462" t="str">
            <v>N/A</v>
          </cell>
          <cell r="E1462" t="str">
            <v>28292 ZIPPO HIGH POLISH CHROME DISCONTINUED</v>
          </cell>
          <cell r="F1462" t="str">
            <v>ENCENDEDORES</v>
          </cell>
          <cell r="G1462">
            <v>28292</v>
          </cell>
          <cell r="H1462" t="str">
            <v>ZIPPO</v>
          </cell>
          <cell r="I1462">
            <v>0</v>
          </cell>
        </row>
        <row r="1463">
          <cell r="A1463" t="str">
            <v>19-01462</v>
          </cell>
          <cell r="B1463" t="str">
            <v>N/A</v>
          </cell>
          <cell r="C1463" t="str">
            <v>D</v>
          </cell>
          <cell r="D1463" t="str">
            <v>N/A</v>
          </cell>
          <cell r="E1463" t="str">
            <v>28293 ZIPPO HIGH POLISH CHROME DISCONTINUED</v>
          </cell>
          <cell r="F1463" t="str">
            <v>ENCENDEDORES</v>
          </cell>
          <cell r="G1463">
            <v>28293</v>
          </cell>
          <cell r="H1463" t="str">
            <v>ZIPPO</v>
          </cell>
          <cell r="I1463">
            <v>0</v>
          </cell>
        </row>
        <row r="1464">
          <cell r="A1464" t="str">
            <v>19-01463</v>
          </cell>
          <cell r="B1464" t="str">
            <v>N/A</v>
          </cell>
          <cell r="C1464" t="str">
            <v>D</v>
          </cell>
          <cell r="D1464" t="str">
            <v>N/A</v>
          </cell>
          <cell r="E1464" t="str">
            <v>28301 ZIPPO BLACK MATTE DISCONTINUED</v>
          </cell>
          <cell r="F1464" t="str">
            <v>ENCENDEDORES</v>
          </cell>
          <cell r="G1464">
            <v>28301</v>
          </cell>
          <cell r="H1464" t="str">
            <v>ZIPPO</v>
          </cell>
          <cell r="I1464">
            <v>0</v>
          </cell>
        </row>
        <row r="1465">
          <cell r="A1465" t="str">
            <v>19-01464</v>
          </cell>
          <cell r="B1465" t="str">
            <v>N/A</v>
          </cell>
          <cell r="C1465" t="str">
            <v>D</v>
          </cell>
          <cell r="D1465" t="str">
            <v>N/A</v>
          </cell>
          <cell r="E1465" t="str">
            <v>28302 ZIPPO BLACK MATTE DISCONTINUED</v>
          </cell>
          <cell r="F1465" t="str">
            <v>ENCENDEDORES</v>
          </cell>
          <cell r="G1465">
            <v>28302</v>
          </cell>
          <cell r="H1465" t="str">
            <v>ZIPPO</v>
          </cell>
          <cell r="I1465">
            <v>0</v>
          </cell>
        </row>
        <row r="1466">
          <cell r="A1466" t="str">
            <v>19-01465</v>
          </cell>
          <cell r="B1466" t="str">
            <v>N/A</v>
          </cell>
          <cell r="C1466" t="str">
            <v>D</v>
          </cell>
          <cell r="D1466" t="str">
            <v>N/A</v>
          </cell>
          <cell r="E1466" t="str">
            <v>28305 ZIPPO BLACK MATTE DISCONTINUED</v>
          </cell>
          <cell r="F1466" t="str">
            <v>ENCENDEDORES</v>
          </cell>
          <cell r="G1466">
            <v>28305</v>
          </cell>
          <cell r="H1466" t="str">
            <v>ZIPPO</v>
          </cell>
          <cell r="I1466">
            <v>0</v>
          </cell>
        </row>
        <row r="1467">
          <cell r="A1467" t="str">
            <v>19-01466</v>
          </cell>
          <cell r="B1467" t="str">
            <v>N/A</v>
          </cell>
          <cell r="C1467" t="str">
            <v>D</v>
          </cell>
          <cell r="D1467" t="str">
            <v>N/A</v>
          </cell>
          <cell r="E1467" t="str">
            <v>28307 ZIPPO BLACK MATTE DISCONTINUED</v>
          </cell>
          <cell r="F1467" t="str">
            <v>ENCENDEDORES</v>
          </cell>
          <cell r="G1467">
            <v>28307</v>
          </cell>
          <cell r="H1467" t="str">
            <v>ZIPPO</v>
          </cell>
          <cell r="I1467">
            <v>0</v>
          </cell>
        </row>
        <row r="1468">
          <cell r="A1468" t="str">
            <v>19-01467</v>
          </cell>
          <cell r="B1468" t="str">
            <v>N/A</v>
          </cell>
          <cell r="C1468" t="str">
            <v>D</v>
          </cell>
          <cell r="D1468" t="str">
            <v>N/A</v>
          </cell>
          <cell r="E1468" t="str">
            <v>28309 ZIPPO BLACK MATTE DISCONTINUED</v>
          </cell>
          <cell r="F1468" t="str">
            <v>ENCENDEDORES</v>
          </cell>
          <cell r="G1468">
            <v>28309</v>
          </cell>
          <cell r="H1468" t="str">
            <v>ZIPPO</v>
          </cell>
          <cell r="I1468">
            <v>0</v>
          </cell>
        </row>
        <row r="1469">
          <cell r="A1469" t="str">
            <v>19-01468</v>
          </cell>
          <cell r="B1469" t="str">
            <v>N/A</v>
          </cell>
          <cell r="C1469" t="str">
            <v>D</v>
          </cell>
          <cell r="D1469" t="str">
            <v>N/A</v>
          </cell>
          <cell r="E1469" t="str">
            <v>28310 ZIPPO BLACK MATTE DISCONTINUED</v>
          </cell>
          <cell r="F1469" t="str">
            <v>ENCENDEDORES</v>
          </cell>
          <cell r="G1469">
            <v>28310</v>
          </cell>
          <cell r="H1469" t="str">
            <v>ZIPPO</v>
          </cell>
          <cell r="I1469">
            <v>0</v>
          </cell>
        </row>
        <row r="1470">
          <cell r="A1470" t="str">
            <v>19-01469</v>
          </cell>
          <cell r="B1470" t="str">
            <v>N/A</v>
          </cell>
          <cell r="C1470" t="str">
            <v>D</v>
          </cell>
          <cell r="D1470" t="str">
            <v>N/A</v>
          </cell>
          <cell r="E1470" t="str">
            <v>28317 ZIPPO BLACK MATTE DISCONTINUED</v>
          </cell>
          <cell r="F1470" t="str">
            <v>ENCENDEDORES</v>
          </cell>
          <cell r="G1470">
            <v>28317</v>
          </cell>
          <cell r="H1470" t="str">
            <v>ZIPPO</v>
          </cell>
          <cell r="I1470">
            <v>0</v>
          </cell>
        </row>
        <row r="1471">
          <cell r="A1471" t="str">
            <v>19-01470</v>
          </cell>
          <cell r="B1471" t="str">
            <v>N/A</v>
          </cell>
          <cell r="C1471" t="str">
            <v>D</v>
          </cell>
          <cell r="D1471" t="str">
            <v>N/A</v>
          </cell>
          <cell r="E1471" t="str">
            <v>28323 ZIPPO BLACK ICE DISCONTINUED</v>
          </cell>
          <cell r="F1471" t="str">
            <v>ENCENDEDORES</v>
          </cell>
          <cell r="G1471">
            <v>28323</v>
          </cell>
          <cell r="H1471" t="str">
            <v>ZIPPO</v>
          </cell>
          <cell r="I1471">
            <v>0</v>
          </cell>
        </row>
        <row r="1472">
          <cell r="A1472" t="str">
            <v>19-01471</v>
          </cell>
          <cell r="B1472" t="str">
            <v>N/A</v>
          </cell>
          <cell r="C1472" t="str">
            <v>D</v>
          </cell>
          <cell r="D1472" t="str">
            <v>N/A</v>
          </cell>
          <cell r="E1472" t="str">
            <v>28326 ZIPPO BLACK ICE DISCONTINUED</v>
          </cell>
          <cell r="F1472" t="str">
            <v>ENCENDEDORES</v>
          </cell>
          <cell r="G1472">
            <v>28326</v>
          </cell>
          <cell r="H1472" t="str">
            <v>ZIPPO</v>
          </cell>
          <cell r="I1472">
            <v>0</v>
          </cell>
        </row>
        <row r="1473">
          <cell r="A1473" t="str">
            <v>19-01472</v>
          </cell>
          <cell r="B1473" t="str">
            <v>N/A</v>
          </cell>
          <cell r="C1473" t="str">
            <v>D</v>
          </cell>
          <cell r="D1473" t="str">
            <v>N/A</v>
          </cell>
          <cell r="E1473" t="str">
            <v>28327 ZIPPO CHROME ARCH DISCONTINUED</v>
          </cell>
          <cell r="F1473" t="str">
            <v>ENCENDEDORES</v>
          </cell>
          <cell r="G1473">
            <v>28327</v>
          </cell>
          <cell r="H1473" t="str">
            <v>ZIPPO</v>
          </cell>
          <cell r="I1473">
            <v>0</v>
          </cell>
        </row>
        <row r="1474">
          <cell r="A1474" t="str">
            <v>19-01473</v>
          </cell>
          <cell r="B1474" t="str">
            <v>N/A</v>
          </cell>
          <cell r="C1474" t="str">
            <v>D</v>
          </cell>
          <cell r="D1474" t="str">
            <v>N/A</v>
          </cell>
          <cell r="E1474" t="str">
            <v>28329 ZIPPO STREET CHROME DISCONTINUED</v>
          </cell>
          <cell r="F1474" t="str">
            <v>ENCENDEDORES</v>
          </cell>
          <cell r="G1474">
            <v>28329</v>
          </cell>
          <cell r="H1474" t="str">
            <v>ZIPPO</v>
          </cell>
          <cell r="I1474">
            <v>0</v>
          </cell>
        </row>
        <row r="1475">
          <cell r="A1475" t="str">
            <v>19-01474</v>
          </cell>
          <cell r="B1475" t="str">
            <v>N/A</v>
          </cell>
          <cell r="C1475" t="str">
            <v>D</v>
          </cell>
          <cell r="D1475" t="str">
            <v>N/A</v>
          </cell>
          <cell r="E1475" t="str">
            <v>28336 ZIPPO HIGH POLISH CHROME DISCONTINUED</v>
          </cell>
          <cell r="F1475" t="str">
            <v>ENCENDEDORES</v>
          </cell>
          <cell r="G1475">
            <v>28336</v>
          </cell>
          <cell r="H1475" t="str">
            <v>ZIPPO</v>
          </cell>
          <cell r="I1475">
            <v>0</v>
          </cell>
        </row>
        <row r="1476">
          <cell r="A1476" t="str">
            <v>19-01475</v>
          </cell>
          <cell r="B1476" t="str">
            <v>N/A</v>
          </cell>
          <cell r="C1476" t="str">
            <v>D</v>
          </cell>
          <cell r="D1476" t="str">
            <v>N/A</v>
          </cell>
          <cell r="E1476" t="str">
            <v>28342 ZIPPO CANDY APPLE RED DISCONTINUED</v>
          </cell>
          <cell r="F1476" t="str">
            <v>ENCENDEDORES</v>
          </cell>
          <cell r="G1476">
            <v>28342</v>
          </cell>
          <cell r="H1476" t="str">
            <v>ZIPPO</v>
          </cell>
          <cell r="I1476">
            <v>0</v>
          </cell>
        </row>
        <row r="1477">
          <cell r="A1477" t="str">
            <v>19-01476</v>
          </cell>
          <cell r="B1477" t="str">
            <v>N/A</v>
          </cell>
          <cell r="C1477" t="str">
            <v>D</v>
          </cell>
          <cell r="D1477" t="str">
            <v>N/A</v>
          </cell>
          <cell r="E1477" t="str">
            <v>1618ZB ZIPPO BLACK MATTE, SLIM DISCONTINUED</v>
          </cell>
          <cell r="F1477" t="str">
            <v>ENCENDEDORES</v>
          </cell>
          <cell r="G1477" t="str">
            <v>1618ZB</v>
          </cell>
          <cell r="H1477" t="str">
            <v>ZIPPO</v>
          </cell>
          <cell r="I1477">
            <v>0</v>
          </cell>
        </row>
        <row r="1478">
          <cell r="A1478" t="str">
            <v>19-01477</v>
          </cell>
          <cell r="B1478" t="str">
            <v>I CARIBBEAN</v>
          </cell>
          <cell r="C1478" t="str">
            <v>A</v>
          </cell>
          <cell r="D1478" t="str">
            <v>N/A</v>
          </cell>
          <cell r="E1478" t="str">
            <v>PH01 PANAMA HAT FEDORA CLASSIC</v>
          </cell>
          <cell r="F1478" t="str">
            <v>SOMBREROS</v>
          </cell>
          <cell r="G1478" t="str">
            <v>PH01</v>
          </cell>
          <cell r="H1478" t="str">
            <v>PANAMA HAT</v>
          </cell>
          <cell r="I1478">
            <v>30</v>
          </cell>
        </row>
        <row r="1479">
          <cell r="A1479" t="str">
            <v>19-01478</v>
          </cell>
          <cell r="B1479" t="str">
            <v>I CARIBBEAN</v>
          </cell>
          <cell r="C1479" t="str">
            <v>D</v>
          </cell>
          <cell r="D1479" t="str">
            <v>N/A</v>
          </cell>
          <cell r="E1479" t="str">
            <v>PANAMA HAT FEDORA SUPERIOR DISCONTINUED</v>
          </cell>
          <cell r="F1479" t="str">
            <v>SOMBREROS</v>
          </cell>
          <cell r="H1479" t="str">
            <v>PANAMA HAT</v>
          </cell>
          <cell r="I1479">
            <v>75</v>
          </cell>
        </row>
        <row r="1480">
          <cell r="A1480" t="str">
            <v>19-01479</v>
          </cell>
          <cell r="B1480" t="str">
            <v>I CARIBBEAN</v>
          </cell>
          <cell r="C1480" t="str">
            <v>A</v>
          </cell>
          <cell r="D1480" t="str">
            <v>N/A</v>
          </cell>
          <cell r="E1480" t="str">
            <v>PH03 PANAMA HAT FEDORA PREMIUM</v>
          </cell>
          <cell r="F1480" t="str">
            <v>SOMBREROS</v>
          </cell>
          <cell r="G1480" t="str">
            <v>PH03</v>
          </cell>
          <cell r="H1480" t="str">
            <v>PANAMA HAT</v>
          </cell>
          <cell r="I1480">
            <v>120</v>
          </cell>
        </row>
        <row r="1481">
          <cell r="A1481" t="str">
            <v>19-01480</v>
          </cell>
          <cell r="B1481" t="str">
            <v>I CARIBBEAN</v>
          </cell>
          <cell r="C1481" t="str">
            <v>A</v>
          </cell>
          <cell r="D1481" t="str">
            <v>N/A</v>
          </cell>
          <cell r="E1481" t="str">
            <v>PH03-3 PANAMA HAT PREMIUM PLANE</v>
          </cell>
          <cell r="F1481" t="str">
            <v>SOMBREROS</v>
          </cell>
          <cell r="G1481" t="str">
            <v>PH03-3</v>
          </cell>
          <cell r="H1481" t="str">
            <v>PANAMA HAT</v>
          </cell>
          <cell r="I1481">
            <v>120</v>
          </cell>
        </row>
        <row r="1482">
          <cell r="A1482" t="str">
            <v>19-01481</v>
          </cell>
          <cell r="B1482" t="str">
            <v>I CARIBBEAN</v>
          </cell>
          <cell r="C1482" t="str">
            <v>D</v>
          </cell>
          <cell r="D1482" t="str">
            <v>N/A</v>
          </cell>
          <cell r="E1482" t="str">
            <v>PANAMA HAT PREMIUM GAMBLER DISCONTINUED</v>
          </cell>
          <cell r="F1482" t="str">
            <v>SOMBREROS</v>
          </cell>
          <cell r="H1482" t="str">
            <v>PANAMA HAT</v>
          </cell>
          <cell r="I1482">
            <v>120</v>
          </cell>
        </row>
        <row r="1483">
          <cell r="A1483" t="str">
            <v>19-01482</v>
          </cell>
          <cell r="B1483" t="str">
            <v>I CARIBBEAN</v>
          </cell>
          <cell r="C1483" t="str">
            <v>D</v>
          </cell>
          <cell r="D1483" t="str">
            <v>N/A</v>
          </cell>
          <cell r="E1483" t="str">
            <v>PANAMA HAT PREMIUM GOLF DISCONTINUED</v>
          </cell>
          <cell r="F1483" t="str">
            <v>SOMBREROS</v>
          </cell>
          <cell r="H1483" t="str">
            <v>PANAMA HAT</v>
          </cell>
          <cell r="I1483">
            <v>120</v>
          </cell>
        </row>
        <row r="1484">
          <cell r="A1484" t="str">
            <v>19-01483</v>
          </cell>
          <cell r="B1484" t="str">
            <v>I CARIBBEAN</v>
          </cell>
          <cell r="C1484" t="str">
            <v>D</v>
          </cell>
          <cell r="D1484" t="str">
            <v>N/A</v>
          </cell>
          <cell r="E1484" t="str">
            <v>PANAMA HAT PREMIUM NATURAL BLACK LABEL DISCONTINUED</v>
          </cell>
          <cell r="F1484" t="str">
            <v>SOMBREROS</v>
          </cell>
          <cell r="H1484" t="str">
            <v>PANAMA HAT</v>
          </cell>
          <cell r="I1484">
            <v>120</v>
          </cell>
        </row>
        <row r="1485">
          <cell r="A1485" t="str">
            <v>19-01484</v>
          </cell>
          <cell r="B1485" t="str">
            <v>I CARIBBEAN</v>
          </cell>
          <cell r="C1485" t="str">
            <v>D</v>
          </cell>
          <cell r="D1485" t="str">
            <v>N/A</v>
          </cell>
          <cell r="E1485" t="str">
            <v>PANAMA HAT PREMIUM NATURAL BROWN LABEL DISCONTINUED</v>
          </cell>
          <cell r="F1485" t="str">
            <v>SOMBREROS</v>
          </cell>
          <cell r="H1485" t="str">
            <v>PANAMA HAT</v>
          </cell>
          <cell r="I1485">
            <v>120</v>
          </cell>
        </row>
        <row r="1486">
          <cell r="A1486" t="str">
            <v>19-01485</v>
          </cell>
          <cell r="B1486" t="str">
            <v>I CARIBBEAN</v>
          </cell>
          <cell r="C1486" t="str">
            <v>D</v>
          </cell>
          <cell r="D1486" t="str">
            <v>N/A</v>
          </cell>
          <cell r="E1486" t="str">
            <v>PANAMA HAT EDGE BLACK DISCONTINUED</v>
          </cell>
          <cell r="F1486" t="str">
            <v>SOMBREROS</v>
          </cell>
          <cell r="H1486" t="str">
            <v>PANAMA HAT</v>
          </cell>
          <cell r="I1486">
            <v>35</v>
          </cell>
        </row>
        <row r="1487">
          <cell r="A1487" t="str">
            <v>19-01486</v>
          </cell>
          <cell r="B1487" t="str">
            <v>I CARIBBEAN</v>
          </cell>
          <cell r="C1487" t="str">
            <v>D</v>
          </cell>
          <cell r="D1487" t="str">
            <v>N/A</v>
          </cell>
          <cell r="E1487" t="str">
            <v>PANAMA HAT EDGE BROWN DISCONTINUED</v>
          </cell>
          <cell r="F1487" t="str">
            <v>SOMBREROS</v>
          </cell>
          <cell r="H1487" t="str">
            <v>PANAMA HAT</v>
          </cell>
          <cell r="I1487">
            <v>35</v>
          </cell>
        </row>
        <row r="1488">
          <cell r="A1488" t="str">
            <v>19-01487</v>
          </cell>
          <cell r="B1488" t="str">
            <v>I CARIBBEAN</v>
          </cell>
          <cell r="C1488" t="str">
            <v>D</v>
          </cell>
          <cell r="D1488" t="str">
            <v>N/A</v>
          </cell>
          <cell r="E1488" t="str">
            <v>PANAMA HAT B&amp;W SHORT BRIM DISCONTINUED</v>
          </cell>
          <cell r="F1488" t="str">
            <v>SOMBREROS</v>
          </cell>
          <cell r="H1488" t="str">
            <v>PANAMA HAT</v>
          </cell>
          <cell r="I1488">
            <v>35</v>
          </cell>
        </row>
        <row r="1489">
          <cell r="A1489" t="str">
            <v>19-01488</v>
          </cell>
          <cell r="B1489" t="str">
            <v>I CARIBBEAN</v>
          </cell>
          <cell r="C1489" t="str">
            <v>A</v>
          </cell>
          <cell r="D1489" t="str">
            <v>N/A</v>
          </cell>
          <cell r="E1489" t="str">
            <v>PH04-1 PANAMA HAT WHITE SHORT BRIM</v>
          </cell>
          <cell r="F1489" t="str">
            <v>SOMBREROS</v>
          </cell>
          <cell r="G1489" t="str">
            <v>PH04-1</v>
          </cell>
          <cell r="H1489" t="str">
            <v>PANAMA HAT</v>
          </cell>
          <cell r="I1489">
            <v>35</v>
          </cell>
        </row>
        <row r="1490">
          <cell r="A1490" t="str">
            <v>19-01489</v>
          </cell>
          <cell r="B1490" t="str">
            <v>I CARIBBEAN</v>
          </cell>
          <cell r="C1490" t="str">
            <v>D</v>
          </cell>
          <cell r="D1490" t="str">
            <v>N/A</v>
          </cell>
          <cell r="E1490" t="str">
            <v>PANAMA HAT RED SHORT BRIM DISCONTINUED</v>
          </cell>
          <cell r="F1490" t="str">
            <v>SOMBREROS</v>
          </cell>
          <cell r="H1490" t="str">
            <v>PANAMA HAT</v>
          </cell>
          <cell r="I1490">
            <v>35</v>
          </cell>
        </row>
        <row r="1491">
          <cell r="A1491" t="str">
            <v>19-01490</v>
          </cell>
          <cell r="B1491" t="str">
            <v>I CARIBBEAN</v>
          </cell>
          <cell r="C1491" t="str">
            <v>D</v>
          </cell>
          <cell r="D1491" t="str">
            <v>N/A</v>
          </cell>
          <cell r="E1491" t="str">
            <v>PANAMA HAT PURPLE SHORT BRIM DISCONTINUED</v>
          </cell>
          <cell r="F1491" t="str">
            <v>SOMBREROS</v>
          </cell>
          <cell r="H1491" t="str">
            <v>PANAMA HAT</v>
          </cell>
          <cell r="I1491">
            <v>35</v>
          </cell>
        </row>
        <row r="1492">
          <cell r="A1492" t="str">
            <v>19-01491</v>
          </cell>
          <cell r="B1492" t="str">
            <v>I CARIBBEAN</v>
          </cell>
          <cell r="C1492" t="str">
            <v>D</v>
          </cell>
          <cell r="D1492" t="str">
            <v>N/A</v>
          </cell>
          <cell r="E1492" t="str">
            <v>PANAMA HAT OLIVE GREEN SHORT BRIM DISCONTINUED</v>
          </cell>
          <cell r="F1492" t="str">
            <v>SOMBREROS</v>
          </cell>
          <cell r="H1492" t="str">
            <v>PANAMA HAT</v>
          </cell>
          <cell r="I1492">
            <v>35</v>
          </cell>
        </row>
        <row r="1493">
          <cell r="A1493" t="str">
            <v>19-01492</v>
          </cell>
          <cell r="B1493" t="str">
            <v>I CARIBBEAN</v>
          </cell>
          <cell r="C1493" t="str">
            <v>A</v>
          </cell>
          <cell r="D1493" t="str">
            <v>N/A</v>
          </cell>
          <cell r="E1493" t="str">
            <v>PANAMA HAT CLASSIC BROWN STRAW</v>
          </cell>
          <cell r="F1493" t="str">
            <v>SOMBREROS</v>
          </cell>
          <cell r="H1493" t="str">
            <v>PANAMA HAT</v>
          </cell>
          <cell r="I1493">
            <v>35</v>
          </cell>
        </row>
        <row r="1494">
          <cell r="A1494" t="str">
            <v>19-01493</v>
          </cell>
          <cell r="B1494" t="str">
            <v>I CARIBBEAN</v>
          </cell>
          <cell r="C1494" t="str">
            <v>D</v>
          </cell>
          <cell r="D1494" t="str">
            <v>N/A</v>
          </cell>
          <cell r="E1494" t="str">
            <v>PANAMA HAT CLASSIC BLUE STRAW DISCONTINUED</v>
          </cell>
          <cell r="F1494" t="str">
            <v>SOMBREROS</v>
          </cell>
          <cell r="H1494" t="str">
            <v>PANAMA HAT</v>
          </cell>
          <cell r="I1494">
            <v>35</v>
          </cell>
        </row>
        <row r="1495">
          <cell r="A1495" t="str">
            <v>19-01494</v>
          </cell>
          <cell r="B1495" t="str">
            <v>I CARIBBEAN</v>
          </cell>
          <cell r="C1495" t="str">
            <v>D</v>
          </cell>
          <cell r="D1495" t="str">
            <v>N/A</v>
          </cell>
          <cell r="E1495" t="str">
            <v>PANAMA HAT CLASSIC BLACK STRAW DISCONTINUED</v>
          </cell>
          <cell r="F1495" t="str">
            <v>SOMBREROS</v>
          </cell>
          <cell r="H1495" t="str">
            <v>PANAMA HAT</v>
          </cell>
          <cell r="I1495">
            <v>35</v>
          </cell>
        </row>
        <row r="1496">
          <cell r="A1496" t="str">
            <v>19-01495</v>
          </cell>
          <cell r="B1496" t="str">
            <v>I CARIBBEAN</v>
          </cell>
          <cell r="C1496" t="str">
            <v>D</v>
          </cell>
          <cell r="D1496" t="str">
            <v>N/A</v>
          </cell>
          <cell r="E1496" t="str">
            <v>PANAMA HAT COCO NATURAL STRAW BLACK LABEL DISCONTINUED</v>
          </cell>
          <cell r="F1496" t="str">
            <v>SOMBREROS</v>
          </cell>
          <cell r="H1496" t="str">
            <v>PANAMA HAT</v>
          </cell>
          <cell r="I1496">
            <v>38</v>
          </cell>
        </row>
        <row r="1497">
          <cell r="A1497" t="str">
            <v>19-01496</v>
          </cell>
          <cell r="B1497" t="str">
            <v>I CARIBBEAN</v>
          </cell>
          <cell r="C1497" t="str">
            <v>D</v>
          </cell>
          <cell r="D1497" t="str">
            <v>N/A</v>
          </cell>
          <cell r="E1497" t="str">
            <v>PANAMA HAT COCO WHITE STRAW BLACK LABEL DISCONTINUED</v>
          </cell>
          <cell r="F1497" t="str">
            <v>SOMBREROS</v>
          </cell>
          <cell r="H1497" t="str">
            <v>PANAMA HAT</v>
          </cell>
          <cell r="I1497">
            <v>38</v>
          </cell>
        </row>
        <row r="1498">
          <cell r="A1498" t="str">
            <v>19-01497</v>
          </cell>
          <cell r="B1498" t="str">
            <v>I CARIBBEAN</v>
          </cell>
          <cell r="C1498" t="str">
            <v>A</v>
          </cell>
          <cell r="D1498" t="str">
            <v>N/A</v>
          </cell>
          <cell r="E1498" t="str">
            <v>PH07 PANAMA HAT VISORS</v>
          </cell>
          <cell r="F1498" t="str">
            <v>SOMBREROS</v>
          </cell>
          <cell r="G1498" t="str">
            <v>PH07</v>
          </cell>
          <cell r="H1498" t="str">
            <v>PANAMA HAT</v>
          </cell>
          <cell r="I1498">
            <v>35</v>
          </cell>
        </row>
        <row r="1499">
          <cell r="A1499" t="str">
            <v>19-01498</v>
          </cell>
          <cell r="B1499" t="str">
            <v>I CARIBBEAN</v>
          </cell>
          <cell r="C1499" t="str">
            <v>D</v>
          </cell>
          <cell r="D1499" t="str">
            <v>N/A</v>
          </cell>
          <cell r="E1499" t="str">
            <v>PANAMA HAT COCO NATURAL STRAW BROWN LABEL DISCONTINUED</v>
          </cell>
          <cell r="F1499" t="str">
            <v>SOMBREROS</v>
          </cell>
          <cell r="H1499" t="str">
            <v>PANAMA HAT</v>
          </cell>
          <cell r="I1499">
            <v>38</v>
          </cell>
        </row>
        <row r="1500">
          <cell r="A1500" t="str">
            <v>19-01499</v>
          </cell>
          <cell r="B1500" t="str">
            <v>I CARIBBEAN</v>
          </cell>
          <cell r="C1500" t="str">
            <v>D</v>
          </cell>
          <cell r="D1500" t="str">
            <v>N/A</v>
          </cell>
          <cell r="E1500" t="str">
            <v>PANAMA HAT COCO WHITE STRAW BROWN LABEL DISCONTINUED</v>
          </cell>
          <cell r="F1500" t="str">
            <v>SOMBREROS</v>
          </cell>
          <cell r="H1500" t="str">
            <v>PANAMA HAT</v>
          </cell>
          <cell r="I1500">
            <v>38</v>
          </cell>
        </row>
        <row r="1501">
          <cell r="A1501" t="str">
            <v>19-01500</v>
          </cell>
          <cell r="B1501" t="str">
            <v>I CARIBBEAN</v>
          </cell>
          <cell r="C1501" t="str">
            <v>D</v>
          </cell>
          <cell r="D1501" t="str">
            <v>N/A</v>
          </cell>
          <cell r="E1501" t="str">
            <v>PANAMA HAT COCO B&amp;W STRAW DISCONTINUED</v>
          </cell>
          <cell r="F1501" t="str">
            <v>SOMBREROS</v>
          </cell>
          <cell r="H1501" t="str">
            <v>PANAMA HAT</v>
          </cell>
          <cell r="I1501">
            <v>65</v>
          </cell>
        </row>
        <row r="1502">
          <cell r="A1502" t="str">
            <v>19-01501</v>
          </cell>
          <cell r="B1502" t="str">
            <v>I CARIBBEAN</v>
          </cell>
          <cell r="C1502" t="str">
            <v>D</v>
          </cell>
          <cell r="D1502" t="str">
            <v>N/A</v>
          </cell>
          <cell r="E1502" t="str">
            <v>PANAMA HAT BOLSAS PARA SOMBREROS DISCONTINUED</v>
          </cell>
          <cell r="F1502" t="str">
            <v>SOMBREROS</v>
          </cell>
          <cell r="H1502" t="str">
            <v>PANAMA HAT</v>
          </cell>
          <cell r="I1502">
            <v>1.5</v>
          </cell>
        </row>
        <row r="1503">
          <cell r="A1503" t="str">
            <v>19-01502</v>
          </cell>
          <cell r="B1503" t="str">
            <v>GLOBAL INVESTMENTS</v>
          </cell>
          <cell r="C1503" t="str">
            <v>D</v>
          </cell>
          <cell r="D1503" t="str">
            <v>N/A</v>
          </cell>
          <cell r="E1503" t="str">
            <v>A40500 AG ACCELERATOR SPRAY GEL  4.22oz DISCONTINUED</v>
          </cell>
          <cell r="F1503" t="str">
            <v>SUN BLOCK</v>
          </cell>
          <cell r="G1503" t="str">
            <v>A40500</v>
          </cell>
          <cell r="H1503" t="str">
            <v>AUSTRALIAN GOLD</v>
          </cell>
          <cell r="I1503">
            <v>3.8</v>
          </cell>
        </row>
        <row r="1504">
          <cell r="A1504" t="str">
            <v>19-01503</v>
          </cell>
          <cell r="B1504" t="str">
            <v>TDL</v>
          </cell>
          <cell r="C1504" t="str">
            <v>D</v>
          </cell>
          <cell r="D1504" t="str">
            <v>N/A</v>
          </cell>
          <cell r="E1504" t="str">
            <v>A40521 AG SPF 6 SPRAY GEL  4.22oz DISCONTINUED</v>
          </cell>
          <cell r="F1504" t="str">
            <v>SUN BLOCK</v>
          </cell>
          <cell r="G1504" t="str">
            <v>A40521</v>
          </cell>
          <cell r="H1504" t="str">
            <v>AUSTRALIAN GOLD</v>
          </cell>
          <cell r="I1504">
            <v>4.3</v>
          </cell>
        </row>
        <row r="1505">
          <cell r="A1505" t="str">
            <v>19-01504</v>
          </cell>
          <cell r="B1505" t="str">
            <v>TDL</v>
          </cell>
          <cell r="C1505" t="str">
            <v>D</v>
          </cell>
          <cell r="D1505" t="str">
            <v>N/A</v>
          </cell>
          <cell r="E1505" t="str">
            <v>A40523 AG SPF 15 XTREME SPORT  4.22oz DISCONTINUED</v>
          </cell>
          <cell r="F1505" t="str">
            <v>SUN BLOCK</v>
          </cell>
          <cell r="G1505" t="str">
            <v>A40523</v>
          </cell>
          <cell r="H1505" t="str">
            <v>AUSTRALIAN GOLD</v>
          </cell>
          <cell r="I1505">
            <v>6</v>
          </cell>
        </row>
        <row r="1506">
          <cell r="A1506" t="str">
            <v>19-01505</v>
          </cell>
          <cell r="B1506" t="str">
            <v>GLOBAL INVESTMENTS</v>
          </cell>
          <cell r="C1506" t="str">
            <v>D</v>
          </cell>
          <cell r="D1506" t="str">
            <v>N/A</v>
          </cell>
          <cell r="E1506" t="str">
            <v>A40525 AG SPF 15 SPRAY GEL  4.22oz DISCONTINUED</v>
          </cell>
          <cell r="F1506" t="str">
            <v>SUN BLOCK</v>
          </cell>
          <cell r="G1506" t="str">
            <v>A40525</v>
          </cell>
          <cell r="H1506" t="str">
            <v>AUSTRALIAN GOLD</v>
          </cell>
          <cell r="I1506">
            <v>4.5</v>
          </cell>
        </row>
        <row r="1507">
          <cell r="A1507" t="str">
            <v>19-01506</v>
          </cell>
          <cell r="B1507" t="str">
            <v>GLOBAL INVESTMENTS</v>
          </cell>
          <cell r="C1507" t="str">
            <v>D</v>
          </cell>
          <cell r="D1507" t="str">
            <v>N/A</v>
          </cell>
          <cell r="E1507" t="str">
            <v>A40527 AG SPF 30 SPRAY GEL  4.22oz DISCONTINUED</v>
          </cell>
          <cell r="F1507" t="str">
            <v>SUN BLOCK</v>
          </cell>
          <cell r="G1507" t="str">
            <v>A40527</v>
          </cell>
          <cell r="H1507" t="str">
            <v>AUSTRALIAN GOLD</v>
          </cell>
          <cell r="I1507">
            <v>4.5</v>
          </cell>
        </row>
        <row r="1508">
          <cell r="A1508" t="str">
            <v>19-01507</v>
          </cell>
          <cell r="B1508" t="str">
            <v>GLOBAL INVESTMENTS</v>
          </cell>
          <cell r="C1508" t="str">
            <v>D</v>
          </cell>
          <cell r="D1508" t="str">
            <v>N/A</v>
          </cell>
          <cell r="E1508" t="str">
            <v>A40529 AG SPF 50 LOTION 4.22oz DISCONTINUED</v>
          </cell>
          <cell r="F1508" t="str">
            <v>SUN BLOCK</v>
          </cell>
          <cell r="G1508" t="str">
            <v>A40529</v>
          </cell>
          <cell r="H1508" t="str">
            <v>AUSTRALIAN GOLD</v>
          </cell>
          <cell r="I1508">
            <v>4.7</v>
          </cell>
        </row>
        <row r="1509">
          <cell r="A1509" t="str">
            <v>19-01508</v>
          </cell>
          <cell r="B1509" t="str">
            <v>TDL</v>
          </cell>
          <cell r="C1509" t="str">
            <v>A</v>
          </cell>
          <cell r="D1509" t="str">
            <v>N/A</v>
          </cell>
          <cell r="E1509" t="str">
            <v>A70006 AG ACCELERATOR LOTION W/BRONZER 8oz</v>
          </cell>
          <cell r="F1509" t="str">
            <v>SUN BLOCK</v>
          </cell>
          <cell r="G1509" t="str">
            <v>A70006</v>
          </cell>
          <cell r="H1509" t="str">
            <v>AUSTRALIAN GOLD</v>
          </cell>
          <cell r="I1509">
            <v>4.28</v>
          </cell>
        </row>
        <row r="1510">
          <cell r="A1510" t="str">
            <v>19-01509</v>
          </cell>
          <cell r="B1510" t="str">
            <v>TDL</v>
          </cell>
          <cell r="C1510" t="str">
            <v>A</v>
          </cell>
          <cell r="D1510" t="str">
            <v>N/A</v>
          </cell>
          <cell r="E1510" t="str">
            <v>A70011 AG ALOE FREEZE GEL W/LIDOCAINE 8oz</v>
          </cell>
          <cell r="F1510" t="str">
            <v>SUN BLOCK</v>
          </cell>
          <cell r="G1510" t="str">
            <v>A70011</v>
          </cell>
          <cell r="H1510" t="str">
            <v>AUSTRALIAN GOLD</v>
          </cell>
          <cell r="I1510">
            <v>4.03</v>
          </cell>
        </row>
        <row r="1511">
          <cell r="A1511" t="str">
            <v>19-01510</v>
          </cell>
          <cell r="B1511" t="str">
            <v>TDL</v>
          </cell>
          <cell r="C1511" t="str">
            <v>A</v>
          </cell>
          <cell r="D1511" t="str">
            <v>N/A</v>
          </cell>
          <cell r="E1511" t="str">
            <v>A70014 AG MOISTURE LOCK LOTION 8oz</v>
          </cell>
          <cell r="F1511" t="str">
            <v>SUN BLOCK</v>
          </cell>
          <cell r="G1511" t="str">
            <v>A70014</v>
          </cell>
          <cell r="H1511" t="str">
            <v>AUSTRALIAN GOLD</v>
          </cell>
          <cell r="I1511">
            <v>4.54</v>
          </cell>
        </row>
        <row r="1512">
          <cell r="A1512" t="str">
            <v>19-01511</v>
          </cell>
          <cell r="B1512" t="str">
            <v>TDL</v>
          </cell>
          <cell r="C1512" t="str">
            <v>A</v>
          </cell>
          <cell r="D1512" t="str">
            <v>N/A</v>
          </cell>
          <cell r="E1512" t="str">
            <v>A70034 AG SPF 50+ FACE GUARD Sunscreen Stick  0.5oz</v>
          </cell>
          <cell r="F1512" t="str">
            <v>SUN BLOCK</v>
          </cell>
          <cell r="G1512" t="str">
            <v>A70034</v>
          </cell>
          <cell r="H1512" t="str">
            <v>AUSTRALIAN GOLD</v>
          </cell>
          <cell r="I1512">
            <v>3.35</v>
          </cell>
        </row>
        <row r="1513">
          <cell r="A1513" t="str">
            <v>19-01512</v>
          </cell>
          <cell r="B1513" t="str">
            <v>TDL</v>
          </cell>
          <cell r="C1513" t="str">
            <v>A</v>
          </cell>
          <cell r="D1513" t="str">
            <v>N/A</v>
          </cell>
          <cell r="E1513" t="str">
            <v>A70036 AG SPF 30 LIP BALM  0.15oz</v>
          </cell>
          <cell r="F1513" t="str">
            <v>SUN BLOCK</v>
          </cell>
          <cell r="G1513" t="str">
            <v>A70036</v>
          </cell>
          <cell r="H1513" t="str">
            <v>AUSTRALIAN GOLD</v>
          </cell>
          <cell r="I1513">
            <v>1.53</v>
          </cell>
        </row>
        <row r="1514">
          <cell r="A1514" t="str">
            <v>19-01513</v>
          </cell>
          <cell r="B1514" t="str">
            <v>GLOBAL INVESTMENTS</v>
          </cell>
          <cell r="C1514" t="str">
            <v>D</v>
          </cell>
          <cell r="D1514" t="str">
            <v>N/A</v>
          </cell>
          <cell r="E1514" t="str">
            <v>A70510 AG SPF 8 LOTION 8oz</v>
          </cell>
          <cell r="F1514" t="str">
            <v>SUN BLOCK</v>
          </cell>
          <cell r="G1514" t="str">
            <v>A70510</v>
          </cell>
          <cell r="H1514" t="str">
            <v>AUSTRALIAN GOLD</v>
          </cell>
          <cell r="I1514">
            <v>5.25</v>
          </cell>
        </row>
        <row r="1515">
          <cell r="A1515" t="str">
            <v>19-01514</v>
          </cell>
          <cell r="B1515" t="str">
            <v>TDL</v>
          </cell>
          <cell r="C1515" t="str">
            <v>A</v>
          </cell>
          <cell r="D1515" t="str">
            <v>N/A</v>
          </cell>
          <cell r="E1515" t="str">
            <v>A70521 AG SPF 15 LOTION 8oz</v>
          </cell>
          <cell r="F1515" t="str">
            <v>SUN BLOCK</v>
          </cell>
          <cell r="G1515" t="str">
            <v>A70521</v>
          </cell>
          <cell r="H1515" t="str">
            <v>AUSTRALIAN GOLD</v>
          </cell>
          <cell r="I1515">
            <v>4.7300000000000004</v>
          </cell>
        </row>
        <row r="1516">
          <cell r="A1516" t="str">
            <v>19-01515</v>
          </cell>
          <cell r="B1516" t="str">
            <v>TDL</v>
          </cell>
          <cell r="C1516" t="str">
            <v>A</v>
          </cell>
          <cell r="D1516" t="str">
            <v>N/A</v>
          </cell>
          <cell r="E1516" t="str">
            <v>A70522 AG SPF 15 SPRAY GEL 8oz</v>
          </cell>
          <cell r="F1516" t="str">
            <v>SUN BLOCK</v>
          </cell>
          <cell r="G1516" t="str">
            <v>A70522</v>
          </cell>
          <cell r="H1516" t="str">
            <v>AUSTRALIAN GOLD</v>
          </cell>
          <cell r="I1516">
            <v>4.42</v>
          </cell>
        </row>
        <row r="1517">
          <cell r="A1517" t="str">
            <v>19-01516</v>
          </cell>
          <cell r="B1517" t="str">
            <v>TDL</v>
          </cell>
          <cell r="C1517" t="str">
            <v>A</v>
          </cell>
          <cell r="D1517" t="str">
            <v>N/A</v>
          </cell>
          <cell r="E1517" t="str">
            <v>A70524 AG SPF 15 SPRAY GEL W/BRONZER  8oz</v>
          </cell>
          <cell r="F1517" t="str">
            <v>SUN BLOCK</v>
          </cell>
          <cell r="G1517" t="str">
            <v>A70524</v>
          </cell>
          <cell r="H1517" t="str">
            <v>AUSTRALIAN GOLD</v>
          </cell>
          <cell r="I1517">
            <v>5.0199999999999996</v>
          </cell>
        </row>
        <row r="1518">
          <cell r="A1518" t="str">
            <v>19-01517</v>
          </cell>
          <cell r="B1518" t="str">
            <v>TDL</v>
          </cell>
          <cell r="C1518" t="str">
            <v>A</v>
          </cell>
          <cell r="D1518" t="str">
            <v>N/A</v>
          </cell>
          <cell r="E1518" t="str">
            <v>A70534 AG SPF 30 SPRAY GEL 8oz</v>
          </cell>
          <cell r="F1518" t="str">
            <v>SUN BLOCK</v>
          </cell>
          <cell r="G1518" t="str">
            <v>A70534</v>
          </cell>
          <cell r="H1518" t="str">
            <v>AUSTRALIAN GOLD</v>
          </cell>
          <cell r="I1518">
            <v>5.0199999999999996</v>
          </cell>
        </row>
        <row r="1519">
          <cell r="A1519" t="str">
            <v>19-01518</v>
          </cell>
          <cell r="B1519" t="str">
            <v>TDL</v>
          </cell>
          <cell r="C1519" t="str">
            <v>A</v>
          </cell>
          <cell r="D1519" t="str">
            <v>N/A</v>
          </cell>
          <cell r="E1519" t="str">
            <v>A70535 AG SPF 30 LOTION 8oz</v>
          </cell>
          <cell r="F1519" t="str">
            <v>SUN BLOCK</v>
          </cell>
          <cell r="G1519" t="str">
            <v>A70535</v>
          </cell>
          <cell r="H1519" t="str">
            <v>AUSTRALIAN GOLD</v>
          </cell>
          <cell r="I1519">
            <v>5.21</v>
          </cell>
        </row>
        <row r="1520">
          <cell r="A1520" t="str">
            <v>19-01519</v>
          </cell>
          <cell r="B1520" t="str">
            <v>TDL</v>
          </cell>
          <cell r="C1520" t="str">
            <v>A</v>
          </cell>
          <cell r="D1520" t="str">
            <v>N/A</v>
          </cell>
          <cell r="E1520" t="str">
            <v>A70536 AG SPF 30 SPRAY GEL W/BRONZER  8oz</v>
          </cell>
          <cell r="F1520" t="str">
            <v>SUN BLOCK</v>
          </cell>
          <cell r="G1520" t="str">
            <v>A70536</v>
          </cell>
          <cell r="H1520" t="str">
            <v>AUSTRALIAN GOLD</v>
          </cell>
          <cell r="I1520">
            <v>5.23</v>
          </cell>
        </row>
        <row r="1521">
          <cell r="A1521" t="str">
            <v>19-01520</v>
          </cell>
          <cell r="B1521" t="str">
            <v>TDL</v>
          </cell>
          <cell r="C1521" t="str">
            <v>A</v>
          </cell>
          <cell r="D1521" t="str">
            <v>N/A</v>
          </cell>
          <cell r="E1521" t="str">
            <v>A70538 AG SPF 30 XTREME SPORT LOTION 8oz</v>
          </cell>
          <cell r="F1521" t="str">
            <v>SUN BLOCK</v>
          </cell>
          <cell r="G1521" t="str">
            <v>A70538</v>
          </cell>
          <cell r="H1521" t="str">
            <v>AUSTRALIAN GOLD</v>
          </cell>
          <cell r="I1521">
            <v>5.0199999999999996</v>
          </cell>
        </row>
        <row r="1522">
          <cell r="A1522" t="str">
            <v>19-01521</v>
          </cell>
          <cell r="B1522" t="str">
            <v>TDL</v>
          </cell>
          <cell r="C1522" t="str">
            <v>A</v>
          </cell>
          <cell r="D1522" t="str">
            <v>N/A</v>
          </cell>
          <cell r="E1522" t="str">
            <v>A70540 AG SPF 50 LOTION 8OZ</v>
          </cell>
          <cell r="F1522" t="str">
            <v>SUN BLOCK</v>
          </cell>
          <cell r="G1522" t="str">
            <v>A70540</v>
          </cell>
          <cell r="H1522" t="str">
            <v>AUSTRALIAN GOLD</v>
          </cell>
          <cell r="I1522">
            <v>5.55</v>
          </cell>
        </row>
        <row r="1523">
          <cell r="A1523" t="str">
            <v>19-01522</v>
          </cell>
          <cell r="B1523" t="str">
            <v>TDL</v>
          </cell>
          <cell r="C1523" t="str">
            <v>A</v>
          </cell>
          <cell r="D1523" t="str">
            <v>N/A</v>
          </cell>
          <cell r="E1523" t="str">
            <v>A70623 AG SOOTHING ALOE - ALOE VERA GEL NEW  8oz</v>
          </cell>
          <cell r="F1523" t="str">
            <v>SUN BLOCK</v>
          </cell>
          <cell r="G1523" t="str">
            <v>A70623</v>
          </cell>
          <cell r="H1523" t="str">
            <v>AUSTRALIAN GOLD</v>
          </cell>
          <cell r="I1523">
            <v>3.34</v>
          </cell>
        </row>
        <row r="1524">
          <cell r="A1524" t="str">
            <v>19-01523</v>
          </cell>
          <cell r="B1524" t="str">
            <v>ORKHON GROUP</v>
          </cell>
          <cell r="C1524" t="str">
            <v>A</v>
          </cell>
          <cell r="D1524" t="str">
            <v>N/A</v>
          </cell>
          <cell r="E1524" t="str">
            <v>38546/BX-783 ALTAMAR SOMBRERO</v>
          </cell>
          <cell r="F1524" t="str">
            <v>SOMBRERO</v>
          </cell>
          <cell r="G1524">
            <v>38546</v>
          </cell>
          <cell r="H1524" t="str">
            <v>ALTAMAR</v>
          </cell>
          <cell r="I1524">
            <v>0</v>
          </cell>
        </row>
        <row r="1525">
          <cell r="A1525" t="str">
            <v>19-01524</v>
          </cell>
          <cell r="B1525" t="str">
            <v>ORKHON GROUP</v>
          </cell>
          <cell r="C1525" t="str">
            <v>A</v>
          </cell>
          <cell r="D1525" t="str">
            <v>N/A</v>
          </cell>
          <cell r="E1525" t="str">
            <v>38546/BX-842 ALTAMAR SOMBRERO</v>
          </cell>
          <cell r="F1525" t="str">
            <v>SOMBRERO</v>
          </cell>
          <cell r="G1525">
            <v>38546</v>
          </cell>
          <cell r="H1525" t="str">
            <v>ALTAMAR</v>
          </cell>
          <cell r="I1525">
            <v>0</v>
          </cell>
        </row>
        <row r="1526">
          <cell r="A1526" t="str">
            <v>19-01525</v>
          </cell>
          <cell r="B1526" t="str">
            <v>ORKHON GROUP</v>
          </cell>
          <cell r="C1526" t="str">
            <v>A</v>
          </cell>
          <cell r="D1526" t="str">
            <v>N/A</v>
          </cell>
          <cell r="E1526" t="str">
            <v>38546/BX-1003 ALTAMAR SOMBRERO</v>
          </cell>
          <cell r="F1526" t="str">
            <v>SOMBRERO</v>
          </cell>
          <cell r="G1526">
            <v>38546</v>
          </cell>
          <cell r="H1526" t="str">
            <v>ALTAMAR</v>
          </cell>
          <cell r="I1526">
            <v>0</v>
          </cell>
        </row>
        <row r="1527">
          <cell r="A1527" t="str">
            <v>19-01526</v>
          </cell>
          <cell r="B1527" t="str">
            <v>ORKHON GROUP</v>
          </cell>
          <cell r="C1527" t="str">
            <v>A</v>
          </cell>
          <cell r="D1527" t="str">
            <v>N/A</v>
          </cell>
          <cell r="E1527" t="str">
            <v>38774/05-1207 ALTAMAR SOMBRERO</v>
          </cell>
          <cell r="F1527" t="str">
            <v>SOMBRERO</v>
          </cell>
          <cell r="G1527">
            <v>38774</v>
          </cell>
          <cell r="H1527" t="str">
            <v>ALTAMAR</v>
          </cell>
          <cell r="I1527">
            <v>0</v>
          </cell>
        </row>
        <row r="1528">
          <cell r="A1528" t="str">
            <v>19-01527</v>
          </cell>
          <cell r="B1528" t="str">
            <v>ORKHON GROUP</v>
          </cell>
          <cell r="C1528" t="str">
            <v>A</v>
          </cell>
          <cell r="D1528" t="str">
            <v>N/A</v>
          </cell>
          <cell r="E1528" t="str">
            <v>38774/06-1207 ALTAMAR SOMBRERO</v>
          </cell>
          <cell r="F1528" t="str">
            <v>SOMBRERO</v>
          </cell>
          <cell r="G1528">
            <v>38774</v>
          </cell>
          <cell r="H1528" t="str">
            <v>ALTAMAR</v>
          </cell>
          <cell r="I1528">
            <v>0</v>
          </cell>
        </row>
        <row r="1529">
          <cell r="A1529" t="str">
            <v>19-01528</v>
          </cell>
          <cell r="B1529" t="str">
            <v>FOSTER</v>
          </cell>
          <cell r="C1529" t="str">
            <v>A</v>
          </cell>
          <cell r="D1529" t="str">
            <v>NO</v>
          </cell>
          <cell r="E1529" t="str">
            <v>17276 FOSTER TITERES DE PELUCHE C/ CAJA MICKEY</v>
          </cell>
          <cell r="F1529" t="str">
            <v>PELUCHE</v>
          </cell>
          <cell r="G1529">
            <v>17276</v>
          </cell>
          <cell r="H1529" t="str">
            <v>FOSTER</v>
          </cell>
          <cell r="I1529">
            <v>5.4</v>
          </cell>
        </row>
        <row r="1530">
          <cell r="A1530" t="str">
            <v>19-01529</v>
          </cell>
          <cell r="B1530" t="str">
            <v>FOSTER</v>
          </cell>
          <cell r="C1530" t="str">
            <v>A</v>
          </cell>
          <cell r="D1530" t="str">
            <v>NO</v>
          </cell>
          <cell r="E1530" t="str">
            <v>17277 FOSTER TITERES DE PELUCHE C/ CAJA MINNIE</v>
          </cell>
          <cell r="F1530" t="str">
            <v>PELUCHE</v>
          </cell>
          <cell r="G1530">
            <v>17277</v>
          </cell>
          <cell r="H1530" t="str">
            <v>FOSTER</v>
          </cell>
          <cell r="I1530">
            <v>5.4</v>
          </cell>
        </row>
        <row r="1531">
          <cell r="A1531" t="str">
            <v>19-01530</v>
          </cell>
          <cell r="B1531" t="str">
            <v>FOSTER</v>
          </cell>
          <cell r="C1531" t="str">
            <v>A</v>
          </cell>
          <cell r="D1531" t="str">
            <v>NO</v>
          </cell>
          <cell r="E1531" t="str">
            <v>17278 FOSTER TITERES DE PELUCHE C/ CAJA PLUTO</v>
          </cell>
          <cell r="F1531" t="str">
            <v>PELUCHE</v>
          </cell>
          <cell r="G1531">
            <v>17278</v>
          </cell>
          <cell r="H1531" t="str">
            <v>FOSTER</v>
          </cell>
          <cell r="I1531">
            <v>5.4</v>
          </cell>
        </row>
        <row r="1532">
          <cell r="A1532" t="str">
            <v>19-01531</v>
          </cell>
          <cell r="B1532" t="str">
            <v>FOSTER</v>
          </cell>
          <cell r="C1532" t="str">
            <v>A</v>
          </cell>
          <cell r="D1532" t="str">
            <v>NO</v>
          </cell>
          <cell r="E1532" t="str">
            <v>17279 FOSTER TITERES DE PELUCHE C/ CAJA DONALD</v>
          </cell>
          <cell r="F1532" t="str">
            <v>PELUCHE</v>
          </cell>
          <cell r="G1532">
            <v>17279</v>
          </cell>
          <cell r="H1532" t="str">
            <v>FOSTER</v>
          </cell>
          <cell r="I1532">
            <v>5.4</v>
          </cell>
        </row>
        <row r="1533">
          <cell r="A1533" t="str">
            <v>19-01532</v>
          </cell>
          <cell r="B1533" t="str">
            <v>FOSTER</v>
          </cell>
          <cell r="C1533" t="str">
            <v>A</v>
          </cell>
          <cell r="D1533" t="str">
            <v>NO</v>
          </cell>
          <cell r="E1533" t="str">
            <v>17280 FOSTER TITERES DE PELUCHE C/ CAJA DAISY</v>
          </cell>
          <cell r="F1533" t="str">
            <v>PELUCHE</v>
          </cell>
          <cell r="G1533">
            <v>17280</v>
          </cell>
          <cell r="H1533" t="str">
            <v>FOSTER</v>
          </cell>
          <cell r="I1533">
            <v>5.4</v>
          </cell>
        </row>
        <row r="1534">
          <cell r="A1534" t="str">
            <v>19-01533</v>
          </cell>
          <cell r="B1534" t="str">
            <v>FOSTER</v>
          </cell>
          <cell r="C1534" t="str">
            <v>A</v>
          </cell>
          <cell r="D1534" t="str">
            <v>NO</v>
          </cell>
          <cell r="E1534" t="str">
            <v>PDP1200498 FOSTER PELUCHE 10'' C/ CAJA AURORA</v>
          </cell>
          <cell r="F1534" t="str">
            <v>PELUCHE</v>
          </cell>
          <cell r="G1534" t="str">
            <v>PDP1200498</v>
          </cell>
          <cell r="H1534" t="str">
            <v>FOSTER</v>
          </cell>
          <cell r="I1534">
            <v>8.5</v>
          </cell>
        </row>
        <row r="1535">
          <cell r="A1535" t="str">
            <v>19-01534</v>
          </cell>
          <cell r="B1535" t="str">
            <v>FOSTER</v>
          </cell>
          <cell r="C1535" t="str">
            <v>A</v>
          </cell>
          <cell r="D1535" t="str">
            <v>NO</v>
          </cell>
          <cell r="E1535" t="str">
            <v>PDP1200499 FOSTER PELUCHE 10'' C/ CAJA CINDIRELLA</v>
          </cell>
          <cell r="F1535" t="str">
            <v>PELUCHE</v>
          </cell>
          <cell r="G1535" t="str">
            <v>PDP1200499</v>
          </cell>
          <cell r="H1535" t="str">
            <v>FOSTER</v>
          </cell>
          <cell r="I1535">
            <v>8.5</v>
          </cell>
        </row>
        <row r="1536">
          <cell r="A1536" t="str">
            <v>19-01535</v>
          </cell>
          <cell r="B1536" t="str">
            <v>FOSTER</v>
          </cell>
          <cell r="C1536" t="str">
            <v>A</v>
          </cell>
          <cell r="D1536" t="str">
            <v>NO</v>
          </cell>
          <cell r="E1536" t="str">
            <v>PDP1200500 FOSTER PELUCHE 10'' C/ CAJA BLANCA NIEVES</v>
          </cell>
          <cell r="F1536" t="str">
            <v>PELUCHE</v>
          </cell>
          <cell r="G1536" t="str">
            <v>PDP1200500</v>
          </cell>
          <cell r="H1536" t="str">
            <v>FOSTER</v>
          </cell>
          <cell r="I1536">
            <v>8.5</v>
          </cell>
        </row>
        <row r="1537">
          <cell r="A1537" t="str">
            <v>19-01536</v>
          </cell>
          <cell r="B1537" t="str">
            <v>FOSTER</v>
          </cell>
          <cell r="C1537" t="str">
            <v>A</v>
          </cell>
          <cell r="D1537" t="str">
            <v>NO</v>
          </cell>
          <cell r="E1537" t="str">
            <v>PDP1200501 FOSTER PELUCHE 10'' C/ CAJA BELLA</v>
          </cell>
          <cell r="F1537" t="str">
            <v>PELUCHE</v>
          </cell>
          <cell r="G1537" t="str">
            <v>PDP1200501</v>
          </cell>
          <cell r="H1537" t="str">
            <v>FOSTER</v>
          </cell>
          <cell r="I1537">
            <v>8.6</v>
          </cell>
        </row>
        <row r="1538">
          <cell r="A1538" t="str">
            <v>19-01537</v>
          </cell>
          <cell r="B1538" t="str">
            <v>FOSTER</v>
          </cell>
          <cell r="C1538" t="str">
            <v>A</v>
          </cell>
          <cell r="D1538" t="str">
            <v>NO</v>
          </cell>
          <cell r="E1538" t="str">
            <v>PDP1200502 FOSTER PELUCHE 10'' C/ CAJA ARIEL</v>
          </cell>
          <cell r="F1538" t="str">
            <v>PELUCHE</v>
          </cell>
          <cell r="G1538" t="str">
            <v>PDP1200502</v>
          </cell>
          <cell r="H1538" t="str">
            <v>FOSTER</v>
          </cell>
          <cell r="I1538">
            <v>8.5</v>
          </cell>
        </row>
        <row r="1539">
          <cell r="A1539" t="str">
            <v>19-01538</v>
          </cell>
          <cell r="B1539" t="str">
            <v>FOSTER</v>
          </cell>
          <cell r="C1539" t="str">
            <v>A</v>
          </cell>
          <cell r="D1539" t="str">
            <v>NO</v>
          </cell>
          <cell r="E1539" t="str">
            <v>PDP1200233 FOSTER PELUCHE 10'' C/ CAJA MIKE</v>
          </cell>
          <cell r="F1539" t="str">
            <v>PELUCHE</v>
          </cell>
          <cell r="G1539" t="str">
            <v>PDP1200233</v>
          </cell>
          <cell r="H1539" t="str">
            <v>FOSTER</v>
          </cell>
          <cell r="I1539">
            <v>0</v>
          </cell>
        </row>
        <row r="1540">
          <cell r="A1540" t="str">
            <v>19-01539</v>
          </cell>
          <cell r="B1540" t="str">
            <v>FOSTER</v>
          </cell>
          <cell r="C1540" t="str">
            <v>A</v>
          </cell>
          <cell r="D1540" t="str">
            <v>NO</v>
          </cell>
          <cell r="E1540" t="str">
            <v>PDP1200234 FOSTER PELUCHE 10'' C/ CAJA SULLEY</v>
          </cell>
          <cell r="F1540" t="str">
            <v>PELUCHE</v>
          </cell>
          <cell r="G1540" t="str">
            <v>PDP1200234</v>
          </cell>
          <cell r="H1540" t="str">
            <v>FOSTER</v>
          </cell>
          <cell r="I1540">
            <v>0</v>
          </cell>
        </row>
        <row r="1541">
          <cell r="A1541" t="str">
            <v>19-01540</v>
          </cell>
          <cell r="B1541" t="str">
            <v>FOSTER</v>
          </cell>
          <cell r="C1541" t="str">
            <v>A</v>
          </cell>
          <cell r="D1541" t="str">
            <v>NO</v>
          </cell>
          <cell r="E1541" t="str">
            <v>PDP1200235 FOSTER PELUCHE 10'' C/ CAJA DON</v>
          </cell>
          <cell r="F1541" t="str">
            <v>PELUCHE</v>
          </cell>
          <cell r="G1541" t="str">
            <v>PDP1200235</v>
          </cell>
          <cell r="H1541" t="str">
            <v>FOSTER</v>
          </cell>
          <cell r="I1541">
            <v>9.5</v>
          </cell>
        </row>
        <row r="1542">
          <cell r="A1542" t="str">
            <v>19-01541</v>
          </cell>
          <cell r="B1542" t="str">
            <v>FOSTER</v>
          </cell>
          <cell r="C1542" t="str">
            <v>A</v>
          </cell>
          <cell r="D1542" t="str">
            <v>NO</v>
          </cell>
          <cell r="E1542" t="str">
            <v>PDP1200236 FOSTER PELUCHE 10'' C/ CAJA SQUISHY</v>
          </cell>
          <cell r="F1542" t="str">
            <v>PELUCHE</v>
          </cell>
          <cell r="G1542" t="str">
            <v>PDP1200236</v>
          </cell>
          <cell r="H1542" t="str">
            <v>FOSTER</v>
          </cell>
          <cell r="I1542">
            <v>0</v>
          </cell>
        </row>
        <row r="1543">
          <cell r="A1543" t="str">
            <v>19-01542</v>
          </cell>
          <cell r="B1543" t="str">
            <v>FOSTER</v>
          </cell>
          <cell r="C1543" t="str">
            <v>A</v>
          </cell>
          <cell r="D1543" t="str">
            <v>NO</v>
          </cell>
          <cell r="E1543" t="str">
            <v>PDP1200237 FOSTER PELUCHE 10'' C/ CAJA TERRY &amp; TERI</v>
          </cell>
          <cell r="F1543" t="str">
            <v>PELUCHE</v>
          </cell>
          <cell r="G1543" t="str">
            <v>PDP1200237</v>
          </cell>
          <cell r="H1543" t="str">
            <v>FOSTER</v>
          </cell>
          <cell r="I1543">
            <v>9.5</v>
          </cell>
        </row>
        <row r="1544">
          <cell r="A1544" t="str">
            <v>19-01543</v>
          </cell>
          <cell r="B1544" t="str">
            <v>FOSTER</v>
          </cell>
          <cell r="C1544" t="str">
            <v>A</v>
          </cell>
          <cell r="D1544" t="str">
            <v>NO</v>
          </cell>
          <cell r="E1544" t="str">
            <v>PDP1200238 FOSTER PELUCHE 10'' C/ CAJA ART</v>
          </cell>
          <cell r="F1544" t="str">
            <v>PELUCHE</v>
          </cell>
          <cell r="G1544" t="str">
            <v>PDP1200238</v>
          </cell>
          <cell r="H1544" t="str">
            <v>FOSTER</v>
          </cell>
          <cell r="I1544">
            <v>9.5</v>
          </cell>
        </row>
        <row r="1545">
          <cell r="A1545" t="str">
            <v>19-01544</v>
          </cell>
          <cell r="B1545" t="str">
            <v>FOSTER</v>
          </cell>
          <cell r="C1545" t="str">
            <v>A</v>
          </cell>
          <cell r="D1545" t="str">
            <v>NO</v>
          </cell>
          <cell r="E1545" t="str">
            <v>PDP1200239 FOSTER PELUCHE 10'' C/ CAJA RANDY</v>
          </cell>
          <cell r="F1545" t="str">
            <v>PELUCHE</v>
          </cell>
          <cell r="G1545" t="str">
            <v>PDP1200239</v>
          </cell>
          <cell r="H1545" t="str">
            <v>FOSTER</v>
          </cell>
          <cell r="I1545">
            <v>9.5</v>
          </cell>
        </row>
        <row r="1546">
          <cell r="A1546" t="str">
            <v>19-01545</v>
          </cell>
          <cell r="B1546" t="str">
            <v>ORKHON GROUP</v>
          </cell>
          <cell r="C1546" t="str">
            <v>A</v>
          </cell>
          <cell r="D1546" t="str">
            <v>N/A</v>
          </cell>
          <cell r="E1546" t="str">
            <v>C1303-991 ALTAMAR COSMETIQUERA</v>
          </cell>
          <cell r="F1546" t="str">
            <v>SOMBRERO</v>
          </cell>
          <cell r="G1546" t="str">
            <v>C1303-991</v>
          </cell>
          <cell r="H1546" t="str">
            <v>ALTAMAR</v>
          </cell>
          <cell r="I1546">
            <v>10</v>
          </cell>
        </row>
        <row r="1547">
          <cell r="A1547" t="str">
            <v>19-01546</v>
          </cell>
          <cell r="B1547" t="str">
            <v>ORKHON GROUP</v>
          </cell>
          <cell r="C1547" t="str">
            <v>A</v>
          </cell>
          <cell r="D1547" t="str">
            <v>N/A</v>
          </cell>
          <cell r="E1547" t="str">
            <v>38774/Y1303-01 ALTAMAR SOMBRERO</v>
          </cell>
          <cell r="F1547" t="str">
            <v>SOMBRERO</v>
          </cell>
          <cell r="G1547" t="str">
            <v>38774/Y1303-01</v>
          </cell>
          <cell r="H1547" t="str">
            <v>ALTAMAR</v>
          </cell>
          <cell r="I1547">
            <v>7</v>
          </cell>
        </row>
        <row r="1548">
          <cell r="A1548" t="str">
            <v>19-01547</v>
          </cell>
          <cell r="B1548" t="str">
            <v>ORKHON GROUP</v>
          </cell>
          <cell r="C1548" t="str">
            <v>A</v>
          </cell>
          <cell r="D1548" t="str">
            <v>N/A</v>
          </cell>
          <cell r="E1548" t="str">
            <v>38774/Y1303-02 ALTAMAR SOMBRERO</v>
          </cell>
          <cell r="F1548" t="str">
            <v>SOMBRERO</v>
          </cell>
          <cell r="G1548" t="str">
            <v>38774/Y1303-02</v>
          </cell>
          <cell r="H1548" t="str">
            <v>ALTAMAR</v>
          </cell>
          <cell r="I1548">
            <v>7</v>
          </cell>
        </row>
        <row r="1549">
          <cell r="A1549" t="str">
            <v>19-01548</v>
          </cell>
          <cell r="B1549" t="str">
            <v>ORKHON GROUP</v>
          </cell>
          <cell r="C1549" t="str">
            <v>A</v>
          </cell>
          <cell r="D1549" t="str">
            <v>N/A</v>
          </cell>
          <cell r="E1549" t="str">
            <v>38774/Y1303-03 ALTAMAR SOMBRERO</v>
          </cell>
          <cell r="F1549" t="str">
            <v>SOMBRERO</v>
          </cell>
          <cell r="G1549" t="str">
            <v>38774/Y1303-03</v>
          </cell>
          <cell r="H1549" t="str">
            <v>ALTAMAR</v>
          </cell>
          <cell r="I1549">
            <v>7</v>
          </cell>
        </row>
        <row r="1550">
          <cell r="A1550" t="str">
            <v>19-01549</v>
          </cell>
          <cell r="B1550" t="str">
            <v>ORKHON GROUP</v>
          </cell>
          <cell r="C1550" t="str">
            <v>A</v>
          </cell>
          <cell r="D1550" t="str">
            <v>N/A</v>
          </cell>
          <cell r="E1550" t="str">
            <v>38774/Y1303-05 ALTAMAR SOMBRERO</v>
          </cell>
          <cell r="F1550" t="str">
            <v>SOMBRERO</v>
          </cell>
          <cell r="G1550" t="str">
            <v>38774/Y1303-05</v>
          </cell>
          <cell r="H1550" t="str">
            <v>ALTAMAR</v>
          </cell>
          <cell r="I1550">
            <v>7</v>
          </cell>
        </row>
        <row r="1551">
          <cell r="A1551" t="str">
            <v>19-01550</v>
          </cell>
          <cell r="B1551" t="str">
            <v>ORKHON GROUP</v>
          </cell>
          <cell r="C1551" t="str">
            <v>A</v>
          </cell>
          <cell r="D1551" t="str">
            <v>N/A</v>
          </cell>
          <cell r="E1551" t="str">
            <v>38774/Y1303-06 ALTAMAR SOMBRERO</v>
          </cell>
          <cell r="F1551" t="str">
            <v>SOMBRERO</v>
          </cell>
          <cell r="G1551" t="str">
            <v>38774/Y1303-06</v>
          </cell>
          <cell r="H1551" t="str">
            <v>ALTAMAR</v>
          </cell>
          <cell r="I1551">
            <v>7</v>
          </cell>
        </row>
        <row r="1552">
          <cell r="A1552" t="str">
            <v>19-01551</v>
          </cell>
          <cell r="B1552" t="str">
            <v>ORKHON GROUP</v>
          </cell>
          <cell r="C1552" t="str">
            <v>A</v>
          </cell>
          <cell r="D1552" t="str">
            <v>N/A</v>
          </cell>
          <cell r="E1552" t="str">
            <v>38774/Y1303-10 ALTAMAR SOMBRERO</v>
          </cell>
          <cell r="F1552" t="str">
            <v>SOMBRERO</v>
          </cell>
          <cell r="G1552" t="str">
            <v>38774/Y1303-10</v>
          </cell>
          <cell r="H1552" t="str">
            <v>ALTAMAR</v>
          </cell>
          <cell r="I1552">
            <v>7</v>
          </cell>
        </row>
        <row r="1553">
          <cell r="A1553" t="str">
            <v>19-01552</v>
          </cell>
          <cell r="B1553" t="str">
            <v>ORKHON GROUP</v>
          </cell>
          <cell r="C1553" t="str">
            <v>A</v>
          </cell>
          <cell r="D1553" t="str">
            <v>N/A</v>
          </cell>
          <cell r="E1553" t="str">
            <v>38774/Y1303-12 ALTAMAR SOMBRERO</v>
          </cell>
          <cell r="F1553" t="str">
            <v>SOMBRERO</v>
          </cell>
          <cell r="G1553" t="str">
            <v>38774/Y1303-12</v>
          </cell>
          <cell r="H1553" t="str">
            <v>ALTAMAR</v>
          </cell>
          <cell r="I1553">
            <v>7</v>
          </cell>
        </row>
        <row r="1554">
          <cell r="A1554" t="str">
            <v>19-01553</v>
          </cell>
          <cell r="B1554" t="str">
            <v>ORKHON GROUP</v>
          </cell>
          <cell r="C1554" t="str">
            <v>A</v>
          </cell>
          <cell r="D1554" t="str">
            <v>N/A</v>
          </cell>
          <cell r="E1554" t="str">
            <v>38774/Y1303-14 ALTAMAR SOMBRERO</v>
          </cell>
          <cell r="F1554" t="str">
            <v>SOMBRERO</v>
          </cell>
          <cell r="G1554" t="str">
            <v>38774/Y1303-14</v>
          </cell>
          <cell r="H1554" t="str">
            <v>ALTAMAR</v>
          </cell>
          <cell r="I1554">
            <v>7</v>
          </cell>
        </row>
        <row r="1555">
          <cell r="A1555" t="str">
            <v>19-01554</v>
          </cell>
          <cell r="B1555" t="str">
            <v>ORKHON GROUP</v>
          </cell>
          <cell r="C1555" t="str">
            <v>A</v>
          </cell>
          <cell r="D1555" t="str">
            <v>N/A</v>
          </cell>
          <cell r="E1555" t="str">
            <v>39217/Y1303-20 ALTAMAR SOMBRERO</v>
          </cell>
          <cell r="F1555" t="str">
            <v>SOMBRERO</v>
          </cell>
          <cell r="G1555" t="str">
            <v>39217/Y1303-20</v>
          </cell>
          <cell r="H1555" t="str">
            <v>ALTAMAR</v>
          </cell>
          <cell r="I1555">
            <v>6</v>
          </cell>
        </row>
        <row r="1556">
          <cell r="A1556" t="str">
            <v>19-01555</v>
          </cell>
          <cell r="B1556" t="str">
            <v>ORKHON GROUP</v>
          </cell>
          <cell r="C1556" t="str">
            <v>A</v>
          </cell>
          <cell r="D1556" t="str">
            <v>N/A</v>
          </cell>
          <cell r="E1556" t="str">
            <v>39217/Y1303-22 ALTAMAR SOMBRERO</v>
          </cell>
          <cell r="F1556" t="str">
            <v>SOMBRERO</v>
          </cell>
          <cell r="G1556" t="str">
            <v>39217/Y1303-22</v>
          </cell>
          <cell r="H1556" t="str">
            <v>ALTAMAR</v>
          </cell>
          <cell r="I1556">
            <v>0</v>
          </cell>
        </row>
        <row r="1557">
          <cell r="A1557" t="str">
            <v>19-01556</v>
          </cell>
          <cell r="B1557" t="str">
            <v>ORKHON GROUP</v>
          </cell>
          <cell r="C1557" t="str">
            <v>A</v>
          </cell>
          <cell r="D1557" t="str">
            <v>N/A</v>
          </cell>
          <cell r="E1557" t="str">
            <v>39217/Y1303-23 ALTAMAR SOMBRERO</v>
          </cell>
          <cell r="F1557" t="str">
            <v>SOMBRERO</v>
          </cell>
          <cell r="G1557" t="str">
            <v>39217/Y1303-23</v>
          </cell>
          <cell r="H1557" t="str">
            <v>ALTAMAR</v>
          </cell>
          <cell r="I1557">
            <v>8</v>
          </cell>
        </row>
        <row r="1558">
          <cell r="A1558" t="str">
            <v>19-01557</v>
          </cell>
          <cell r="B1558" t="str">
            <v>ORKHON GROUP</v>
          </cell>
          <cell r="C1558" t="str">
            <v>A</v>
          </cell>
          <cell r="D1558" t="str">
            <v>N/A</v>
          </cell>
          <cell r="E1558" t="str">
            <v>39217/Y1303-26 ALTAMAR SOMBRERO</v>
          </cell>
          <cell r="F1558" t="str">
            <v>SOMBRERO</v>
          </cell>
          <cell r="G1558" t="str">
            <v>39217/Y1303-26</v>
          </cell>
          <cell r="H1558" t="str">
            <v>ALTAMAR</v>
          </cell>
          <cell r="I1558">
            <v>8</v>
          </cell>
        </row>
        <row r="1559">
          <cell r="A1559" t="str">
            <v>19-01558</v>
          </cell>
          <cell r="B1559" t="str">
            <v>ORKHON GROUP</v>
          </cell>
          <cell r="C1559" t="str">
            <v>A</v>
          </cell>
          <cell r="D1559" t="str">
            <v>N/A</v>
          </cell>
          <cell r="E1559" t="str">
            <v>39217/Y1303-27 ALTAMAR SOMBRERO</v>
          </cell>
          <cell r="F1559" t="str">
            <v>SOMBRERO</v>
          </cell>
          <cell r="G1559" t="str">
            <v>39217/Y1303-27</v>
          </cell>
          <cell r="H1559" t="str">
            <v>ALTAMAR</v>
          </cell>
          <cell r="I1559">
            <v>8</v>
          </cell>
        </row>
        <row r="1560">
          <cell r="A1560" t="str">
            <v>19-01559</v>
          </cell>
          <cell r="B1560" t="str">
            <v>ORKHON GROUP</v>
          </cell>
          <cell r="C1560" t="str">
            <v>A</v>
          </cell>
          <cell r="D1560" t="str">
            <v>N/A</v>
          </cell>
          <cell r="E1560" t="str">
            <v>39217/Y1303-30 ALTAMAR SOMBRERO</v>
          </cell>
          <cell r="F1560" t="str">
            <v>SOMBRERO</v>
          </cell>
          <cell r="G1560" t="str">
            <v>39217/Y1303-30</v>
          </cell>
          <cell r="H1560" t="str">
            <v>ALTAMAR</v>
          </cell>
          <cell r="I1560">
            <v>8</v>
          </cell>
        </row>
        <row r="1561">
          <cell r="A1561" t="str">
            <v>19-01560</v>
          </cell>
          <cell r="B1561" t="str">
            <v>ORKHON GROUP</v>
          </cell>
          <cell r="C1561" t="str">
            <v>A</v>
          </cell>
          <cell r="D1561" t="str">
            <v>N/A</v>
          </cell>
          <cell r="E1561" t="str">
            <v>39217/Y1303-31 ALTAMAR SOMBRERO</v>
          </cell>
          <cell r="F1561" t="str">
            <v>SOMBRERO</v>
          </cell>
          <cell r="G1561" t="str">
            <v>39217/Y1303-31</v>
          </cell>
          <cell r="H1561" t="str">
            <v>ALTAMAR</v>
          </cell>
          <cell r="I1561">
            <v>0</v>
          </cell>
        </row>
        <row r="1562">
          <cell r="A1562" t="str">
            <v>19-01561</v>
          </cell>
          <cell r="B1562" t="str">
            <v>ORKHON GROUP</v>
          </cell>
          <cell r="C1562" t="str">
            <v>A</v>
          </cell>
          <cell r="D1562" t="str">
            <v>N/A</v>
          </cell>
          <cell r="E1562" t="str">
            <v>39217/Y1303-32 ALTAMAR SOMBRERO</v>
          </cell>
          <cell r="F1562" t="str">
            <v>SOMBRERO</v>
          </cell>
          <cell r="G1562" t="str">
            <v>39217/Y1303-32</v>
          </cell>
          <cell r="H1562" t="str">
            <v>ALTAMAR</v>
          </cell>
          <cell r="I1562">
            <v>8</v>
          </cell>
        </row>
        <row r="1563">
          <cell r="A1563" t="str">
            <v>19-01562</v>
          </cell>
          <cell r="B1563" t="str">
            <v>ORKHON GROUP</v>
          </cell>
          <cell r="C1563" t="str">
            <v>A</v>
          </cell>
          <cell r="D1563" t="str">
            <v>N/A</v>
          </cell>
          <cell r="E1563" t="str">
            <v>39359/Y1303-36 ALTAMAR SOMBRERO</v>
          </cell>
          <cell r="F1563" t="str">
            <v>SOMBRERO</v>
          </cell>
          <cell r="G1563" t="str">
            <v>39359/Y1303-36</v>
          </cell>
          <cell r="H1563" t="str">
            <v>ALTAMAR</v>
          </cell>
          <cell r="I1563">
            <v>6.5</v>
          </cell>
        </row>
        <row r="1564">
          <cell r="A1564" t="str">
            <v>19-01563</v>
          </cell>
          <cell r="B1564" t="str">
            <v>ORKHON GROUP</v>
          </cell>
          <cell r="C1564" t="str">
            <v>A</v>
          </cell>
          <cell r="D1564" t="str">
            <v>N/A</v>
          </cell>
          <cell r="E1564" t="str">
            <v>39359/Y1303-40 ALTAMAR SOMBRERO</v>
          </cell>
          <cell r="F1564" t="str">
            <v>SOMBRERO</v>
          </cell>
          <cell r="G1564" t="str">
            <v>39359/Y1303-40</v>
          </cell>
          <cell r="H1564" t="str">
            <v>ALTAMAR</v>
          </cell>
          <cell r="I1564">
            <v>7.5</v>
          </cell>
        </row>
        <row r="1565">
          <cell r="A1565" t="str">
            <v>19-01564</v>
          </cell>
          <cell r="B1565" t="str">
            <v>ORKHON GROUP</v>
          </cell>
          <cell r="C1565" t="str">
            <v>A</v>
          </cell>
          <cell r="D1565" t="str">
            <v>N/A</v>
          </cell>
          <cell r="E1565" t="str">
            <v>39359/Y1303-41 ALTAMAR SOMBRERO</v>
          </cell>
          <cell r="F1565" t="str">
            <v>SOMBRERO</v>
          </cell>
          <cell r="G1565" t="str">
            <v>39359/Y1303-41</v>
          </cell>
          <cell r="H1565" t="str">
            <v>ALTAMAR</v>
          </cell>
          <cell r="I1565">
            <v>8</v>
          </cell>
        </row>
        <row r="1566">
          <cell r="A1566" t="str">
            <v>19-01565</v>
          </cell>
          <cell r="B1566" t="str">
            <v>ORKHON GROUP</v>
          </cell>
          <cell r="C1566" t="str">
            <v>A</v>
          </cell>
          <cell r="D1566" t="str">
            <v>N/A</v>
          </cell>
          <cell r="E1566" t="str">
            <v>39359/Y1303-44 ALTAMAR SOMBRERO</v>
          </cell>
          <cell r="F1566" t="str">
            <v>SOMBRERO</v>
          </cell>
          <cell r="G1566" t="str">
            <v>39359/Y1303-44</v>
          </cell>
          <cell r="H1566" t="str">
            <v>ALTAMAR</v>
          </cell>
          <cell r="I1566">
            <v>8</v>
          </cell>
        </row>
        <row r="1567">
          <cell r="A1567" t="str">
            <v>19-01566</v>
          </cell>
          <cell r="B1567" t="str">
            <v>ORKHON GROUP</v>
          </cell>
          <cell r="C1567" t="str">
            <v>A</v>
          </cell>
          <cell r="D1567" t="str">
            <v>N/A</v>
          </cell>
          <cell r="E1567" t="str">
            <v>39359/Y1303-49 ALTAMAR SOMBRERO</v>
          </cell>
          <cell r="F1567" t="str">
            <v>SOMBRERO</v>
          </cell>
          <cell r="G1567" t="str">
            <v>39359/Y1303-49</v>
          </cell>
          <cell r="H1567" t="str">
            <v>ALTAMAR</v>
          </cell>
          <cell r="I1567">
            <v>0</v>
          </cell>
        </row>
        <row r="1568">
          <cell r="A1568" t="str">
            <v>19-01567</v>
          </cell>
          <cell r="B1568" t="str">
            <v>ORKHON GROUP</v>
          </cell>
          <cell r="C1568" t="str">
            <v>A</v>
          </cell>
          <cell r="D1568" t="str">
            <v>N/A</v>
          </cell>
          <cell r="E1568" t="str">
            <v>1F-11357/Y1303-190 ALTAMAR BOLSO DE PLAYA</v>
          </cell>
          <cell r="F1568" t="str">
            <v>BOLSO</v>
          </cell>
          <cell r="G1568" t="str">
            <v>1F-11357/Y1303-19</v>
          </cell>
          <cell r="H1568" t="str">
            <v>ALTAMAR</v>
          </cell>
          <cell r="I1568">
            <v>13</v>
          </cell>
        </row>
        <row r="1569">
          <cell r="A1569" t="str">
            <v>19-01568</v>
          </cell>
          <cell r="B1569" t="str">
            <v>ORKHON GROUP</v>
          </cell>
          <cell r="C1569" t="str">
            <v>A</v>
          </cell>
          <cell r="D1569" t="str">
            <v>N/A</v>
          </cell>
          <cell r="E1569" t="str">
            <v>C-1303-16 ALTAMAR BOLSO DE PLAYA</v>
          </cell>
          <cell r="F1569" t="str">
            <v>BOLSO</v>
          </cell>
          <cell r="G1569" t="str">
            <v>C-1303-16</v>
          </cell>
          <cell r="H1569" t="str">
            <v>ALTAMAR</v>
          </cell>
          <cell r="I1569">
            <v>0</v>
          </cell>
        </row>
        <row r="1570">
          <cell r="A1570" t="str">
            <v>19-01569</v>
          </cell>
          <cell r="B1570" t="str">
            <v>ORKHON GROUP</v>
          </cell>
          <cell r="C1570" t="str">
            <v>A</v>
          </cell>
          <cell r="D1570" t="str">
            <v>N/A</v>
          </cell>
          <cell r="E1570" t="str">
            <v>C-1303-18 ALTAMAR BOLSO DE PLAYA</v>
          </cell>
          <cell r="F1570" t="str">
            <v>BOLSO</v>
          </cell>
          <cell r="G1570" t="str">
            <v>C-1303-18</v>
          </cell>
          <cell r="H1570" t="str">
            <v>ALTAMAR</v>
          </cell>
          <cell r="I1570">
            <v>0</v>
          </cell>
        </row>
        <row r="1571">
          <cell r="A1571" t="str">
            <v>19-01570</v>
          </cell>
          <cell r="B1571" t="str">
            <v>ORKHON GROUP</v>
          </cell>
          <cell r="C1571" t="str">
            <v>A</v>
          </cell>
          <cell r="D1571" t="str">
            <v>N/A</v>
          </cell>
          <cell r="E1571" t="str">
            <v>ALTAMAR CESTA OSO CRISTINA</v>
          </cell>
          <cell r="F1571" t="str">
            <v>BOLSO</v>
          </cell>
          <cell r="G1571" t="str">
            <v>C-1303-18</v>
          </cell>
          <cell r="H1571" t="str">
            <v>ALTAMAR</v>
          </cell>
          <cell r="I1571">
            <v>7.2</v>
          </cell>
        </row>
        <row r="1572">
          <cell r="A1572" t="str">
            <v>19-01571</v>
          </cell>
          <cell r="B1572" t="str">
            <v>FOSTER</v>
          </cell>
          <cell r="C1572" t="str">
            <v>D</v>
          </cell>
          <cell r="D1572" t="str">
            <v>N/A</v>
          </cell>
          <cell r="E1572" t="str">
            <v>17020 TOY STORY 36 CM NEW BEANZ NECK COJIN DISCONTINUED</v>
          </cell>
          <cell r="F1572" t="str">
            <v>ALMOHADA</v>
          </cell>
          <cell r="G1572">
            <v>17020</v>
          </cell>
          <cell r="H1572" t="str">
            <v>FOSTER</v>
          </cell>
          <cell r="I1572">
            <v>4.5</v>
          </cell>
        </row>
        <row r="1573">
          <cell r="A1573" t="str">
            <v>19-01572</v>
          </cell>
          <cell r="B1573" t="str">
            <v>ORKHON GROUP</v>
          </cell>
          <cell r="C1573" t="str">
            <v>A</v>
          </cell>
          <cell r="D1573" t="str">
            <v>SI</v>
          </cell>
          <cell r="E1573" t="str">
            <v>19-01572 SOFT COMFORT NECK PILLOW ASSORTED COLORS</v>
          </cell>
          <cell r="F1573" t="str">
            <v>ALMOHADA</v>
          </cell>
          <cell r="G1573" t="str">
            <v>19-01572</v>
          </cell>
          <cell r="H1573" t="str">
            <v>SOFT COMFORT</v>
          </cell>
          <cell r="I1573">
            <v>2.85</v>
          </cell>
        </row>
        <row r="1574">
          <cell r="A1574" t="str">
            <v>19-01573</v>
          </cell>
          <cell r="B1574" t="str">
            <v>ORKHON GROUP</v>
          </cell>
          <cell r="C1574" t="str">
            <v>A</v>
          </cell>
          <cell r="D1574" t="str">
            <v>N/A</v>
          </cell>
          <cell r="E1574" t="str">
            <v>1F-11277/1303-211 ALTAMAR CESTA</v>
          </cell>
          <cell r="F1574" t="str">
            <v>BOLSO</v>
          </cell>
          <cell r="G1574" t="str">
            <v>11277/1303-211</v>
          </cell>
          <cell r="H1574" t="str">
            <v>ALTAMAR</v>
          </cell>
          <cell r="I1574">
            <v>4.3</v>
          </cell>
        </row>
        <row r="1575">
          <cell r="A1575" t="str">
            <v>19-01574</v>
          </cell>
          <cell r="B1575" t="str">
            <v>ORKHON GROUP</v>
          </cell>
          <cell r="C1575" t="str">
            <v>A</v>
          </cell>
          <cell r="D1575" t="str">
            <v>N/A</v>
          </cell>
          <cell r="E1575" t="str">
            <v>1F-11357/Y1303-189 ALTAMAR BOLSO PLAYA</v>
          </cell>
          <cell r="F1575" t="str">
            <v>BOLSO</v>
          </cell>
          <cell r="G1575" t="str">
            <v>11357/Y1303-18</v>
          </cell>
          <cell r="H1575" t="str">
            <v>ALTAMAR</v>
          </cell>
          <cell r="I1575">
            <v>15.5</v>
          </cell>
        </row>
        <row r="1576">
          <cell r="A1576" t="str">
            <v>19-01575</v>
          </cell>
          <cell r="B1576" t="str">
            <v>ORKHON GROUP</v>
          </cell>
          <cell r="C1576" t="str">
            <v>A</v>
          </cell>
          <cell r="D1576" t="str">
            <v>N/A</v>
          </cell>
          <cell r="E1576" t="str">
            <v>1F-11357/Y1303-190 ALTAMAR BOLSO PLAYA</v>
          </cell>
          <cell r="F1576" t="str">
            <v>BOLSO</v>
          </cell>
          <cell r="G1576" t="str">
            <v>11357/Y1303-19</v>
          </cell>
          <cell r="H1576" t="str">
            <v>ALTAMAR</v>
          </cell>
          <cell r="I1576">
            <v>15</v>
          </cell>
        </row>
        <row r="1577">
          <cell r="A1577" t="str">
            <v>19-01576</v>
          </cell>
          <cell r="B1577" t="str">
            <v>ORKHON GROUP</v>
          </cell>
          <cell r="C1577" t="str">
            <v>A</v>
          </cell>
          <cell r="D1577" t="str">
            <v>N/A</v>
          </cell>
          <cell r="E1577" t="str">
            <v>1F-11357/Y1303-193 ALTAMAR BOLSO PLAYA</v>
          </cell>
          <cell r="F1577" t="str">
            <v>BOLSO</v>
          </cell>
          <cell r="G1577" t="str">
            <v>11357/Y1303-19</v>
          </cell>
          <cell r="H1577" t="str">
            <v>ALTAMAR</v>
          </cell>
          <cell r="I1577">
            <v>15</v>
          </cell>
        </row>
        <row r="1578">
          <cell r="A1578" t="str">
            <v>19-01577</v>
          </cell>
          <cell r="B1578" t="str">
            <v>ORKHON GROUP</v>
          </cell>
          <cell r="C1578" t="str">
            <v>A</v>
          </cell>
          <cell r="D1578" t="str">
            <v>N/A</v>
          </cell>
          <cell r="E1578" t="str">
            <v>1F-11357/Y1303-195 ALTAMAR BOLSO PLAYA</v>
          </cell>
          <cell r="F1578" t="str">
            <v>BOLSO</v>
          </cell>
          <cell r="G1578" t="str">
            <v>11357/Y1303-19</v>
          </cell>
          <cell r="H1578" t="str">
            <v>ALTAMAR</v>
          </cell>
          <cell r="I1578">
            <v>18</v>
          </cell>
        </row>
        <row r="1579">
          <cell r="A1579" t="str">
            <v>19-01578</v>
          </cell>
          <cell r="B1579" t="str">
            <v>ORKHON GROUP</v>
          </cell>
          <cell r="C1579" t="str">
            <v>A</v>
          </cell>
          <cell r="D1579" t="str">
            <v>N/A</v>
          </cell>
          <cell r="E1579" t="str">
            <v>1F-11357/Y1303-198 ALTAMAR BOLSO PLAYA</v>
          </cell>
          <cell r="F1579" t="str">
            <v>BOLSO</v>
          </cell>
          <cell r="G1579" t="str">
            <v>11357/Y1303-19</v>
          </cell>
          <cell r="H1579" t="str">
            <v>ALTAMAR</v>
          </cell>
          <cell r="I1579">
            <v>12.6</v>
          </cell>
        </row>
        <row r="1580">
          <cell r="A1580" t="str">
            <v>19-01579</v>
          </cell>
          <cell r="B1580" t="str">
            <v>ORKHON GROUP</v>
          </cell>
          <cell r="C1580" t="str">
            <v>A</v>
          </cell>
          <cell r="D1580" t="str">
            <v>N/A</v>
          </cell>
          <cell r="E1580" t="str">
            <v>1F-11357/Y1303-199 ALTAMAR BOLSO PLAYA</v>
          </cell>
          <cell r="F1580" t="str">
            <v>BOLSO</v>
          </cell>
          <cell r="G1580" t="str">
            <v>11357/Y1303-19</v>
          </cell>
          <cell r="H1580" t="str">
            <v>ALTAMAR</v>
          </cell>
          <cell r="I1580">
            <v>6.3</v>
          </cell>
        </row>
        <row r="1581">
          <cell r="A1581" t="str">
            <v>19-01580</v>
          </cell>
          <cell r="B1581" t="str">
            <v>ORKHON GROUP</v>
          </cell>
          <cell r="C1581" t="str">
            <v>A</v>
          </cell>
          <cell r="D1581" t="str">
            <v>N/A</v>
          </cell>
          <cell r="E1581" t="str">
            <v>1F-11357/Y1303-201 ALTAMAR BOLSO PLAYA</v>
          </cell>
          <cell r="F1581" t="str">
            <v>BOLSO</v>
          </cell>
          <cell r="G1581" t="str">
            <v>11357/Y1303-20</v>
          </cell>
          <cell r="H1581" t="str">
            <v>ALTAMAR</v>
          </cell>
          <cell r="I1581">
            <v>5</v>
          </cell>
        </row>
        <row r="1582">
          <cell r="A1582" t="str">
            <v>19-01581</v>
          </cell>
          <cell r="B1582" t="str">
            <v>ORKHON GROUP</v>
          </cell>
          <cell r="C1582" t="str">
            <v>A</v>
          </cell>
          <cell r="D1582" t="str">
            <v>N/A</v>
          </cell>
          <cell r="E1582" t="str">
            <v>1F-11357/Y1303-202 ALTAMAR BOLSO PLAYA</v>
          </cell>
          <cell r="F1582" t="str">
            <v>BOLSO</v>
          </cell>
          <cell r="G1582" t="str">
            <v>11357/Y1303-20</v>
          </cell>
          <cell r="H1582" t="str">
            <v>ALTAMAR</v>
          </cell>
          <cell r="I1582">
            <v>5</v>
          </cell>
        </row>
        <row r="1583">
          <cell r="A1583" t="str">
            <v>19-01582</v>
          </cell>
          <cell r="B1583" t="str">
            <v>ORKHON GROUP</v>
          </cell>
          <cell r="C1583" t="str">
            <v>A</v>
          </cell>
          <cell r="D1583" t="str">
            <v>N/A</v>
          </cell>
          <cell r="E1583" t="str">
            <v>38774/Y1303-09 ALTAMAR SOMBRERO</v>
          </cell>
          <cell r="F1583" t="str">
            <v>SOMBRERO</v>
          </cell>
          <cell r="G1583" t="str">
            <v>38774/Y1303-09</v>
          </cell>
          <cell r="H1583" t="str">
            <v>ALTAMAR</v>
          </cell>
          <cell r="I1583">
            <v>7</v>
          </cell>
        </row>
        <row r="1584">
          <cell r="A1584" t="str">
            <v>19-01583</v>
          </cell>
          <cell r="B1584" t="str">
            <v>ORKHON GROUP</v>
          </cell>
          <cell r="C1584" t="str">
            <v>A</v>
          </cell>
          <cell r="D1584" t="str">
            <v>N/A</v>
          </cell>
          <cell r="E1584" t="str">
            <v>39217/Y1303-19 ALTAMAR SOMBRERO</v>
          </cell>
          <cell r="F1584" t="str">
            <v>SOMBRERO</v>
          </cell>
          <cell r="G1584" t="str">
            <v>39217/Y1303-19</v>
          </cell>
          <cell r="H1584" t="str">
            <v>ALTAMAR</v>
          </cell>
          <cell r="I1584">
            <v>5</v>
          </cell>
        </row>
        <row r="1585">
          <cell r="A1585" t="str">
            <v>19-01584</v>
          </cell>
          <cell r="B1585" t="str">
            <v>ORKHON GROUP</v>
          </cell>
          <cell r="C1585" t="str">
            <v>A</v>
          </cell>
          <cell r="D1585" t="str">
            <v>N/A</v>
          </cell>
          <cell r="E1585" t="str">
            <v>39359/Y1303-39 ALTMAR SOMBRERO</v>
          </cell>
          <cell r="F1585" t="str">
            <v>SOMBRERO</v>
          </cell>
          <cell r="G1585" t="str">
            <v>39359/Y1303-39</v>
          </cell>
          <cell r="H1585" t="str">
            <v>ALTAMAR</v>
          </cell>
          <cell r="I1585">
            <v>9</v>
          </cell>
        </row>
        <row r="1586">
          <cell r="A1586" t="str">
            <v>19-01585</v>
          </cell>
          <cell r="B1586" t="str">
            <v>ORKHON GROUP</v>
          </cell>
          <cell r="C1586" t="str">
            <v>A</v>
          </cell>
          <cell r="D1586" t="str">
            <v>N/A</v>
          </cell>
          <cell r="E1586" t="str">
            <v>C1303-02 ALTAMAR BILLETERA</v>
          </cell>
          <cell r="F1586" t="str">
            <v>BILLETERA</v>
          </cell>
          <cell r="G1586" t="str">
            <v>C1303-02</v>
          </cell>
          <cell r="H1586" t="str">
            <v>ALTAMAR</v>
          </cell>
          <cell r="I1586">
            <v>8.4</v>
          </cell>
        </row>
        <row r="1587">
          <cell r="A1587" t="str">
            <v>19-01586</v>
          </cell>
          <cell r="B1587" t="str">
            <v>ORKHON GROUP</v>
          </cell>
          <cell r="C1587" t="str">
            <v>A</v>
          </cell>
          <cell r="D1587" t="str">
            <v>N/A</v>
          </cell>
          <cell r="E1587" t="str">
            <v>C1303-03 ALTAMAR PORTA COSMETICO</v>
          </cell>
          <cell r="F1587" t="str">
            <v>BOLSO</v>
          </cell>
          <cell r="G1587" t="str">
            <v>C1303-03</v>
          </cell>
          <cell r="H1587" t="str">
            <v>ALTAMAR</v>
          </cell>
          <cell r="I1587">
            <v>7.6</v>
          </cell>
        </row>
        <row r="1588">
          <cell r="A1588" t="str">
            <v>19-01587</v>
          </cell>
          <cell r="B1588" t="str">
            <v>ORKHON GROUP</v>
          </cell>
          <cell r="C1588" t="str">
            <v>A</v>
          </cell>
          <cell r="D1588" t="str">
            <v>N/A</v>
          </cell>
          <cell r="E1588" t="str">
            <v>C-1303-17 ALTAMAR BOLSO PLAYA</v>
          </cell>
          <cell r="F1588" t="str">
            <v>BOLSO</v>
          </cell>
          <cell r="G1588" t="str">
            <v>C-1303-17</v>
          </cell>
          <cell r="H1588" t="str">
            <v>ALTAMAR</v>
          </cell>
          <cell r="I1588">
            <v>22</v>
          </cell>
        </row>
        <row r="1589">
          <cell r="A1589" t="str">
            <v>19-01588</v>
          </cell>
          <cell r="B1589" t="str">
            <v>ORKHON GROUP</v>
          </cell>
          <cell r="C1589" t="str">
            <v>A</v>
          </cell>
          <cell r="D1589" t="str">
            <v>N/A</v>
          </cell>
          <cell r="E1589" t="str">
            <v>C-1303-21 ALTAMAR BOLSO PLAYA</v>
          </cell>
          <cell r="F1589" t="str">
            <v>BOLSO</v>
          </cell>
          <cell r="G1589" t="str">
            <v>C-1303-21</v>
          </cell>
          <cell r="H1589" t="str">
            <v>ALTAMAR</v>
          </cell>
          <cell r="I1589">
            <v>25</v>
          </cell>
        </row>
        <row r="1590">
          <cell r="A1590" t="str">
            <v>19-01589</v>
          </cell>
          <cell r="B1590" t="str">
            <v>ORKHON GROUP</v>
          </cell>
          <cell r="C1590" t="str">
            <v>A</v>
          </cell>
          <cell r="D1590" t="str">
            <v>N/A</v>
          </cell>
          <cell r="E1590" t="str">
            <v>C-1303-22 ALTAMAR BOLSO PLAYA</v>
          </cell>
          <cell r="F1590" t="str">
            <v>BOLSO</v>
          </cell>
          <cell r="G1590" t="str">
            <v>C-1303-22</v>
          </cell>
          <cell r="H1590" t="str">
            <v>ALTAMAR</v>
          </cell>
          <cell r="I1590">
            <v>19.3</v>
          </cell>
        </row>
        <row r="1591">
          <cell r="A1591" t="str">
            <v>19-01590</v>
          </cell>
          <cell r="B1591" t="str">
            <v>ORKHON GROUP</v>
          </cell>
          <cell r="C1591" t="str">
            <v>A</v>
          </cell>
          <cell r="D1591" t="str">
            <v>N/A</v>
          </cell>
          <cell r="E1591" t="str">
            <v>C-1303-23 ALTAMAR BOLSO PLAYA</v>
          </cell>
          <cell r="F1591" t="str">
            <v>BOLSO</v>
          </cell>
          <cell r="G1591" t="str">
            <v>C-1303-23</v>
          </cell>
          <cell r="H1591" t="str">
            <v>ALTAMAR</v>
          </cell>
          <cell r="I1591">
            <v>22</v>
          </cell>
        </row>
        <row r="1592">
          <cell r="A1592" t="str">
            <v>19-01591</v>
          </cell>
          <cell r="B1592" t="str">
            <v>WORLD WISHES</v>
          </cell>
          <cell r="C1592" t="str">
            <v>A</v>
          </cell>
          <cell r="D1592" t="str">
            <v>SI</v>
          </cell>
          <cell r="E1592" t="str">
            <v>58-5050 CRAYOLA 50CT WASH SUPER TIPS MARKERS W/SILLY</v>
          </cell>
          <cell r="F1592" t="str">
            <v>CRAYONES</v>
          </cell>
          <cell r="G1592" t="str">
            <v>58-5050</v>
          </cell>
          <cell r="H1592" t="str">
            <v>CRAYOLA</v>
          </cell>
          <cell r="I1592">
            <v>6.5</v>
          </cell>
        </row>
        <row r="1593">
          <cell r="A1593" t="str">
            <v>19-01592</v>
          </cell>
          <cell r="B1593" t="str">
            <v>WORLD WISHES</v>
          </cell>
          <cell r="C1593" t="str">
            <v>P</v>
          </cell>
          <cell r="D1593" t="str">
            <v>N/A</v>
          </cell>
          <cell r="E1593" t="str">
            <v>74-1701 CRAYOLA METALLIC XTREME COLORING</v>
          </cell>
          <cell r="F1593" t="str">
            <v>SCHOOL SUPPLIES</v>
          </cell>
          <cell r="G1593" t="str">
            <v>74-1701</v>
          </cell>
          <cell r="H1593" t="str">
            <v>CRAYOLA</v>
          </cell>
          <cell r="I1593">
            <v>4.1900000000000004</v>
          </cell>
        </row>
        <row r="1594">
          <cell r="A1594" t="str">
            <v>19-01593</v>
          </cell>
          <cell r="B1594" t="str">
            <v>WORLD WISHES</v>
          </cell>
          <cell r="C1594" t="str">
            <v>A</v>
          </cell>
          <cell r="D1594" t="str">
            <v>SI</v>
          </cell>
          <cell r="E1594" t="str">
            <v>04-5225 CRAYOLA TWISTABLES COLORED PENCILS KIT</v>
          </cell>
          <cell r="F1594" t="str">
            <v>SCHOOL SUPPLIES</v>
          </cell>
          <cell r="G1594">
            <v>1214524</v>
          </cell>
          <cell r="H1594" t="str">
            <v>CRAYOLA</v>
          </cell>
          <cell r="I1594">
            <v>7</v>
          </cell>
        </row>
        <row r="1595">
          <cell r="A1595" t="str">
            <v>19-01594</v>
          </cell>
          <cell r="B1595" t="str">
            <v>FOSTER</v>
          </cell>
          <cell r="C1595" t="str">
            <v>D</v>
          </cell>
          <cell r="D1595" t="str">
            <v>N/A</v>
          </cell>
          <cell r="E1595" t="str">
            <v>17022 FOSTER MICKEY 36CM NEW BEANZ NECK COJIN DISCONTINUED</v>
          </cell>
          <cell r="F1595" t="str">
            <v>ALMOHADA</v>
          </cell>
          <cell r="G1595">
            <v>17022</v>
          </cell>
          <cell r="H1595" t="str">
            <v>FOSTER</v>
          </cell>
          <cell r="I1595">
            <v>4.5</v>
          </cell>
        </row>
        <row r="1596">
          <cell r="A1596" t="str">
            <v>19-01595</v>
          </cell>
          <cell r="B1596" t="str">
            <v>FOSTER</v>
          </cell>
          <cell r="C1596" t="str">
            <v>D</v>
          </cell>
          <cell r="D1596" t="str">
            <v>N/A</v>
          </cell>
          <cell r="E1596" t="str">
            <v>17018 FOSTER CARS 36CM NEW BEANZ NECK COJIN DISCONTINUED</v>
          </cell>
          <cell r="F1596" t="str">
            <v>ALMOHADA</v>
          </cell>
          <cell r="G1596">
            <v>17018</v>
          </cell>
          <cell r="H1596" t="str">
            <v>FOSTER</v>
          </cell>
          <cell r="I1596">
            <v>4.5</v>
          </cell>
        </row>
        <row r="1597">
          <cell r="A1597" t="str">
            <v>19-01596</v>
          </cell>
          <cell r="B1597" t="str">
            <v>FOSTER</v>
          </cell>
          <cell r="C1597" t="str">
            <v>D</v>
          </cell>
          <cell r="D1597" t="str">
            <v>N/A</v>
          </cell>
          <cell r="E1597" t="str">
            <v>17021 FOSTER TINKERBELL 36CM NEW BEANZ NECK COJIN DISCONTINUED</v>
          </cell>
          <cell r="F1597" t="str">
            <v>ALMOHADA</v>
          </cell>
          <cell r="G1597">
            <v>17021</v>
          </cell>
          <cell r="H1597" t="str">
            <v>FOSTER</v>
          </cell>
          <cell r="I1597">
            <v>4.5</v>
          </cell>
        </row>
        <row r="1598">
          <cell r="A1598" t="str">
            <v>19-01597</v>
          </cell>
          <cell r="B1598" t="str">
            <v>FOSTER</v>
          </cell>
          <cell r="C1598" t="str">
            <v>D</v>
          </cell>
          <cell r="D1598" t="str">
            <v>N/A</v>
          </cell>
          <cell r="E1598" t="str">
            <v>17019 FOSTER PRINCESAS 36CM NEW BEANZ NECK PILLOW DISCONTINUED</v>
          </cell>
          <cell r="F1598" t="str">
            <v>ALMOHADA</v>
          </cell>
          <cell r="G1598">
            <v>17019</v>
          </cell>
          <cell r="H1598" t="str">
            <v>FOSTER</v>
          </cell>
          <cell r="I1598">
            <v>4.5</v>
          </cell>
        </row>
        <row r="1599">
          <cell r="A1599" t="str">
            <v>19-01598</v>
          </cell>
          <cell r="B1599" t="str">
            <v>ORKHON GROUP</v>
          </cell>
          <cell r="C1599" t="str">
            <v>A</v>
          </cell>
          <cell r="D1599" t="str">
            <v>N/A</v>
          </cell>
          <cell r="E1599" t="str">
            <v>2C-4268/4268-9 ALTAMAR COLLAR</v>
          </cell>
          <cell r="F1599" t="str">
            <v>COLLAR</v>
          </cell>
          <cell r="G1599" t="str">
            <v>2C-4268/4268-9</v>
          </cell>
          <cell r="H1599" t="str">
            <v>ALTAMAR</v>
          </cell>
          <cell r="I1599">
            <v>0.98</v>
          </cell>
        </row>
        <row r="1600">
          <cell r="A1600" t="str">
            <v>19-01599</v>
          </cell>
          <cell r="B1600" t="str">
            <v>ORKHON GROUP</v>
          </cell>
          <cell r="C1600" t="str">
            <v>A</v>
          </cell>
          <cell r="D1600" t="str">
            <v>N/A</v>
          </cell>
          <cell r="E1600" t="str">
            <v>2E-5870/SM111 ALTAMAR COLLAR</v>
          </cell>
          <cell r="F1600" t="str">
            <v>COLLAR</v>
          </cell>
          <cell r="G1600" t="str">
            <v>2E-5870/SM111</v>
          </cell>
          <cell r="H1600" t="str">
            <v>ALTAMAR</v>
          </cell>
          <cell r="I1600">
            <v>1.55</v>
          </cell>
        </row>
        <row r="1601">
          <cell r="A1601" t="str">
            <v>19-01600</v>
          </cell>
          <cell r="B1601" t="str">
            <v>ORKHON GROUP</v>
          </cell>
          <cell r="C1601" t="str">
            <v>A</v>
          </cell>
          <cell r="D1601" t="str">
            <v>N/A</v>
          </cell>
          <cell r="E1601" t="str">
            <v>2E-5410/5410-5 ALTAMAR COLLAR</v>
          </cell>
          <cell r="F1601" t="str">
            <v>COLLAR</v>
          </cell>
          <cell r="G1601" t="str">
            <v>2E-5410/5410-5</v>
          </cell>
          <cell r="H1601" t="str">
            <v>ALTAMAR</v>
          </cell>
          <cell r="I1601">
            <v>1.55</v>
          </cell>
        </row>
        <row r="1602">
          <cell r="A1602" t="str">
            <v>19-01601</v>
          </cell>
          <cell r="B1602" t="str">
            <v>ORKHON GROUP</v>
          </cell>
          <cell r="C1602" t="str">
            <v>A</v>
          </cell>
          <cell r="D1602" t="str">
            <v>N/A</v>
          </cell>
          <cell r="E1602" t="str">
            <v>2E-5663B/09-566-6 ALTAMAR COLLAR Y PULSERA FLOR</v>
          </cell>
          <cell r="F1602" t="str">
            <v>COLLAR</v>
          </cell>
          <cell r="G1602" t="str">
            <v>2E-5663B/09-566-6</v>
          </cell>
          <cell r="H1602" t="str">
            <v>ALTAMAR</v>
          </cell>
          <cell r="I1602">
            <v>0.98</v>
          </cell>
        </row>
        <row r="1603">
          <cell r="A1603" t="str">
            <v>19-01602</v>
          </cell>
          <cell r="B1603" t="str">
            <v>ORKHON GROUP</v>
          </cell>
          <cell r="C1603" t="str">
            <v>A</v>
          </cell>
          <cell r="D1603" t="str">
            <v>N/A</v>
          </cell>
          <cell r="E1603" t="str">
            <v>2E-5823/SM124 ALTAMAR PULSERA</v>
          </cell>
          <cell r="F1603" t="str">
            <v>BRAZALETE</v>
          </cell>
          <cell r="G1603" t="str">
            <v>2E-5823/SM124</v>
          </cell>
          <cell r="H1603" t="str">
            <v>ALTAMAR</v>
          </cell>
          <cell r="I1603">
            <v>0.99</v>
          </cell>
        </row>
        <row r="1604">
          <cell r="A1604" t="str">
            <v>19-01603</v>
          </cell>
          <cell r="B1604" t="str">
            <v>ORKHON GROUP</v>
          </cell>
          <cell r="C1604" t="str">
            <v>A</v>
          </cell>
          <cell r="D1604" t="str">
            <v>N/A</v>
          </cell>
          <cell r="E1604" t="str">
            <v>2E-5669/Y1303-99A ALTAMAR PULSERAS CLOE</v>
          </cell>
          <cell r="F1604" t="str">
            <v>BRAZALETE</v>
          </cell>
          <cell r="G1604" t="str">
            <v>2E-5669/Y1303-99A</v>
          </cell>
          <cell r="H1604" t="str">
            <v>ALTAMAR</v>
          </cell>
          <cell r="I1604">
            <v>0.94</v>
          </cell>
        </row>
        <row r="1605">
          <cell r="A1605" t="str">
            <v>19-01604</v>
          </cell>
          <cell r="B1605" t="str">
            <v>ORKHON GROUP</v>
          </cell>
          <cell r="C1605" t="str">
            <v>A</v>
          </cell>
          <cell r="D1605" t="str">
            <v>N/A</v>
          </cell>
          <cell r="E1605" t="str">
            <v>2E-5961/Y1303-EH2020 ALTAMAR PULSERA CLOE</v>
          </cell>
          <cell r="F1605" t="str">
            <v>BRAZALETE</v>
          </cell>
          <cell r="G1605" t="str">
            <v>2E-5961/Y1303-EH2</v>
          </cell>
          <cell r="H1605" t="str">
            <v>ALTAMAR</v>
          </cell>
          <cell r="I1605">
            <v>3.99</v>
          </cell>
        </row>
        <row r="1606">
          <cell r="A1606" t="str">
            <v>19-01605</v>
          </cell>
          <cell r="B1606" t="str">
            <v>ORKHON GROUP</v>
          </cell>
          <cell r="C1606" t="str">
            <v>A</v>
          </cell>
          <cell r="D1606" t="str">
            <v>N/A</v>
          </cell>
          <cell r="E1606" t="str">
            <v>39217/Y1303-20 ALTAMAR SOMBRERO</v>
          </cell>
          <cell r="F1606" t="str">
            <v>SOMBRERO</v>
          </cell>
          <cell r="G1606" t="str">
            <v>39217/Y1303-20</v>
          </cell>
          <cell r="H1606" t="str">
            <v>ALTAMAR</v>
          </cell>
          <cell r="I1606">
            <v>5.92</v>
          </cell>
        </row>
        <row r="1607">
          <cell r="A1607" t="str">
            <v>19-01606</v>
          </cell>
          <cell r="B1607" t="str">
            <v>ORKHON GROUP</v>
          </cell>
          <cell r="C1607" t="str">
            <v>A</v>
          </cell>
          <cell r="D1607" t="str">
            <v>N/A</v>
          </cell>
          <cell r="E1607" t="str">
            <v>38774/Y1303-10 ALTAMAR SOMBRERO</v>
          </cell>
          <cell r="F1607" t="str">
            <v>SOMBRERO</v>
          </cell>
          <cell r="G1607" t="str">
            <v>38774/Y1303-10</v>
          </cell>
          <cell r="H1607" t="str">
            <v>ALTAMAR</v>
          </cell>
          <cell r="I1607">
            <v>6.95</v>
          </cell>
        </row>
        <row r="1608">
          <cell r="A1608" t="str">
            <v>19-01607</v>
          </cell>
          <cell r="B1608" t="str">
            <v>ORKHON GROUP</v>
          </cell>
          <cell r="C1608" t="str">
            <v>A</v>
          </cell>
          <cell r="D1608" t="str">
            <v>N/A</v>
          </cell>
          <cell r="E1608" t="str">
            <v>38546/BX783 ALTAMAR SOMBRERO</v>
          </cell>
          <cell r="F1608" t="str">
            <v>SOMBRERO</v>
          </cell>
          <cell r="G1608" t="str">
            <v>38546/BX783</v>
          </cell>
          <cell r="H1608" t="str">
            <v>ALTAMAR</v>
          </cell>
          <cell r="I1608">
            <v>8.74</v>
          </cell>
        </row>
        <row r="1609">
          <cell r="A1609" t="str">
            <v>19-01608</v>
          </cell>
          <cell r="B1609" t="str">
            <v>ORKHON GROUP</v>
          </cell>
          <cell r="C1609" t="str">
            <v>A</v>
          </cell>
          <cell r="D1609" t="str">
            <v>N/A</v>
          </cell>
          <cell r="E1609" t="str">
            <v>039-1207 ALTAMAR BOLSO DE PLAYA</v>
          </cell>
          <cell r="F1609" t="str">
            <v>BOLSO</v>
          </cell>
          <cell r="G1609" t="str">
            <v>039-1207</v>
          </cell>
          <cell r="H1609" t="str">
            <v>ALTAMAR</v>
          </cell>
          <cell r="I1609">
            <v>20</v>
          </cell>
        </row>
        <row r="1610">
          <cell r="A1610" t="str">
            <v>19-01609</v>
          </cell>
          <cell r="B1610" t="str">
            <v>ORKHON GROUP</v>
          </cell>
          <cell r="C1610" t="str">
            <v>A</v>
          </cell>
          <cell r="D1610" t="str">
            <v>N/A</v>
          </cell>
          <cell r="E1610" t="str">
            <v>G-1303-27 ALTAMAR BUFANDA</v>
          </cell>
          <cell r="F1610" t="str">
            <v>BUFANDA</v>
          </cell>
          <cell r="G1610" t="str">
            <v>G-1303-27</v>
          </cell>
          <cell r="H1610" t="str">
            <v>ALTAMAR</v>
          </cell>
          <cell r="I1610">
            <v>11.37</v>
          </cell>
        </row>
        <row r="1611">
          <cell r="A1611" t="str">
            <v>19-01610</v>
          </cell>
          <cell r="B1611" t="str">
            <v>ORKHON GROUP</v>
          </cell>
          <cell r="C1611" t="str">
            <v>A</v>
          </cell>
          <cell r="D1611" t="str">
            <v>N/A</v>
          </cell>
          <cell r="E1611" t="str">
            <v>1F-11357/Y1303-193 ALTAMAR BOLSO PLAYA</v>
          </cell>
          <cell r="F1611" t="str">
            <v>BOLSO</v>
          </cell>
          <cell r="G1611" t="str">
            <v>1F-11357/Y1303-19</v>
          </cell>
          <cell r="H1611" t="str">
            <v>ALTAMAR</v>
          </cell>
          <cell r="I1611">
            <v>13.75</v>
          </cell>
        </row>
        <row r="1612">
          <cell r="A1612" t="str">
            <v>19-01611</v>
          </cell>
          <cell r="B1612" t="str">
            <v>ORKHON GROUP</v>
          </cell>
          <cell r="C1612" t="str">
            <v>A</v>
          </cell>
          <cell r="D1612" t="str">
            <v>N/A</v>
          </cell>
          <cell r="E1612" t="str">
            <v>G-1303-16 ALTAMAR BUFANDA</v>
          </cell>
          <cell r="F1612" t="str">
            <v>BUFANDA</v>
          </cell>
          <cell r="G1612" t="str">
            <v>G-1303-16</v>
          </cell>
          <cell r="H1612" t="str">
            <v>ALTAMAR</v>
          </cell>
          <cell r="I1612">
            <v>4.38</v>
          </cell>
        </row>
        <row r="1613">
          <cell r="A1613" t="str">
            <v>19-01612</v>
          </cell>
          <cell r="B1613" t="str">
            <v>ORKHON GROUP</v>
          </cell>
          <cell r="C1613" t="str">
            <v>A</v>
          </cell>
          <cell r="D1613" t="str">
            <v>N/A</v>
          </cell>
          <cell r="E1613" t="str">
            <v>46722/Y1303-63 ALTAMAR BUFANDA</v>
          </cell>
          <cell r="F1613" t="str">
            <v>BUFANDA</v>
          </cell>
          <cell r="G1613" t="str">
            <v>46722/Y1303-63</v>
          </cell>
          <cell r="H1613" t="str">
            <v>ALTAMAR</v>
          </cell>
          <cell r="I1613">
            <v>3.38</v>
          </cell>
        </row>
        <row r="1614">
          <cell r="A1614" t="str">
            <v>19-01613</v>
          </cell>
          <cell r="B1614" t="str">
            <v>ORKHON GROUP</v>
          </cell>
          <cell r="C1614" t="str">
            <v>A</v>
          </cell>
          <cell r="D1614" t="str">
            <v>N/A</v>
          </cell>
          <cell r="E1614" t="str">
            <v>G-1303-19 ALTAMAR BUFANDA</v>
          </cell>
          <cell r="F1614" t="str">
            <v>BUFANDA</v>
          </cell>
          <cell r="G1614" t="str">
            <v>G-1303-19</v>
          </cell>
          <cell r="H1614" t="str">
            <v>ALTAMAR</v>
          </cell>
          <cell r="I1614">
            <v>9.24</v>
          </cell>
        </row>
        <row r="1615">
          <cell r="A1615" t="str">
            <v>19-01614</v>
          </cell>
          <cell r="B1615" t="str">
            <v>ORKHON GROUP</v>
          </cell>
          <cell r="C1615" t="str">
            <v>A</v>
          </cell>
          <cell r="D1615" t="str">
            <v>N/A</v>
          </cell>
          <cell r="E1615" t="str">
            <v>G-1303-29 ALTAMAR BUFANDA LISA</v>
          </cell>
          <cell r="F1615" t="str">
            <v>BUFANDA</v>
          </cell>
          <cell r="G1615" t="str">
            <v>G-1303-29</v>
          </cell>
          <cell r="H1615" t="str">
            <v>ALTAMAR</v>
          </cell>
          <cell r="I1615">
            <v>6.2</v>
          </cell>
        </row>
        <row r="1616">
          <cell r="A1616" t="str">
            <v>19-01615</v>
          </cell>
          <cell r="B1616" t="str">
            <v>ORKHON GROUP</v>
          </cell>
          <cell r="C1616" t="str">
            <v>A</v>
          </cell>
          <cell r="D1616" t="str">
            <v>N/A</v>
          </cell>
          <cell r="E1616" t="str">
            <v>38774/Y1303-14 ALTAMAR SOMBRERO</v>
          </cell>
          <cell r="F1616" t="str">
            <v>SOMBRERO</v>
          </cell>
          <cell r="G1616" t="str">
            <v>38774/Y1303-14</v>
          </cell>
          <cell r="H1616" t="str">
            <v>ALTAMAR</v>
          </cell>
          <cell r="I1616">
            <v>6.96</v>
          </cell>
        </row>
        <row r="1617">
          <cell r="A1617" t="str">
            <v>19-01616</v>
          </cell>
          <cell r="B1617" t="str">
            <v>ORKHON GROUP</v>
          </cell>
          <cell r="C1617" t="str">
            <v>A</v>
          </cell>
          <cell r="D1617" t="str">
            <v>N/A</v>
          </cell>
          <cell r="E1617" t="str">
            <v>38774/Y1303-06 ALTAMAR SOMBRERO</v>
          </cell>
          <cell r="F1617" t="str">
            <v>SOMBRERO</v>
          </cell>
          <cell r="G1617" t="str">
            <v>38774/Y1303-06</v>
          </cell>
          <cell r="H1617" t="str">
            <v>ALTAMAR</v>
          </cell>
          <cell r="I1617">
            <v>6.24</v>
          </cell>
        </row>
        <row r="1618">
          <cell r="A1618" t="str">
            <v>19-01617</v>
          </cell>
          <cell r="B1618" t="str">
            <v>ORKHON GROUP</v>
          </cell>
          <cell r="C1618" t="str">
            <v>A</v>
          </cell>
          <cell r="D1618" t="str">
            <v>N/A</v>
          </cell>
          <cell r="E1618" t="str">
            <v>G-1303-18 ALTAMAR BUFANDA</v>
          </cell>
          <cell r="F1618" t="str">
            <v>BUFANDA</v>
          </cell>
          <cell r="G1618" t="str">
            <v>G-1303-18</v>
          </cell>
          <cell r="H1618" t="str">
            <v>ALTAMAR</v>
          </cell>
          <cell r="I1618">
            <v>6.2</v>
          </cell>
        </row>
        <row r="1619">
          <cell r="A1619" t="str">
            <v>19-01618</v>
          </cell>
          <cell r="B1619" t="str">
            <v>ORKHON GROUP</v>
          </cell>
          <cell r="C1619" t="str">
            <v>A</v>
          </cell>
          <cell r="D1619" t="str">
            <v>N/A</v>
          </cell>
          <cell r="E1619" t="str">
            <v>G-1303-34 ALTAMAR BUFANDA</v>
          </cell>
          <cell r="F1619" t="str">
            <v>BUFANDA</v>
          </cell>
          <cell r="G1619" t="str">
            <v>G-1303-34</v>
          </cell>
          <cell r="H1619" t="str">
            <v>ALTAMAR</v>
          </cell>
          <cell r="I1619">
            <v>11.37</v>
          </cell>
        </row>
        <row r="1620">
          <cell r="A1620" t="str">
            <v>19-01619</v>
          </cell>
          <cell r="B1620" t="str">
            <v>ORKHON GROUP</v>
          </cell>
          <cell r="C1620" t="str">
            <v>A</v>
          </cell>
          <cell r="D1620" t="str">
            <v>N/A</v>
          </cell>
          <cell r="E1620" t="str">
            <v>1F-11357/Y1303-185 ALTAMAR BOLSO PLAYA</v>
          </cell>
          <cell r="F1620" t="str">
            <v>BOLSO</v>
          </cell>
          <cell r="G1620" t="str">
            <v>1F-11357/Y1303-18</v>
          </cell>
          <cell r="H1620" t="str">
            <v>ALTAMAR</v>
          </cell>
          <cell r="I1620">
            <v>13</v>
          </cell>
        </row>
        <row r="1621">
          <cell r="A1621" t="str">
            <v>19-01620</v>
          </cell>
          <cell r="B1621" t="str">
            <v>ORKHON GROUP</v>
          </cell>
          <cell r="C1621" t="str">
            <v>A</v>
          </cell>
          <cell r="D1621" t="str">
            <v>N/A</v>
          </cell>
          <cell r="E1621" t="str">
            <v>1F-11357/Y1303-199 ALTAMAR BOLSO PLAYA</v>
          </cell>
          <cell r="F1621" t="str">
            <v>BOLSO</v>
          </cell>
          <cell r="G1621" t="str">
            <v>1F-11357/Y1303-19</v>
          </cell>
          <cell r="H1621" t="str">
            <v>ALTAMAR</v>
          </cell>
          <cell r="I1621">
            <v>8.8000000000000007</v>
          </cell>
        </row>
        <row r="1622">
          <cell r="A1622" t="str">
            <v>19-01621</v>
          </cell>
          <cell r="B1622" t="str">
            <v>ORKHON GROUP</v>
          </cell>
          <cell r="C1622" t="str">
            <v>A</v>
          </cell>
          <cell r="D1622" t="str">
            <v>N/A</v>
          </cell>
          <cell r="E1622" t="str">
            <v>39217/Y1303-19 ALTAMAR SOMBRERO</v>
          </cell>
          <cell r="F1622" t="str">
            <v>SOMBRERO</v>
          </cell>
          <cell r="G1622" t="str">
            <v>39217/Y1303-19</v>
          </cell>
          <cell r="H1622" t="str">
            <v>ALTAMAR</v>
          </cell>
          <cell r="I1622">
            <v>5.92</v>
          </cell>
        </row>
        <row r="1623">
          <cell r="A1623" t="str">
            <v>19-01622</v>
          </cell>
          <cell r="B1623" t="str">
            <v>ORKHON GROUP</v>
          </cell>
          <cell r="C1623" t="str">
            <v>A</v>
          </cell>
          <cell r="D1623" t="str">
            <v>N/A</v>
          </cell>
          <cell r="E1623" t="str">
            <v>39359/Y1303-49 ALTAMAR SOMBRERO</v>
          </cell>
          <cell r="F1623" t="str">
            <v>SOMBRERO</v>
          </cell>
          <cell r="G1623" t="str">
            <v>39359/Y1303-49</v>
          </cell>
          <cell r="H1623" t="str">
            <v>ALTAMAR</v>
          </cell>
          <cell r="I1623">
            <v>6.95</v>
          </cell>
        </row>
        <row r="1624">
          <cell r="A1624" t="str">
            <v>19-01623</v>
          </cell>
          <cell r="B1624" t="str">
            <v>ORKHON GROUP</v>
          </cell>
          <cell r="C1624" t="str">
            <v>A</v>
          </cell>
          <cell r="D1624" t="str">
            <v>N/A</v>
          </cell>
          <cell r="E1624" t="str">
            <v>39359/Y1303-47 ALTAMAR SOMBRERO</v>
          </cell>
          <cell r="F1624" t="str">
            <v>SOMBRERO</v>
          </cell>
          <cell r="G1624" t="str">
            <v>39359/Y1303-47</v>
          </cell>
          <cell r="H1624" t="str">
            <v>ALTAMAR</v>
          </cell>
          <cell r="I1624">
            <v>5.94</v>
          </cell>
        </row>
        <row r="1625">
          <cell r="A1625" t="str">
            <v>19-01624</v>
          </cell>
          <cell r="B1625" t="str">
            <v>ORKHON GROUP</v>
          </cell>
          <cell r="C1625" t="str">
            <v>A</v>
          </cell>
          <cell r="D1625" t="str">
            <v>N/A</v>
          </cell>
          <cell r="E1625" t="str">
            <v>38774/Y1303-02 ALTAMAR SOMBRERO</v>
          </cell>
          <cell r="F1625" t="str">
            <v>SOMBRERO</v>
          </cell>
          <cell r="G1625" t="str">
            <v>38774/Y1303-02</v>
          </cell>
          <cell r="H1625" t="str">
            <v>ALTAMAR</v>
          </cell>
          <cell r="I1625">
            <v>6.19</v>
          </cell>
        </row>
        <row r="1626">
          <cell r="A1626" t="str">
            <v>19-01625</v>
          </cell>
          <cell r="B1626" t="str">
            <v>ORKHON GROUP</v>
          </cell>
          <cell r="C1626" t="str">
            <v>A</v>
          </cell>
          <cell r="D1626" t="str">
            <v>N/A</v>
          </cell>
          <cell r="E1626" t="str">
            <v>G-1303-25 ALTAMAR BUFANDA</v>
          </cell>
          <cell r="F1626" t="str">
            <v>BUFANDA</v>
          </cell>
          <cell r="G1626" t="str">
            <v>G-1303-25</v>
          </cell>
          <cell r="H1626" t="str">
            <v>ALTAMAR</v>
          </cell>
          <cell r="I1626">
            <v>4.9000000000000004</v>
          </cell>
        </row>
        <row r="1627">
          <cell r="A1627" t="str">
            <v>19-01626</v>
          </cell>
          <cell r="B1627" t="str">
            <v>ORKHON GROUP</v>
          </cell>
          <cell r="C1627" t="str">
            <v>A</v>
          </cell>
          <cell r="D1627" t="str">
            <v>N/A</v>
          </cell>
          <cell r="E1627" t="str">
            <v>46722/Y1303-65 ALTAMAR BUFANDA ZBRA 2COLORES</v>
          </cell>
          <cell r="F1627" t="str">
            <v>BUFANDA</v>
          </cell>
          <cell r="G1627" t="str">
            <v>46722/Y1303-65</v>
          </cell>
          <cell r="H1627" t="str">
            <v>ALTAMAR</v>
          </cell>
          <cell r="I1627">
            <v>4.9000000000000004</v>
          </cell>
        </row>
        <row r="1628">
          <cell r="A1628" t="str">
            <v>19-01627</v>
          </cell>
          <cell r="B1628" t="str">
            <v>ORKHON GROUP</v>
          </cell>
          <cell r="C1628" t="str">
            <v>A</v>
          </cell>
          <cell r="D1628" t="str">
            <v>N/A</v>
          </cell>
          <cell r="E1628" t="str">
            <v>46722/Y1303-61 ALTAMAR BUFANDA</v>
          </cell>
          <cell r="F1628" t="str">
            <v>BUFANDA</v>
          </cell>
          <cell r="G1628" t="str">
            <v>46722/Y1303-61</v>
          </cell>
          <cell r="H1628" t="str">
            <v>ALTAMAR</v>
          </cell>
          <cell r="I1628">
            <v>2.25</v>
          </cell>
        </row>
        <row r="1629">
          <cell r="A1629" t="str">
            <v>19-01628</v>
          </cell>
          <cell r="B1629" t="str">
            <v>ORKHON GROUP</v>
          </cell>
          <cell r="C1629" t="str">
            <v>A</v>
          </cell>
          <cell r="D1629" t="str">
            <v>N/A</v>
          </cell>
          <cell r="E1629" t="str">
            <v>38774/Y1303-12 ALTAMAR SOMBRERO</v>
          </cell>
          <cell r="F1629" t="str">
            <v>SOMBRERO</v>
          </cell>
          <cell r="G1629" t="str">
            <v>38774/Y1303-12</v>
          </cell>
          <cell r="H1629" t="str">
            <v>ALTAMAR</v>
          </cell>
          <cell r="I1629">
            <v>6.07</v>
          </cell>
        </row>
        <row r="1630">
          <cell r="A1630" t="str">
            <v>19-01629</v>
          </cell>
          <cell r="B1630" t="str">
            <v>ORKHON GROUP</v>
          </cell>
          <cell r="C1630" t="str">
            <v>A</v>
          </cell>
          <cell r="D1630" t="str">
            <v>N/A</v>
          </cell>
          <cell r="E1630" t="str">
            <v>G-1303-20 ALTAMAR BUFANDA</v>
          </cell>
          <cell r="F1630" t="str">
            <v>BUFANDA</v>
          </cell>
          <cell r="G1630" t="str">
            <v>G-1303-20</v>
          </cell>
          <cell r="H1630" t="str">
            <v>ALTAMAR</v>
          </cell>
          <cell r="I1630">
            <v>10.15</v>
          </cell>
        </row>
        <row r="1631">
          <cell r="A1631" t="str">
            <v>19-01630</v>
          </cell>
          <cell r="B1631" t="str">
            <v>ORKHON GROUP</v>
          </cell>
          <cell r="C1631" t="str">
            <v>A</v>
          </cell>
          <cell r="D1631" t="str">
            <v>N/A</v>
          </cell>
          <cell r="E1631" t="str">
            <v>46298/P-1 ALTAMAR BUFANDA</v>
          </cell>
          <cell r="F1631" t="str">
            <v>BUFANDA</v>
          </cell>
          <cell r="G1631" t="str">
            <v>46298/P-1</v>
          </cell>
          <cell r="H1631" t="str">
            <v>ALTAMAR</v>
          </cell>
          <cell r="I1631">
            <v>8.33</v>
          </cell>
        </row>
        <row r="1632">
          <cell r="A1632" t="str">
            <v>19-01631</v>
          </cell>
          <cell r="B1632" t="str">
            <v>ORKHON GROUP</v>
          </cell>
          <cell r="C1632" t="str">
            <v>A</v>
          </cell>
          <cell r="D1632" t="str">
            <v>N/A</v>
          </cell>
          <cell r="E1632" t="str">
            <v>46265/50-1207 ALTAMAR BUFANDA</v>
          </cell>
          <cell r="F1632" t="str">
            <v>BUFANDA</v>
          </cell>
          <cell r="G1632" t="str">
            <v>46265/50-1207</v>
          </cell>
          <cell r="H1632" t="str">
            <v>ALTAMAR</v>
          </cell>
          <cell r="I1632">
            <v>4.38</v>
          </cell>
        </row>
        <row r="1633">
          <cell r="A1633" t="str">
            <v>19-01632</v>
          </cell>
          <cell r="B1633" t="str">
            <v>ORKHON GROUP</v>
          </cell>
          <cell r="C1633" t="str">
            <v>A</v>
          </cell>
          <cell r="D1633" t="str">
            <v>N/A</v>
          </cell>
          <cell r="E1633" t="str">
            <v>46265/48-1207 ALTAMAR BUFANDA</v>
          </cell>
          <cell r="F1633" t="str">
            <v>BUFANDA</v>
          </cell>
          <cell r="G1633" t="str">
            <v>46265/48-1207</v>
          </cell>
          <cell r="H1633" t="str">
            <v>ALTAMAR</v>
          </cell>
          <cell r="I1633">
            <v>6.05</v>
          </cell>
        </row>
        <row r="1634">
          <cell r="A1634" t="str">
            <v>19-01633</v>
          </cell>
          <cell r="B1634" t="str">
            <v>ORKHON GROUP</v>
          </cell>
          <cell r="C1634" t="str">
            <v>A</v>
          </cell>
          <cell r="D1634" t="str">
            <v>N/A</v>
          </cell>
          <cell r="E1634" t="str">
            <v>1F-11357/Y1303-189 ALTAMAR BOLSO PLAYA</v>
          </cell>
          <cell r="F1634" t="str">
            <v>BOLSO</v>
          </cell>
          <cell r="G1634" t="str">
            <v>1F-11357/Y1303-18</v>
          </cell>
          <cell r="H1634" t="str">
            <v>ALTAMAR</v>
          </cell>
          <cell r="I1634">
            <v>16</v>
          </cell>
        </row>
        <row r="1635">
          <cell r="A1635" t="str">
            <v>19-01634</v>
          </cell>
          <cell r="B1635" t="str">
            <v>ORKHON GROUP</v>
          </cell>
          <cell r="C1635" t="str">
            <v>A</v>
          </cell>
          <cell r="D1635" t="str">
            <v>N/A</v>
          </cell>
          <cell r="E1635" t="str">
            <v>117-HT2774 ALTAMAR SOMBRERO</v>
          </cell>
          <cell r="F1635" t="str">
            <v>SOMBRERO</v>
          </cell>
          <cell r="G1635" t="str">
            <v>117-HT2774</v>
          </cell>
          <cell r="H1635" t="str">
            <v>ALTAMAR</v>
          </cell>
          <cell r="I1635">
            <v>8.4600000000000009</v>
          </cell>
        </row>
        <row r="1636">
          <cell r="A1636" t="str">
            <v>19-01635</v>
          </cell>
          <cell r="B1636" t="str">
            <v>ORKHON GROUP</v>
          </cell>
          <cell r="C1636" t="str">
            <v>A</v>
          </cell>
          <cell r="D1636" t="str">
            <v>N/A</v>
          </cell>
          <cell r="E1636" t="str">
            <v>2E-5674/JM-11-77 ALTAMAR COLLAR</v>
          </cell>
          <cell r="F1636" t="str">
            <v>COLLAR</v>
          </cell>
          <cell r="G1636" t="str">
            <v>2E-5674/JM-11-77</v>
          </cell>
          <cell r="H1636" t="str">
            <v>ALTAMAR</v>
          </cell>
          <cell r="I1636">
            <v>0.98</v>
          </cell>
        </row>
        <row r="1637">
          <cell r="A1637" t="str">
            <v>19-01636</v>
          </cell>
          <cell r="B1637" t="str">
            <v>ORKHON GROUP</v>
          </cell>
          <cell r="C1637" t="str">
            <v>A</v>
          </cell>
          <cell r="D1637" t="str">
            <v>N/A</v>
          </cell>
          <cell r="E1637" t="str">
            <v>2E-5669/Y1303-/97 ALTAMAR FLECOS PULSERAS CLOE</v>
          </cell>
          <cell r="F1637" t="str">
            <v>BRAZALETE</v>
          </cell>
          <cell r="G1637" t="str">
            <v>2E-5669/Y1303-/97</v>
          </cell>
          <cell r="H1637" t="str">
            <v>ALTAMAR</v>
          </cell>
          <cell r="I1637">
            <v>0.86</v>
          </cell>
        </row>
        <row r="1638">
          <cell r="A1638" t="str">
            <v>19-01637</v>
          </cell>
          <cell r="B1638" t="str">
            <v>ORKHON GROUP</v>
          </cell>
          <cell r="C1638" t="str">
            <v>A</v>
          </cell>
          <cell r="D1638" t="str">
            <v>N/A</v>
          </cell>
          <cell r="E1638" t="str">
            <v>2C-4268/4268 ALTAMAR 7 BRAZALETE</v>
          </cell>
          <cell r="F1638" t="str">
            <v>BRAZALETE</v>
          </cell>
          <cell r="G1638" t="str">
            <v>2C-4268/4268</v>
          </cell>
          <cell r="H1638" t="str">
            <v>ALTAMAR</v>
          </cell>
          <cell r="I1638">
            <v>0.97</v>
          </cell>
        </row>
        <row r="1639">
          <cell r="A1639" t="str">
            <v>19-01638</v>
          </cell>
          <cell r="B1639" t="str">
            <v>ORKHON GROUP</v>
          </cell>
          <cell r="C1639" t="str">
            <v>A</v>
          </cell>
          <cell r="D1639" t="str">
            <v>N/A</v>
          </cell>
          <cell r="E1639" t="str">
            <v>C-1303-18 ALTAMAR BOLSO PLAYA</v>
          </cell>
          <cell r="F1639" t="str">
            <v>BOLSO</v>
          </cell>
          <cell r="G1639" t="str">
            <v>C-1303-18</v>
          </cell>
          <cell r="H1639" t="str">
            <v>ALTAMAR</v>
          </cell>
          <cell r="I1639">
            <v>16</v>
          </cell>
        </row>
        <row r="1640">
          <cell r="A1640" t="str">
            <v>19-01639</v>
          </cell>
          <cell r="B1640" t="str">
            <v>ORKHON GROUP</v>
          </cell>
          <cell r="C1640" t="str">
            <v>A</v>
          </cell>
          <cell r="D1640" t="str">
            <v>N/A</v>
          </cell>
          <cell r="E1640" t="str">
            <v>2E-5669/Y1303-102 ALTAMAR PULSERAS CLOE _x0001_</v>
          </cell>
          <cell r="F1640" t="str">
            <v>BRAZALETE</v>
          </cell>
          <cell r="G1640" t="str">
            <v>2E-5669/Y1303-102</v>
          </cell>
          <cell r="H1640" t="str">
            <v>ALTAMAR</v>
          </cell>
          <cell r="I1640">
            <v>1.68</v>
          </cell>
        </row>
        <row r="1641">
          <cell r="A1641" t="str">
            <v>19-01640</v>
          </cell>
          <cell r="B1641" t="str">
            <v>ORKHON GROUP</v>
          </cell>
          <cell r="C1641" t="str">
            <v>A</v>
          </cell>
          <cell r="D1641" t="str">
            <v>N/A</v>
          </cell>
          <cell r="E1641" t="str">
            <v>2C-4350/1303-218 ALTAMAR PULSERAS CLOE</v>
          </cell>
          <cell r="F1641" t="str">
            <v>BRAZALETE</v>
          </cell>
          <cell r="G1641" t="str">
            <v>2C-4350/1303-218</v>
          </cell>
          <cell r="H1641" t="str">
            <v>ALTAMAR</v>
          </cell>
          <cell r="I1641">
            <v>1.2</v>
          </cell>
        </row>
        <row r="1642">
          <cell r="A1642" t="str">
            <v>19-01641</v>
          </cell>
          <cell r="B1642" t="str">
            <v>ORKHON GROUP</v>
          </cell>
          <cell r="C1642" t="str">
            <v>A</v>
          </cell>
          <cell r="D1642" t="str">
            <v>N/A</v>
          </cell>
          <cell r="E1642" t="str">
            <v>2C-4350/1303-220 ALTAMAR PULSERAS CLOE</v>
          </cell>
          <cell r="F1642" t="str">
            <v>BRAZALETE</v>
          </cell>
          <cell r="G1642" t="str">
            <v>2C-4350/1303-220</v>
          </cell>
          <cell r="H1642" t="str">
            <v>ALTAMAR</v>
          </cell>
          <cell r="I1642">
            <v>1.26</v>
          </cell>
        </row>
        <row r="1643">
          <cell r="A1643" t="str">
            <v>19-01642</v>
          </cell>
          <cell r="B1643" t="str">
            <v>ORKHON GROUP</v>
          </cell>
          <cell r="C1643" t="str">
            <v>A</v>
          </cell>
          <cell r="D1643" t="str">
            <v>N/A</v>
          </cell>
          <cell r="E1643" t="str">
            <v>2E-5669/Y1303-99B ALTAMAR PULSERAS CLOE</v>
          </cell>
          <cell r="F1643" t="str">
            <v>BRAZALETE</v>
          </cell>
          <cell r="G1643" t="str">
            <v>2E-5669/Y1303-99B</v>
          </cell>
          <cell r="H1643" t="str">
            <v>ALTAMAR</v>
          </cell>
          <cell r="I1643">
            <v>0.99</v>
          </cell>
        </row>
        <row r="1644">
          <cell r="A1644" t="str">
            <v>19-01643</v>
          </cell>
          <cell r="B1644" t="str">
            <v>ORKHON GROUP</v>
          </cell>
          <cell r="C1644" t="str">
            <v>A</v>
          </cell>
          <cell r="D1644" t="str">
            <v>N/A</v>
          </cell>
          <cell r="E1644" t="str">
            <v>2E-5669/Y1203-155C ALTAMAR BRAZALETE</v>
          </cell>
          <cell r="F1644" t="str">
            <v>BRAZALETE</v>
          </cell>
          <cell r="G1644" t="str">
            <v>2E-5669/Y1203-155</v>
          </cell>
          <cell r="H1644" t="str">
            <v>ALTAMAR</v>
          </cell>
          <cell r="I1644">
            <v>0.98</v>
          </cell>
        </row>
        <row r="1645">
          <cell r="A1645" t="str">
            <v>19-01644</v>
          </cell>
          <cell r="B1645" t="str">
            <v>ORKHON GROUP</v>
          </cell>
          <cell r="C1645" t="str">
            <v>A</v>
          </cell>
          <cell r="D1645" t="str">
            <v>N/A</v>
          </cell>
          <cell r="E1645" t="str">
            <v>2C4350/1303-214 ALTAMAR PULSERAS</v>
          </cell>
          <cell r="F1645" t="str">
            <v>BRAZALETE</v>
          </cell>
          <cell r="G1645" t="str">
            <v>2C4350/1303-214</v>
          </cell>
          <cell r="H1645" t="str">
            <v>ALTAMAR</v>
          </cell>
          <cell r="I1645">
            <v>0.99</v>
          </cell>
        </row>
        <row r="1646">
          <cell r="A1646" t="str">
            <v>19-01645</v>
          </cell>
          <cell r="B1646" t="str">
            <v>ORKHON GROUP</v>
          </cell>
          <cell r="C1646" t="str">
            <v>A</v>
          </cell>
          <cell r="D1646" t="str">
            <v>N/A</v>
          </cell>
          <cell r="E1646" t="str">
            <v>2C-4350/1303-216 ALTAMAR PULSERAS CLOE</v>
          </cell>
          <cell r="F1646" t="str">
            <v>BRAZALETE</v>
          </cell>
          <cell r="G1646" t="str">
            <v>2C-4350/1303-216</v>
          </cell>
          <cell r="H1646" t="str">
            <v>ALTAMAR</v>
          </cell>
          <cell r="I1646">
            <v>1.26</v>
          </cell>
        </row>
        <row r="1647">
          <cell r="A1647" t="str">
            <v>19-01646</v>
          </cell>
          <cell r="B1647" t="str">
            <v>ORKHON GROUP</v>
          </cell>
          <cell r="C1647" t="str">
            <v>A</v>
          </cell>
          <cell r="D1647" t="str">
            <v>N/A</v>
          </cell>
          <cell r="E1647" t="str">
            <v>2C-4350/1303-217 ALTAMAR PULSERAS CLOE</v>
          </cell>
          <cell r="F1647" t="str">
            <v>BRAZALETE</v>
          </cell>
          <cell r="G1647" t="str">
            <v>2C-4350/1303-217</v>
          </cell>
          <cell r="H1647" t="str">
            <v>ALTAMAR</v>
          </cell>
          <cell r="I1647">
            <v>1.05</v>
          </cell>
        </row>
        <row r="1648">
          <cell r="A1648" t="str">
            <v>19-01647</v>
          </cell>
          <cell r="B1648" t="str">
            <v>ORKHON GROUP</v>
          </cell>
          <cell r="C1648" t="str">
            <v>A</v>
          </cell>
          <cell r="D1648" t="str">
            <v>N/A</v>
          </cell>
          <cell r="E1648" t="str">
            <v>2C-4350/1303-226 ALTAMAR PULSERAS CLOE</v>
          </cell>
          <cell r="F1648" t="str">
            <v>BRAZALETE</v>
          </cell>
          <cell r="G1648" t="str">
            <v>2C-4350/1303-226</v>
          </cell>
          <cell r="H1648" t="str">
            <v>ALTAMAR</v>
          </cell>
          <cell r="I1648">
            <v>1.05</v>
          </cell>
        </row>
        <row r="1649">
          <cell r="A1649" t="str">
            <v>19-01648</v>
          </cell>
          <cell r="B1649" t="str">
            <v>ORKHON GROUP</v>
          </cell>
          <cell r="C1649" t="str">
            <v>A</v>
          </cell>
          <cell r="D1649" t="str">
            <v>N/A</v>
          </cell>
          <cell r="E1649" t="str">
            <v>38774/Y1303-01 ALTAMAR SOMBRERO</v>
          </cell>
          <cell r="F1649" t="str">
            <v>SOMBRERO</v>
          </cell>
          <cell r="G1649" t="str">
            <v>38774/Y1303-01</v>
          </cell>
          <cell r="H1649" t="str">
            <v>ALTAMAR</v>
          </cell>
          <cell r="I1649">
            <v>6.9</v>
          </cell>
        </row>
        <row r="1650">
          <cell r="A1650" t="str">
            <v>19-01649</v>
          </cell>
          <cell r="B1650" t="str">
            <v>ORKHON GROUP</v>
          </cell>
          <cell r="C1650" t="str">
            <v>A</v>
          </cell>
          <cell r="D1650" t="str">
            <v>N/A</v>
          </cell>
          <cell r="E1650" t="str">
            <v>117-SHT2596 ALTAMAR SOMBRERO</v>
          </cell>
          <cell r="F1650" t="str">
            <v>SOMBRERO</v>
          </cell>
          <cell r="G1650" t="str">
            <v>117-SHT2596</v>
          </cell>
          <cell r="H1650" t="str">
            <v>ALTAMAR</v>
          </cell>
          <cell r="I1650">
            <v>7.8</v>
          </cell>
        </row>
        <row r="1651">
          <cell r="A1651" t="str">
            <v>19-01650</v>
          </cell>
          <cell r="B1651" t="str">
            <v>ORKHON GROUP</v>
          </cell>
          <cell r="C1651" t="str">
            <v>A</v>
          </cell>
          <cell r="D1651" t="str">
            <v>N/A</v>
          </cell>
          <cell r="E1651" t="str">
            <v>38774/Y1303-05 ALTAMAR SOMBRERO</v>
          </cell>
          <cell r="F1651" t="str">
            <v>SOMBRERO</v>
          </cell>
          <cell r="G1651" t="str">
            <v>38774/Y1303-05</v>
          </cell>
          <cell r="H1651" t="str">
            <v>ALTAMAR</v>
          </cell>
          <cell r="I1651">
            <v>6.22</v>
          </cell>
        </row>
        <row r="1652">
          <cell r="A1652" t="str">
            <v>19-01651</v>
          </cell>
          <cell r="B1652" t="str">
            <v>ORKHON GROUP</v>
          </cell>
          <cell r="C1652" t="str">
            <v>A</v>
          </cell>
          <cell r="D1652" t="str">
            <v>N/A</v>
          </cell>
          <cell r="E1652" t="str">
            <v>39217/Y1303-22 ALTAMAR SOMBRERO</v>
          </cell>
          <cell r="F1652" t="str">
            <v>SOMBRERO</v>
          </cell>
          <cell r="G1652" t="str">
            <v>39217/Y1303-22</v>
          </cell>
          <cell r="H1652" t="str">
            <v>ALTAMAR</v>
          </cell>
          <cell r="I1652">
            <v>6.19</v>
          </cell>
        </row>
        <row r="1653">
          <cell r="A1653" t="str">
            <v>19-01652</v>
          </cell>
          <cell r="B1653" t="str">
            <v>ORKHON GROUP</v>
          </cell>
          <cell r="C1653" t="str">
            <v>A</v>
          </cell>
          <cell r="D1653" t="str">
            <v>N/A</v>
          </cell>
          <cell r="E1653" t="str">
            <v>38774/Y1303-09 ALTAMAR SOMBRERO</v>
          </cell>
          <cell r="F1653" t="str">
            <v>SOMBRERO</v>
          </cell>
          <cell r="G1653" t="str">
            <v>38774/Y1303-09</v>
          </cell>
          <cell r="H1653" t="str">
            <v>ALTAMAR</v>
          </cell>
          <cell r="I1653">
            <v>6.95</v>
          </cell>
        </row>
        <row r="1654">
          <cell r="A1654" t="str">
            <v>19-01653</v>
          </cell>
          <cell r="B1654" t="str">
            <v>ORKHON GROUP</v>
          </cell>
          <cell r="C1654" t="str">
            <v>A</v>
          </cell>
          <cell r="D1654" t="str">
            <v>N/A</v>
          </cell>
          <cell r="E1654" t="str">
            <v>39217/Y1303-26 ALTAMAR SOMBRERO</v>
          </cell>
          <cell r="F1654" t="str">
            <v>SOMBRERO</v>
          </cell>
          <cell r="G1654" t="str">
            <v>39217/Y1303-26</v>
          </cell>
          <cell r="H1654" t="str">
            <v>ALTAMAR</v>
          </cell>
          <cell r="I1654">
            <v>5.92</v>
          </cell>
        </row>
        <row r="1655">
          <cell r="A1655" t="str">
            <v>19-01654</v>
          </cell>
          <cell r="B1655" t="str">
            <v>ORKHON GROUP</v>
          </cell>
          <cell r="C1655" t="str">
            <v>A</v>
          </cell>
          <cell r="D1655" t="str">
            <v>N/A</v>
          </cell>
          <cell r="E1655" t="str">
            <v>39217/Y1303-31 ALTAMAR SOMBRERO</v>
          </cell>
          <cell r="F1655" t="str">
            <v>SOMBRERO</v>
          </cell>
          <cell r="G1655" t="str">
            <v>39217/Y1303-31</v>
          </cell>
          <cell r="H1655" t="str">
            <v>ALTAMAR</v>
          </cell>
          <cell r="I1655">
            <v>9.5</v>
          </cell>
        </row>
        <row r="1656">
          <cell r="A1656" t="str">
            <v>19-01655</v>
          </cell>
          <cell r="B1656" t="str">
            <v>ORKHON GROUP</v>
          </cell>
          <cell r="C1656" t="str">
            <v>A</v>
          </cell>
          <cell r="D1656" t="str">
            <v>N/A</v>
          </cell>
          <cell r="E1656" t="str">
            <v>38774/Y1303-03 ALTAMAR SOMBRERO</v>
          </cell>
          <cell r="F1656" t="str">
            <v>SOMBRERO</v>
          </cell>
          <cell r="G1656" t="str">
            <v>38774/Y1303-03</v>
          </cell>
          <cell r="H1656" t="str">
            <v>ALTAMAR</v>
          </cell>
          <cell r="I1656">
            <v>6.95</v>
          </cell>
        </row>
        <row r="1657">
          <cell r="A1657" t="str">
            <v>19-01656</v>
          </cell>
          <cell r="B1657" t="str">
            <v>ORKHON GROUP</v>
          </cell>
          <cell r="C1657" t="str">
            <v>A</v>
          </cell>
          <cell r="D1657" t="str">
            <v>N/A</v>
          </cell>
          <cell r="E1657" t="str">
            <v>2C-4350/1303-219 ALTAMAR PULSERAS CLOE</v>
          </cell>
          <cell r="F1657" t="str">
            <v>BRAZALETE</v>
          </cell>
          <cell r="G1657" t="str">
            <v>2C-4350/1303-219</v>
          </cell>
          <cell r="H1657" t="str">
            <v>ALTAMAR</v>
          </cell>
          <cell r="I1657">
            <v>1.55</v>
          </cell>
        </row>
        <row r="1658">
          <cell r="A1658" t="str">
            <v>19-01657</v>
          </cell>
          <cell r="B1658" t="str">
            <v>ORKHON GROUP</v>
          </cell>
          <cell r="C1658" t="str">
            <v>A</v>
          </cell>
          <cell r="D1658" t="str">
            <v>N/A</v>
          </cell>
          <cell r="E1658" t="str">
            <v>G-1303-15 ALTAMAR BUFANDA</v>
          </cell>
          <cell r="F1658" t="str">
            <v>BUFANDA</v>
          </cell>
          <cell r="G1658" t="str">
            <v>G-1303-15</v>
          </cell>
          <cell r="H1658" t="str">
            <v>ALTAMAR</v>
          </cell>
          <cell r="I1658">
            <v>4.9000000000000004</v>
          </cell>
        </row>
        <row r="1659">
          <cell r="A1659" t="str">
            <v>19-01658</v>
          </cell>
          <cell r="B1659" t="str">
            <v>ORKHON GROUP</v>
          </cell>
          <cell r="C1659" t="str">
            <v>A</v>
          </cell>
          <cell r="D1659" t="str">
            <v>N/A</v>
          </cell>
          <cell r="E1659" t="str">
            <v>46265/39-1207 ALTAMAR BUFANDA</v>
          </cell>
          <cell r="F1659" t="str">
            <v>BUFANDA</v>
          </cell>
          <cell r="G1659" t="str">
            <v>46265/39-1207</v>
          </cell>
          <cell r="H1659" t="str">
            <v>ALTAMAR</v>
          </cell>
          <cell r="I1659">
            <v>4.38</v>
          </cell>
        </row>
        <row r="1660">
          <cell r="A1660" t="str">
            <v>19-01659</v>
          </cell>
          <cell r="B1660" t="str">
            <v>ORKHON GROUP</v>
          </cell>
          <cell r="C1660" t="str">
            <v>A</v>
          </cell>
          <cell r="D1660" t="str">
            <v>N/A</v>
          </cell>
          <cell r="E1660" t="str">
            <v>46722/Y1303-62 ALTAMAR BUFANDA</v>
          </cell>
          <cell r="F1660" t="str">
            <v>BUFANDA</v>
          </cell>
          <cell r="G1660" t="str">
            <v>46722/Y1303-62</v>
          </cell>
          <cell r="H1660" t="str">
            <v>ALTAMAR</v>
          </cell>
          <cell r="I1660">
            <v>2.25</v>
          </cell>
        </row>
        <row r="1661">
          <cell r="A1661" t="str">
            <v>19-01660</v>
          </cell>
          <cell r="B1661" t="str">
            <v>ORKHON GROUP</v>
          </cell>
          <cell r="C1661" t="str">
            <v>A</v>
          </cell>
          <cell r="D1661" t="str">
            <v>N/A</v>
          </cell>
          <cell r="E1661" t="str">
            <v>46265/47-1207 ALTAMAR BUFANDA</v>
          </cell>
          <cell r="F1661" t="str">
            <v>BUFANDA</v>
          </cell>
          <cell r="G1661" t="str">
            <v>46265/47-1207</v>
          </cell>
          <cell r="H1661" t="str">
            <v>ALTAMAR</v>
          </cell>
          <cell r="I1661">
            <v>3.38</v>
          </cell>
        </row>
        <row r="1662">
          <cell r="A1662" t="str">
            <v>19-01661</v>
          </cell>
          <cell r="B1662" t="str">
            <v>ORKHON GROUP</v>
          </cell>
          <cell r="C1662" t="str">
            <v>A</v>
          </cell>
          <cell r="D1662" t="str">
            <v>N/A</v>
          </cell>
          <cell r="E1662" t="str">
            <v>46265/42-1207 ALTAMAR BUFANDA</v>
          </cell>
          <cell r="F1662" t="str">
            <v>BUFANDA</v>
          </cell>
          <cell r="G1662" t="str">
            <v>46265/42-1207</v>
          </cell>
          <cell r="H1662" t="str">
            <v>ALTAMAR</v>
          </cell>
          <cell r="I1662">
            <v>2.25</v>
          </cell>
        </row>
        <row r="1663">
          <cell r="A1663" t="str">
            <v>19-01662</v>
          </cell>
          <cell r="B1663" t="str">
            <v>ORKHON GROUP</v>
          </cell>
          <cell r="C1663" t="str">
            <v>A</v>
          </cell>
          <cell r="D1663" t="str">
            <v>N/A</v>
          </cell>
          <cell r="E1663" t="str">
            <v>BUFANDA CON ACCESORIO 1207 ALTAMAR</v>
          </cell>
          <cell r="F1663" t="str">
            <v>BUFANDA</v>
          </cell>
          <cell r="G1663" t="str">
            <v>46265/42-1207</v>
          </cell>
          <cell r="H1663" t="str">
            <v>ALTAMAR</v>
          </cell>
          <cell r="I1663">
            <v>11.37</v>
          </cell>
        </row>
        <row r="1664">
          <cell r="A1664" t="str">
            <v>19-01663</v>
          </cell>
          <cell r="B1664" t="str">
            <v>DICARINA</v>
          </cell>
          <cell r="C1664" t="str">
            <v>D</v>
          </cell>
          <cell r="D1664" t="str">
            <v>N/A</v>
          </cell>
          <cell r="E1664" t="str">
            <v>EH30 HT LOCION BRONC FPS 4 12X240ML DISCONTINUED</v>
          </cell>
          <cell r="F1664" t="str">
            <v>SUN BLOCK</v>
          </cell>
          <cell r="G1664" t="str">
            <v>EH30</v>
          </cell>
          <cell r="H1664" t="str">
            <v>HAWAIIAN TROPIC</v>
          </cell>
          <cell r="I1664">
            <v>45.722000000000001</v>
          </cell>
        </row>
        <row r="1665">
          <cell r="A1665" t="str">
            <v>19-01664</v>
          </cell>
          <cell r="B1665" t="str">
            <v>DICARINA</v>
          </cell>
          <cell r="C1665" t="str">
            <v>D</v>
          </cell>
          <cell r="D1665" t="str">
            <v>N/A</v>
          </cell>
          <cell r="E1665" t="str">
            <v>EH58 HT BLOQUEADOR PLUS FPS 30 12X120ML DISCONTINUED</v>
          </cell>
          <cell r="F1665" t="str">
            <v>SUN BLOCK</v>
          </cell>
          <cell r="G1665" t="str">
            <v>EH58</v>
          </cell>
          <cell r="H1665" t="str">
            <v>HAWAIIAN TROPIC</v>
          </cell>
          <cell r="I1665">
            <v>52.581000000000003</v>
          </cell>
        </row>
        <row r="1666">
          <cell r="A1666" t="str">
            <v>19-01665</v>
          </cell>
          <cell r="B1666" t="str">
            <v>DICARINA</v>
          </cell>
          <cell r="C1666" t="str">
            <v>D</v>
          </cell>
          <cell r="D1666" t="str">
            <v>N/A</v>
          </cell>
          <cell r="E1666" t="str">
            <v>EH32 HT AC BRONCEADO SPRAY FPS 4 12X240ML DISCONTINUED</v>
          </cell>
          <cell r="F1666" t="str">
            <v>SUN BLOCK</v>
          </cell>
          <cell r="G1666" t="str">
            <v>EH32</v>
          </cell>
          <cell r="H1666" t="str">
            <v>HAWAIIAN TROPIC</v>
          </cell>
          <cell r="I1666">
            <v>49.42</v>
          </cell>
        </row>
        <row r="1667">
          <cell r="A1667" t="str">
            <v>19-01666</v>
          </cell>
          <cell r="B1667" t="str">
            <v>DICARINA</v>
          </cell>
          <cell r="C1667" t="str">
            <v>D</v>
          </cell>
          <cell r="D1667" t="str">
            <v>N/A</v>
          </cell>
          <cell r="E1667" t="str">
            <v>EH34 HT AC BRONCEADO SPRAY FPS 15 12X240ML DISCONTINUED</v>
          </cell>
          <cell r="F1667" t="str">
            <v>SUN BLOCK</v>
          </cell>
          <cell r="G1667" t="str">
            <v>EH34</v>
          </cell>
          <cell r="H1667" t="str">
            <v>HAWAIIAN TROPIC</v>
          </cell>
          <cell r="I1667">
            <v>63.835000000000001</v>
          </cell>
        </row>
        <row r="1668">
          <cell r="A1668" t="str">
            <v>19-01667</v>
          </cell>
          <cell r="B1668" t="str">
            <v>DICARINA</v>
          </cell>
          <cell r="C1668" t="str">
            <v>D</v>
          </cell>
          <cell r="D1668" t="str">
            <v>N/A</v>
          </cell>
          <cell r="E1668" t="str">
            <v>EH40 HT LOCION BRONCEADO ZANAHORIA FPS 10 12X240ML DISCONTINUED</v>
          </cell>
          <cell r="F1668" t="str">
            <v>SUN BLOCK</v>
          </cell>
          <cell r="G1668" t="str">
            <v>EH40</v>
          </cell>
          <cell r="H1668" t="str">
            <v>HAWAIIAN TROPIC</v>
          </cell>
          <cell r="I1668">
            <v>56.279000000000003</v>
          </cell>
        </row>
        <row r="1669">
          <cell r="A1669" t="str">
            <v>19-01668</v>
          </cell>
          <cell r="B1669" t="str">
            <v>DICARINA</v>
          </cell>
          <cell r="C1669" t="str">
            <v>D</v>
          </cell>
          <cell r="D1669" t="str">
            <v>N/A</v>
          </cell>
          <cell r="E1669" t="str">
            <v>EH45 HT COOL ALOE ICE 12X240ML DISCONTINUED</v>
          </cell>
          <cell r="F1669" t="str">
            <v>SUN BLOCK</v>
          </cell>
          <cell r="G1669" t="str">
            <v>EH45</v>
          </cell>
          <cell r="H1669" t="str">
            <v>HAWAIIAN TROPIC</v>
          </cell>
          <cell r="I1669">
            <v>45.024999999999999</v>
          </cell>
        </row>
        <row r="1670">
          <cell r="A1670" t="str">
            <v>19-01669</v>
          </cell>
          <cell r="B1670" t="str">
            <v>DICARINA</v>
          </cell>
          <cell r="C1670" t="str">
            <v>D</v>
          </cell>
          <cell r="D1670" t="str">
            <v>N/A</v>
          </cell>
          <cell r="E1670" t="str">
            <v>EH16 HT BLOQUEADOR PLUS FPS 60 12X240ML DISCONTINUED</v>
          </cell>
          <cell r="F1670" t="str">
            <v>SUN BLOCK</v>
          </cell>
          <cell r="G1670" t="str">
            <v>EH16</v>
          </cell>
          <cell r="H1670" t="str">
            <v>HAWAIIAN TROPIC</v>
          </cell>
          <cell r="I1670">
            <v>79.662000000000006</v>
          </cell>
        </row>
        <row r="1671">
          <cell r="A1671" t="str">
            <v>19-01670</v>
          </cell>
          <cell r="B1671" t="str">
            <v>DICARINA</v>
          </cell>
          <cell r="C1671" t="str">
            <v>D</v>
          </cell>
          <cell r="D1671" t="str">
            <v>N/A</v>
          </cell>
          <cell r="E1671" t="str">
            <v>EH65 HT LIP BALM ORI PRO SOL FPS 30 24X14OZ DISCONTINUED</v>
          </cell>
          <cell r="F1671" t="str">
            <v>SUN BLOCK</v>
          </cell>
          <cell r="G1671" t="str">
            <v>EH65</v>
          </cell>
          <cell r="H1671" t="str">
            <v>HAWAIIAN TROPIC</v>
          </cell>
          <cell r="I1671">
            <v>35.115000000000002</v>
          </cell>
        </row>
        <row r="1672">
          <cell r="A1672" t="str">
            <v>19-01671</v>
          </cell>
          <cell r="B1672" t="str">
            <v>DICARINA</v>
          </cell>
          <cell r="C1672" t="str">
            <v>D</v>
          </cell>
          <cell r="D1672" t="str">
            <v>N/A</v>
          </cell>
          <cell r="E1672" t="str">
            <v>EH99 HT CARROT OIL SPRAY SPF 30 12X180ML DISCONTINUED</v>
          </cell>
          <cell r="F1672" t="str">
            <v>SUN BLOCK</v>
          </cell>
          <cell r="G1672" t="str">
            <v>EH99</v>
          </cell>
          <cell r="H1672" t="str">
            <v>HAWAIIAN TROPIC</v>
          </cell>
          <cell r="I1672">
            <v>72.453999999999994</v>
          </cell>
        </row>
        <row r="1673">
          <cell r="A1673" t="str">
            <v>19-01672</v>
          </cell>
          <cell r="B1673" t="str">
            <v>DICARINA</v>
          </cell>
          <cell r="C1673" t="str">
            <v>D</v>
          </cell>
          <cell r="D1673" t="str">
            <v>N/A</v>
          </cell>
          <cell r="E1673" t="str">
            <v>EH108 HT SPRAY CONT SHEER TCH FPS 50+ 12X180ML DISCONTINUED</v>
          </cell>
          <cell r="F1673" t="str">
            <v>SUN BLOCK</v>
          </cell>
          <cell r="G1673" t="str">
            <v>EH108</v>
          </cell>
          <cell r="H1673" t="str">
            <v>HAWAIIAN TROPIC</v>
          </cell>
          <cell r="I1673">
            <v>128.03200000000001</v>
          </cell>
        </row>
        <row r="1674">
          <cell r="A1674" t="str">
            <v>19-01673</v>
          </cell>
          <cell r="B1674" t="str">
            <v>DICARINA</v>
          </cell>
          <cell r="C1674" t="str">
            <v>D</v>
          </cell>
          <cell r="D1674" t="str">
            <v>N/A</v>
          </cell>
          <cell r="E1674" t="str">
            <v>EH62 HT LOCION FACIAL PROTECCION SOLAR FPS 50 12X60ML DISCONTINUED</v>
          </cell>
          <cell r="F1674" t="str">
            <v>SUN BLOCK</v>
          </cell>
          <cell r="G1674" t="str">
            <v>EH62</v>
          </cell>
          <cell r="H1674" t="str">
            <v>HAWAIIAN TROPIC</v>
          </cell>
          <cell r="I1674">
            <v>0</v>
          </cell>
        </row>
        <row r="1675">
          <cell r="A1675" t="str">
            <v>19-01674</v>
          </cell>
          <cell r="B1675" t="str">
            <v>DICARINA</v>
          </cell>
          <cell r="C1675" t="str">
            <v>D</v>
          </cell>
          <cell r="D1675" t="str">
            <v>N/A</v>
          </cell>
          <cell r="E1675" t="str">
            <v>EH109 HT BLOQUEADOR BABY LOTION  FPS 80 12X240ML DISCONTINUED</v>
          </cell>
          <cell r="F1675" t="str">
            <v>SUN BLOCK</v>
          </cell>
          <cell r="G1675" t="str">
            <v>EH109</v>
          </cell>
          <cell r="H1675" t="str">
            <v>HAWAIIAN TROPIC</v>
          </cell>
          <cell r="I1675">
            <v>133.63999999999999</v>
          </cell>
        </row>
        <row r="1676">
          <cell r="A1676" t="str">
            <v>19-01675</v>
          </cell>
          <cell r="B1676" t="str">
            <v>DICARINA</v>
          </cell>
          <cell r="C1676" t="str">
            <v>D</v>
          </cell>
          <cell r="D1676" t="str">
            <v>N/A</v>
          </cell>
          <cell r="E1676" t="str">
            <v>EH107 HT BLOQUEADOR BABY LOTION FPS 50+ 12X120ML DISCONTINUED</v>
          </cell>
          <cell r="F1676" t="str">
            <v>SUN BLOCK</v>
          </cell>
          <cell r="G1676" t="str">
            <v>EH107</v>
          </cell>
          <cell r="H1676" t="str">
            <v>HAWAIIAN TROPIC</v>
          </cell>
          <cell r="I1676">
            <v>62.210999999999999</v>
          </cell>
        </row>
        <row r="1677">
          <cell r="A1677" t="str">
            <v>19-01676</v>
          </cell>
          <cell r="B1677" t="str">
            <v>DICARINA</v>
          </cell>
          <cell r="C1677" t="str">
            <v>D</v>
          </cell>
          <cell r="D1677" t="str">
            <v>N/A</v>
          </cell>
          <cell r="E1677" t="str">
            <v>EH106 HT SHEER TOUCH LOTION FPS 50+ 12X120ML DISCONTINUED</v>
          </cell>
          <cell r="F1677" t="str">
            <v>SUN BLOCK</v>
          </cell>
          <cell r="G1677" t="str">
            <v>EH106</v>
          </cell>
          <cell r="H1677" t="str">
            <v>HAWAIIAN TROPIC</v>
          </cell>
          <cell r="I1677">
            <v>102.544</v>
          </cell>
        </row>
        <row r="1678">
          <cell r="A1678" t="str">
            <v>19-01677</v>
          </cell>
          <cell r="B1678" t="str">
            <v>DICARINA</v>
          </cell>
          <cell r="C1678" t="str">
            <v>D</v>
          </cell>
          <cell r="D1678" t="str">
            <v>N/A</v>
          </cell>
          <cell r="E1678" t="str">
            <v>EH105 HT LOCION ZANAHORIA FPS 30 12X240ML DISCONTINUED</v>
          </cell>
          <cell r="F1678" t="str">
            <v>SUN BLOCK</v>
          </cell>
          <cell r="G1678" t="str">
            <v>EH105</v>
          </cell>
          <cell r="H1678" t="str">
            <v>HAWAIIAN TROPIC</v>
          </cell>
          <cell r="I1678">
            <v>0</v>
          </cell>
        </row>
        <row r="1679">
          <cell r="A1679" t="str">
            <v>19-01678</v>
          </cell>
          <cell r="B1679" t="str">
            <v>DICARINA</v>
          </cell>
          <cell r="C1679" t="str">
            <v>D</v>
          </cell>
          <cell r="D1679" t="str">
            <v>N/A</v>
          </cell>
          <cell r="E1679" t="str">
            <v>EH104 HT BLOQUEADOR OZONO LOCION FPS 80 12X90ML DISCONTINUED</v>
          </cell>
          <cell r="F1679" t="str">
            <v>SUN BLOCK</v>
          </cell>
          <cell r="G1679" t="str">
            <v>EH104</v>
          </cell>
          <cell r="H1679" t="str">
            <v>HAWAIIAN TROPIC</v>
          </cell>
          <cell r="I1679">
            <v>102.56100000000001</v>
          </cell>
        </row>
        <row r="1680">
          <cell r="A1680" t="str">
            <v>19-01679</v>
          </cell>
          <cell r="B1680" t="str">
            <v>DICARINA</v>
          </cell>
          <cell r="C1680" t="str">
            <v>D</v>
          </cell>
          <cell r="D1680" t="str">
            <v>N/A</v>
          </cell>
          <cell r="E1680" t="str">
            <v>EH30 HT LOCION BRONCEADO FPS 4 12X240ML DISCONTINUED</v>
          </cell>
          <cell r="F1680" t="str">
            <v>SUN BLOCK</v>
          </cell>
          <cell r="G1680" t="str">
            <v>EH30</v>
          </cell>
          <cell r="H1680" t="str">
            <v>HAWAIIAN TROPIC</v>
          </cell>
          <cell r="I1680">
            <v>0</v>
          </cell>
        </row>
        <row r="1681">
          <cell r="A1681" t="str">
            <v>19-01680</v>
          </cell>
          <cell r="B1681" t="str">
            <v>DICARINA</v>
          </cell>
          <cell r="C1681" t="str">
            <v>D</v>
          </cell>
          <cell r="D1681" t="str">
            <v>N/A</v>
          </cell>
          <cell r="E1681" t="str">
            <v>EH64 HT KIDS PROTECCION SOLAR SPRAY FPS 50 12X180ML DISCONTINUED</v>
          </cell>
          <cell r="F1681" t="str">
            <v>SUN BLOCK</v>
          </cell>
          <cell r="G1681" t="str">
            <v>EH64</v>
          </cell>
          <cell r="H1681" t="str">
            <v>HAWAIIAN TROPIC</v>
          </cell>
          <cell r="I1681">
            <v>112.38</v>
          </cell>
        </row>
        <row r="1682">
          <cell r="A1682" t="str">
            <v>19-01681</v>
          </cell>
          <cell r="B1682" t="str">
            <v>DICARINA</v>
          </cell>
          <cell r="C1682" t="str">
            <v>D</v>
          </cell>
          <cell r="D1682" t="str">
            <v>N/A</v>
          </cell>
          <cell r="E1682" t="str">
            <v>HT001 HT ISLAND SPORT CONT SPRAY FPS 30  12X180ML DISCONTINUED</v>
          </cell>
          <cell r="F1682" t="str">
            <v>SUN BLOCK</v>
          </cell>
          <cell r="G1682" t="str">
            <v>HT001</v>
          </cell>
          <cell r="H1682" t="str">
            <v>HAWAIIAN TROPIC</v>
          </cell>
          <cell r="I1682">
            <v>110.95</v>
          </cell>
        </row>
        <row r="1683">
          <cell r="A1683" t="str">
            <v>19-01682</v>
          </cell>
          <cell r="B1683" t="str">
            <v>DICARINA</v>
          </cell>
          <cell r="C1683" t="str">
            <v>D</v>
          </cell>
          <cell r="D1683" t="str">
            <v>N/A</v>
          </cell>
          <cell r="E1683" t="str">
            <v>EH103 HT BLOQUEADOR OZONO LOTION FPS 80 12X240ML DISCONTINUED</v>
          </cell>
          <cell r="F1683" t="str">
            <v>SUN BLOCK</v>
          </cell>
          <cell r="G1683" t="str">
            <v>EH103</v>
          </cell>
          <cell r="H1683" t="str">
            <v>HAWAIIAN TROPIC</v>
          </cell>
          <cell r="I1683">
            <v>118.19</v>
          </cell>
        </row>
        <row r="1684">
          <cell r="A1684" t="str">
            <v>19-01683</v>
          </cell>
          <cell r="B1684" t="str">
            <v>SUPER XTRA</v>
          </cell>
          <cell r="C1684" t="str">
            <v>D</v>
          </cell>
          <cell r="D1684" t="str">
            <v>N/A</v>
          </cell>
          <cell r="E1684" t="str">
            <v>TOALLA SANITARIA DELGADA 36UND DISCONTINUED</v>
          </cell>
          <cell r="F1684" t="str">
            <v>TOALLA</v>
          </cell>
          <cell r="H1684" t="str">
            <v>TOALLA</v>
          </cell>
          <cell r="I1684">
            <v>32.99</v>
          </cell>
        </row>
        <row r="1685">
          <cell r="A1685" t="str">
            <v>19-01684</v>
          </cell>
          <cell r="B1685" t="str">
            <v>SUPER XTRA</v>
          </cell>
          <cell r="C1685" t="str">
            <v>D</v>
          </cell>
          <cell r="D1685" t="str">
            <v>N/A</v>
          </cell>
          <cell r="E1685" t="str">
            <v>TOALLA SANITARIA ANATOMICA 36UND DISCONTINUED</v>
          </cell>
          <cell r="F1685" t="str">
            <v>TOALLA</v>
          </cell>
          <cell r="H1685" t="str">
            <v>TOALLA</v>
          </cell>
          <cell r="I1685">
            <v>30.32</v>
          </cell>
        </row>
        <row r="1686">
          <cell r="A1686" t="str">
            <v>19-01685</v>
          </cell>
          <cell r="B1686" t="str">
            <v>ORKHON GROUP</v>
          </cell>
          <cell r="C1686" t="str">
            <v>A</v>
          </cell>
          <cell r="D1686" t="str">
            <v>N/A</v>
          </cell>
          <cell r="E1686" t="str">
            <v>118209 ALTAMAR SOMBREROS 1</v>
          </cell>
          <cell r="F1686" t="str">
            <v>SOMBRERO</v>
          </cell>
          <cell r="G1686">
            <v>118209</v>
          </cell>
          <cell r="H1686" t="str">
            <v>ALTAMAR</v>
          </cell>
          <cell r="I1686">
            <v>6.8</v>
          </cell>
        </row>
        <row r="1687">
          <cell r="A1687" t="str">
            <v>19-01686</v>
          </cell>
          <cell r="B1687" t="str">
            <v>ORKHON GROUP</v>
          </cell>
          <cell r="C1687" t="str">
            <v>A</v>
          </cell>
          <cell r="D1687" t="str">
            <v>N/A</v>
          </cell>
          <cell r="E1687" t="str">
            <v>118210 ALTAMAR SOMBREROS 2</v>
          </cell>
          <cell r="F1687" t="str">
            <v>SOMBRERO</v>
          </cell>
          <cell r="G1687">
            <v>118210</v>
          </cell>
          <cell r="H1687" t="str">
            <v>ALTAMAR</v>
          </cell>
          <cell r="I1687">
            <v>8</v>
          </cell>
        </row>
        <row r="1688">
          <cell r="A1688" t="str">
            <v>19-01687</v>
          </cell>
          <cell r="B1688" t="str">
            <v>ORKHON GROUP</v>
          </cell>
          <cell r="C1688" t="str">
            <v>A</v>
          </cell>
          <cell r="D1688" t="str">
            <v>N/A</v>
          </cell>
          <cell r="E1688" t="str">
            <v>118211 ALTAMAR SOMBREROS 3</v>
          </cell>
          <cell r="F1688" t="str">
            <v>SOMBRERO</v>
          </cell>
          <cell r="G1688">
            <v>118211</v>
          </cell>
          <cell r="H1688" t="str">
            <v>ALTAMAR</v>
          </cell>
          <cell r="I1688">
            <v>9.1999999999999993</v>
          </cell>
        </row>
        <row r="1689">
          <cell r="A1689" t="str">
            <v>19-01688</v>
          </cell>
          <cell r="B1689" t="str">
            <v>ORKHON GROUP</v>
          </cell>
          <cell r="C1689" t="str">
            <v>A</v>
          </cell>
          <cell r="D1689" t="str">
            <v>N/A</v>
          </cell>
          <cell r="E1689" t="str">
            <v>118212 ALTAMAR BOLSO DE PLAYA 1</v>
          </cell>
          <cell r="F1689" t="str">
            <v>BOLSO</v>
          </cell>
          <cell r="G1689">
            <v>118212</v>
          </cell>
          <cell r="H1689" t="str">
            <v>ALTAMAR</v>
          </cell>
          <cell r="I1689">
            <v>15.5</v>
          </cell>
        </row>
        <row r="1690">
          <cell r="A1690" t="str">
            <v>19-01689</v>
          </cell>
          <cell r="B1690" t="str">
            <v>DICARINA</v>
          </cell>
          <cell r="C1690" t="str">
            <v>D</v>
          </cell>
          <cell r="D1690" t="str">
            <v>N/A</v>
          </cell>
          <cell r="E1690" t="str">
            <v>EH305 HT BLOQUEADOR OZONO LOCION FPS 80 12X120ML DISCONTINUED</v>
          </cell>
          <cell r="F1690" t="str">
            <v>SUN BLOCK</v>
          </cell>
          <cell r="G1690">
            <v>118212</v>
          </cell>
          <cell r="H1690" t="str">
            <v>HAWAIIAN TROPIC</v>
          </cell>
          <cell r="I1690">
            <v>107.95</v>
          </cell>
        </row>
        <row r="1691">
          <cell r="A1691" t="str">
            <v>19-01690</v>
          </cell>
          <cell r="B1691" t="str">
            <v>ORKHON GROUP</v>
          </cell>
          <cell r="C1691" t="str">
            <v>A</v>
          </cell>
          <cell r="D1691" t="str">
            <v>N/A</v>
          </cell>
          <cell r="E1691" t="str">
            <v>118213 ALTAMAR BOLSO DE PLAYA 2</v>
          </cell>
          <cell r="F1691" t="str">
            <v>BOLSO</v>
          </cell>
          <cell r="G1691">
            <v>118213</v>
          </cell>
          <cell r="H1691" t="str">
            <v>ALTAMAR</v>
          </cell>
          <cell r="I1691">
            <v>18</v>
          </cell>
        </row>
        <row r="1692">
          <cell r="A1692" t="str">
            <v>19-01691</v>
          </cell>
          <cell r="B1692" t="str">
            <v>ORKHON GROUP</v>
          </cell>
          <cell r="C1692" t="str">
            <v>A</v>
          </cell>
          <cell r="D1692" t="str">
            <v>N/A</v>
          </cell>
          <cell r="E1692" t="str">
            <v>118214 ALTAMAR BOLSO DE PLAYA 3</v>
          </cell>
          <cell r="F1692" t="str">
            <v>BOLSO</v>
          </cell>
          <cell r="G1692">
            <v>118214</v>
          </cell>
          <cell r="H1692" t="str">
            <v>ALTAMAR</v>
          </cell>
          <cell r="I1692">
            <v>22</v>
          </cell>
        </row>
        <row r="1693">
          <cell r="A1693" t="str">
            <v>19-01692</v>
          </cell>
          <cell r="B1693" t="str">
            <v>I CARIBBEAN</v>
          </cell>
          <cell r="C1693" t="str">
            <v>A</v>
          </cell>
          <cell r="D1693" t="str">
            <v>N/A</v>
          </cell>
          <cell r="E1693" t="str">
            <v>PH05-2 PANAMA HAT COCO EDGE</v>
          </cell>
          <cell r="F1693" t="str">
            <v>SOMBRERO</v>
          </cell>
          <cell r="G1693" t="str">
            <v>PH05-2</v>
          </cell>
          <cell r="H1693" t="str">
            <v>PANAMA HAT</v>
          </cell>
          <cell r="I1693">
            <v>38</v>
          </cell>
        </row>
        <row r="1694">
          <cell r="A1694" t="str">
            <v>19-01693</v>
          </cell>
          <cell r="B1694" t="str">
            <v>I CARIBBEAN</v>
          </cell>
          <cell r="C1694" t="str">
            <v>A</v>
          </cell>
          <cell r="D1694" t="str">
            <v>N/A</v>
          </cell>
          <cell r="E1694" t="str">
            <v>PH06-2 PANAMA HAT COCO WIDE BLACK</v>
          </cell>
          <cell r="F1694" t="str">
            <v>SOMBRERO</v>
          </cell>
          <cell r="G1694" t="str">
            <v>PH06-2</v>
          </cell>
          <cell r="H1694" t="str">
            <v>PANAMA HAT</v>
          </cell>
          <cell r="I1694">
            <v>65</v>
          </cell>
        </row>
        <row r="1695">
          <cell r="A1695" t="str">
            <v>19-01694</v>
          </cell>
          <cell r="B1695" t="str">
            <v>I CARIBBEAN</v>
          </cell>
          <cell r="C1695" t="str">
            <v>A</v>
          </cell>
          <cell r="D1695" t="str">
            <v>N/A</v>
          </cell>
          <cell r="E1695" t="str">
            <v>PH09 PANAMA HAT PAMELA</v>
          </cell>
          <cell r="F1695" t="str">
            <v>SOMBRERO</v>
          </cell>
          <cell r="G1695" t="str">
            <v>PH09</v>
          </cell>
          <cell r="H1695" t="str">
            <v>PANAMA HAT</v>
          </cell>
          <cell r="I1695">
            <v>80</v>
          </cell>
        </row>
        <row r="1696">
          <cell r="A1696" t="str">
            <v>19-01695</v>
          </cell>
          <cell r="B1696" t="str">
            <v>FOSTER</v>
          </cell>
          <cell r="C1696" t="str">
            <v>D</v>
          </cell>
          <cell r="D1696" t="str">
            <v>N/A</v>
          </cell>
          <cell r="E1696" t="str">
            <v>17361 MICKEY 10" PIJAMA PELUCHE DISCONTINUED</v>
          </cell>
          <cell r="F1696" t="str">
            <v>PELUCHE</v>
          </cell>
          <cell r="G1696">
            <v>17361</v>
          </cell>
          <cell r="H1696" t="str">
            <v>FOSTER</v>
          </cell>
          <cell r="I1696">
            <v>7</v>
          </cell>
        </row>
        <row r="1697">
          <cell r="A1697" t="str">
            <v>19-01696</v>
          </cell>
          <cell r="B1697" t="str">
            <v>FOSTER</v>
          </cell>
          <cell r="C1697" t="str">
            <v>D</v>
          </cell>
          <cell r="D1697" t="str">
            <v>N/A</v>
          </cell>
          <cell r="E1697" t="str">
            <v>17362 MINNIE 10" PIJAMA PELUCHE DISCONTINUED</v>
          </cell>
          <cell r="F1697" t="str">
            <v>PELUCHE</v>
          </cell>
          <cell r="G1697">
            <v>17362</v>
          </cell>
          <cell r="H1697" t="str">
            <v>FOSTER</v>
          </cell>
          <cell r="I1697">
            <v>7</v>
          </cell>
        </row>
        <row r="1698">
          <cell r="A1698" t="str">
            <v>19-01697</v>
          </cell>
          <cell r="B1698" t="str">
            <v>ORKHON GROUP</v>
          </cell>
          <cell r="C1698" t="str">
            <v>A</v>
          </cell>
          <cell r="D1698" t="str">
            <v>N/A</v>
          </cell>
          <cell r="E1698" t="str">
            <v>119049 ALTAMAR SOMBREROS 4</v>
          </cell>
          <cell r="F1698" t="str">
            <v>SOMBRERO</v>
          </cell>
          <cell r="G1698">
            <v>119049</v>
          </cell>
          <cell r="H1698" t="str">
            <v>ALTAMAR</v>
          </cell>
          <cell r="I1698">
            <v>10.5</v>
          </cell>
        </row>
        <row r="1699">
          <cell r="A1699" t="str">
            <v>19-01698</v>
          </cell>
          <cell r="B1699" t="str">
            <v>WORLD WISHES</v>
          </cell>
          <cell r="C1699" t="str">
            <v>D</v>
          </cell>
          <cell r="D1699" t="str">
            <v>N/A</v>
          </cell>
          <cell r="E1699" t="str">
            <v>75-2066 CRAYOLA GLITTER PAPER &amp; MARKERS PRINCESS DISCONTINUED</v>
          </cell>
          <cell r="F1699" t="str">
            <v>SCHOOL SUPPLIES</v>
          </cell>
          <cell r="G1699" t="str">
            <v>75-2066</v>
          </cell>
          <cell r="H1699" t="str">
            <v>CRAYOLA</v>
          </cell>
          <cell r="I1699">
            <v>6.17</v>
          </cell>
        </row>
        <row r="1700">
          <cell r="A1700" t="str">
            <v>19-01699</v>
          </cell>
          <cell r="B1700" t="str">
            <v>WORLD WISHES</v>
          </cell>
          <cell r="C1700" t="str">
            <v>P</v>
          </cell>
          <cell r="D1700" t="str">
            <v>N/A</v>
          </cell>
          <cell r="E1700" t="str">
            <v>75-2069 CRAYOLA MINI COLORING PAD &amp; MARKERS SPIDERMAN</v>
          </cell>
          <cell r="F1700" t="str">
            <v>SCHOOL SUPPLIES</v>
          </cell>
          <cell r="G1700" t="str">
            <v>75-2069</v>
          </cell>
          <cell r="H1700" t="str">
            <v>CRAYOLA</v>
          </cell>
          <cell r="I1700">
            <v>3.08</v>
          </cell>
        </row>
        <row r="1701">
          <cell r="A1701" t="str">
            <v>19-01700</v>
          </cell>
          <cell r="B1701" t="str">
            <v>WORLD WISHES</v>
          </cell>
          <cell r="C1701" t="str">
            <v>P</v>
          </cell>
          <cell r="D1701" t="str">
            <v>N/A</v>
          </cell>
          <cell r="E1701" t="str">
            <v>98-8662 CRAYOLA DRY-ERASE FOLD &amp; GO TRAVEL PACK</v>
          </cell>
          <cell r="F1701" t="str">
            <v>SCHOOL SUPPLIES</v>
          </cell>
          <cell r="G1701" t="str">
            <v>98-8662</v>
          </cell>
          <cell r="H1701" t="str">
            <v>CRAYOLA</v>
          </cell>
          <cell r="I1701">
            <v>6.29</v>
          </cell>
        </row>
        <row r="1702">
          <cell r="A1702" t="str">
            <v>19-01701</v>
          </cell>
          <cell r="B1702" t="str">
            <v>TDL</v>
          </cell>
          <cell r="C1702" t="str">
            <v>D</v>
          </cell>
          <cell r="D1702" t="str">
            <v>N/A</v>
          </cell>
          <cell r="E1702" t="str">
            <v>A70537 AG SPF 30 KIDS LOTION 8oz DISCONTINUED</v>
          </cell>
          <cell r="F1702" t="str">
            <v>SUN BLOCK</v>
          </cell>
          <cell r="G1702" t="str">
            <v>A70537</v>
          </cell>
          <cell r="H1702" t="str">
            <v>AUSTRALIAN GOLD</v>
          </cell>
          <cell r="I1702">
            <v>5.75</v>
          </cell>
        </row>
        <row r="1703">
          <cell r="A1703" t="str">
            <v>19-01702</v>
          </cell>
          <cell r="B1703" t="str">
            <v>TDL</v>
          </cell>
          <cell r="C1703" t="str">
            <v>A</v>
          </cell>
          <cell r="D1703" t="str">
            <v>N/A</v>
          </cell>
          <cell r="E1703" t="str">
            <v>A70003 AG ACELERADOR SPRAY GEL 8OZ</v>
          </cell>
          <cell r="F1703" t="str">
            <v>SUN BLOCK</v>
          </cell>
          <cell r="G1703" t="str">
            <v>A70003</v>
          </cell>
          <cell r="H1703" t="str">
            <v>AUSTRALIAN GOLD</v>
          </cell>
          <cell r="I1703">
            <v>4.17</v>
          </cell>
        </row>
        <row r="1704">
          <cell r="A1704" t="str">
            <v>19-01703</v>
          </cell>
          <cell r="B1704" t="str">
            <v>TDL</v>
          </cell>
          <cell r="C1704" t="str">
            <v>A</v>
          </cell>
          <cell r="D1704" t="str">
            <v>N/A</v>
          </cell>
          <cell r="E1704" t="str">
            <v>A70052 AG ACELERADOR CONT SP W/BRONZER 6OZ</v>
          </cell>
          <cell r="F1704" t="str">
            <v>SUN BLOCK</v>
          </cell>
          <cell r="G1704" t="str">
            <v>A70052</v>
          </cell>
          <cell r="H1704" t="str">
            <v>AUSTRALIAN GOLD</v>
          </cell>
          <cell r="I1704">
            <v>6.11</v>
          </cell>
        </row>
        <row r="1705">
          <cell r="A1705" t="str">
            <v>19-01704</v>
          </cell>
          <cell r="B1705" t="str">
            <v>TDL</v>
          </cell>
          <cell r="C1705" t="str">
            <v>D</v>
          </cell>
          <cell r="D1705" t="str">
            <v>N/A</v>
          </cell>
          <cell r="E1705" t="str">
            <v>A75086 AG SPF 30 CONT.SP.W/BRONZER  6oz DISCONTINUED</v>
          </cell>
          <cell r="F1705" t="str">
            <v>SUN BLOCK</v>
          </cell>
          <cell r="G1705" t="str">
            <v>A75086</v>
          </cell>
          <cell r="H1705" t="str">
            <v>AUSTRALIAN GOLD</v>
          </cell>
          <cell r="I1705">
            <v>6.25</v>
          </cell>
        </row>
        <row r="1706">
          <cell r="A1706" t="str">
            <v>19-01705</v>
          </cell>
          <cell r="B1706" t="str">
            <v>ORKHON GROUP</v>
          </cell>
          <cell r="C1706" t="str">
            <v>A</v>
          </cell>
          <cell r="D1706" t="str">
            <v>SI</v>
          </cell>
          <cell r="E1706" t="str">
            <v>19-01705 SOFT COMFORT TIMELESS FLEECE BLANKET</v>
          </cell>
          <cell r="F1706" t="str">
            <v>FRAZADA</v>
          </cell>
          <cell r="G1706" t="str">
            <v>19-01705</v>
          </cell>
          <cell r="H1706" t="str">
            <v>SOFT COMFORT</v>
          </cell>
          <cell r="I1706">
            <v>3.75</v>
          </cell>
        </row>
        <row r="1707">
          <cell r="A1707" t="str">
            <v>19-01706</v>
          </cell>
          <cell r="B1707" t="str">
            <v>ORKHON GROUP</v>
          </cell>
          <cell r="C1707" t="str">
            <v>A</v>
          </cell>
          <cell r="D1707" t="str">
            <v>NO</v>
          </cell>
          <cell r="E1707" t="str">
            <v>012321 SOFT COMFORT BOOK LIGHT MICROBEAD NECK PILLOW</v>
          </cell>
          <cell r="F1707" t="str">
            <v>ALMOHADA</v>
          </cell>
          <cell r="G1707" t="str">
            <v>PIL-012321-CAT</v>
          </cell>
          <cell r="H1707" t="str">
            <v>SOFT COMFORT</v>
          </cell>
          <cell r="I1707">
            <v>5.65</v>
          </cell>
        </row>
        <row r="1708">
          <cell r="A1708" t="str">
            <v>19-01707</v>
          </cell>
          <cell r="B1708" t="str">
            <v>ORKHON GROUP</v>
          </cell>
          <cell r="C1708" t="str">
            <v>A</v>
          </cell>
          <cell r="D1708" t="str">
            <v>NO</v>
          </cell>
          <cell r="E1708" t="str">
            <v>020807 SOFT COMFORT KIDZ MICROBEAD ASSTD NECK PILLOWS</v>
          </cell>
          <cell r="F1708" t="str">
            <v>ALMOHADA</v>
          </cell>
          <cell r="G1708" t="str">
            <v>PIL-020807-CAT</v>
          </cell>
          <cell r="H1708" t="str">
            <v>SOFT COMFORT</v>
          </cell>
          <cell r="I1708">
            <v>2.7</v>
          </cell>
        </row>
        <row r="1709">
          <cell r="A1709" t="str">
            <v>19-01708</v>
          </cell>
          <cell r="B1709" t="str">
            <v>ORKHON GROUP</v>
          </cell>
          <cell r="C1709" t="str">
            <v>A</v>
          </cell>
          <cell r="D1709" t="str">
            <v>NO</v>
          </cell>
          <cell r="E1709" t="str">
            <v>021446 SOFT COMFORT POOL &amp; BEACH MICROBEAD PILLOW</v>
          </cell>
          <cell r="F1709" t="str">
            <v>ALMOHADA</v>
          </cell>
          <cell r="G1709" t="str">
            <v>PIL-021446-CAT</v>
          </cell>
          <cell r="H1709" t="str">
            <v>SOFT COMFORT</v>
          </cell>
          <cell r="I1709">
            <v>3.5</v>
          </cell>
        </row>
        <row r="1710">
          <cell r="A1710" t="str">
            <v>19-01709</v>
          </cell>
          <cell r="B1710" t="str">
            <v>ORKHON GROUP</v>
          </cell>
          <cell r="C1710" t="str">
            <v>A</v>
          </cell>
          <cell r="D1710" t="str">
            <v>NO</v>
          </cell>
          <cell r="E1710" t="str">
            <v>033586 SOFT COMFORT KIDZ PLUSH PILLOWS: ASSTD ANIMALS</v>
          </cell>
          <cell r="F1710" t="str">
            <v>ALMOHADA</v>
          </cell>
          <cell r="G1710" t="str">
            <v>PIL-033586-AST</v>
          </cell>
          <cell r="H1710" t="str">
            <v>SOFT COMFORT</v>
          </cell>
          <cell r="I1710">
            <v>4.0999999999999996</v>
          </cell>
        </row>
        <row r="1711">
          <cell r="A1711" t="str">
            <v>19-01710</v>
          </cell>
          <cell r="B1711" t="str">
            <v>ORKHON GROUP</v>
          </cell>
          <cell r="C1711" t="str">
            <v>A</v>
          </cell>
          <cell r="D1711" t="str">
            <v>SI</v>
          </cell>
          <cell r="E1711" t="str">
            <v>19-01710 SOFT COMFORT INFLATABLE NECK PILLOW</v>
          </cell>
          <cell r="F1711" t="str">
            <v>ALMOHADA</v>
          </cell>
          <cell r="G1711" t="str">
            <v>19-01710</v>
          </cell>
          <cell r="H1711" t="str">
            <v>SOFT COMFORT</v>
          </cell>
          <cell r="I1711">
            <v>2.5499999999999998</v>
          </cell>
        </row>
        <row r="1712">
          <cell r="A1712" t="str">
            <v>19-01711</v>
          </cell>
          <cell r="B1712" t="str">
            <v>ORKHON GROUP</v>
          </cell>
          <cell r="C1712" t="str">
            <v>A</v>
          </cell>
          <cell r="D1712" t="str">
            <v>NO</v>
          </cell>
          <cell r="E1712" t="str">
            <v>014493 SOFT COMFORT COZY TRAVEL SOCKS</v>
          </cell>
          <cell r="F1712" t="str">
            <v>MEDIAS</v>
          </cell>
          <cell r="G1712" t="str">
            <v>SKS-014493-CAT</v>
          </cell>
          <cell r="H1712" t="str">
            <v>SOFT COMFORT</v>
          </cell>
          <cell r="I1712">
            <v>1.8</v>
          </cell>
        </row>
        <row r="1713">
          <cell r="A1713" t="str">
            <v>19-01712</v>
          </cell>
          <cell r="B1713" t="str">
            <v>ORKHON GROUP</v>
          </cell>
          <cell r="C1713" t="str">
            <v>A</v>
          </cell>
          <cell r="D1713" t="str">
            <v>NO</v>
          </cell>
          <cell r="E1713" t="str">
            <v>020746 SOFT COMFORT COZY TRAVEL SLIPPERS</v>
          </cell>
          <cell r="F1713" t="str">
            <v>ALMOHADA</v>
          </cell>
          <cell r="G1713" t="str">
            <v>SLP-020746-CAT</v>
          </cell>
          <cell r="H1713" t="str">
            <v>SOFT COMFORT</v>
          </cell>
          <cell r="I1713">
            <v>2.95</v>
          </cell>
        </row>
        <row r="1714">
          <cell r="A1714" t="str">
            <v>19-01713</v>
          </cell>
          <cell r="B1714" t="str">
            <v>ORKHON GROUP</v>
          </cell>
          <cell r="C1714" t="str">
            <v>A</v>
          </cell>
          <cell r="D1714" t="str">
            <v>NO</v>
          </cell>
          <cell r="E1714" t="str">
            <v>925805 SOFT COMFORT WASHABLE PILLOW COVER</v>
          </cell>
          <cell r="F1714" t="str">
            <v>ALMOHADA</v>
          </cell>
          <cell r="G1714" t="str">
            <v>TGS-925805-CAT</v>
          </cell>
          <cell r="H1714" t="str">
            <v>SOFT COMFORT</v>
          </cell>
          <cell r="I1714">
            <v>0</v>
          </cell>
        </row>
        <row r="1715">
          <cell r="A1715" t="str">
            <v>19-01714</v>
          </cell>
          <cell r="B1715" t="str">
            <v>ORKHON GROUP</v>
          </cell>
          <cell r="C1715" t="str">
            <v>A</v>
          </cell>
          <cell r="D1715" t="str">
            <v>NO</v>
          </cell>
          <cell r="E1715" t="str">
            <v>918951 SOFT COMFORT KIDZ SLIPPER BUDDIES: DINOSAUR</v>
          </cell>
          <cell r="F1715" t="str">
            <v>PANTUFLAS</v>
          </cell>
          <cell r="G1715" t="str">
            <v>SKS-918951-CAT</v>
          </cell>
          <cell r="H1715" t="str">
            <v>SOFT COMFORT</v>
          </cell>
          <cell r="I1715">
            <v>2.2999999999999998</v>
          </cell>
        </row>
        <row r="1716">
          <cell r="A1716" t="str">
            <v>19-01715</v>
          </cell>
          <cell r="B1716" t="str">
            <v>ORKHON GROUP</v>
          </cell>
          <cell r="C1716" t="str">
            <v>A</v>
          </cell>
          <cell r="D1716" t="str">
            <v>NO</v>
          </cell>
          <cell r="E1716" t="str">
            <v>918975 SOFT COMFORT KIDZ SLIPPER BUDDIES: LADYBUG</v>
          </cell>
          <cell r="F1716" t="str">
            <v>PANTUFLAS</v>
          </cell>
          <cell r="G1716" t="str">
            <v>SKS-918975-CAT</v>
          </cell>
          <cell r="H1716" t="str">
            <v>SOFT COMFORT</v>
          </cell>
          <cell r="I1716">
            <v>2.2999999999999998</v>
          </cell>
        </row>
        <row r="1717">
          <cell r="A1717" t="str">
            <v>19-01716</v>
          </cell>
          <cell r="B1717" t="str">
            <v>ORKHON GROUP</v>
          </cell>
          <cell r="C1717" t="str">
            <v>A</v>
          </cell>
          <cell r="D1717" t="str">
            <v>SI</v>
          </cell>
          <cell r="E1717" t="str">
            <v>19-01716 SOFT COMFORT MEMORY FOAM NECK PILLOW</v>
          </cell>
          <cell r="F1717" t="str">
            <v>ALMOHADA</v>
          </cell>
          <cell r="G1717" t="str">
            <v>19-01716</v>
          </cell>
          <cell r="H1717" t="str">
            <v>SOFT COMFORT</v>
          </cell>
          <cell r="I1717">
            <v>5.45</v>
          </cell>
        </row>
        <row r="1718">
          <cell r="A1718" t="str">
            <v>19-01717</v>
          </cell>
          <cell r="B1718" t="str">
            <v>ORKHON GROUP</v>
          </cell>
          <cell r="C1718" t="str">
            <v>A</v>
          </cell>
          <cell r="D1718" t="str">
            <v>N/A</v>
          </cell>
          <cell r="E1718" t="str">
            <v>C1308-14 ALTAMAR CESTA</v>
          </cell>
          <cell r="F1718" t="str">
            <v>SOMBRERO</v>
          </cell>
          <cell r="G1718">
            <v>119010</v>
          </cell>
          <cell r="H1718" t="str">
            <v>ALTAMAR</v>
          </cell>
          <cell r="I1718">
            <v>4.5199999999999996</v>
          </cell>
        </row>
        <row r="1719">
          <cell r="A1719" t="str">
            <v>19-01718</v>
          </cell>
          <cell r="B1719" t="str">
            <v>ORKHON GROUP</v>
          </cell>
          <cell r="C1719" t="str">
            <v>A</v>
          </cell>
          <cell r="D1719" t="str">
            <v>N/A</v>
          </cell>
          <cell r="E1719" t="str">
            <v>4350/A1308-192 ALTAMAR PULSERA CLOE</v>
          </cell>
          <cell r="F1719" t="str">
            <v>BRACELET</v>
          </cell>
          <cell r="H1719" t="str">
            <v>ALTAMAR</v>
          </cell>
          <cell r="I1719">
            <v>1.2</v>
          </cell>
        </row>
        <row r="1720">
          <cell r="A1720" t="str">
            <v>19-01719</v>
          </cell>
          <cell r="B1720" t="str">
            <v>ORKHON GROUP</v>
          </cell>
          <cell r="C1720" t="str">
            <v>A</v>
          </cell>
          <cell r="D1720" t="str">
            <v>N/A</v>
          </cell>
          <cell r="E1720" t="str">
            <v>4350/A1308-197 ALTAMAR PULSERA CLOE</v>
          </cell>
          <cell r="F1720" t="str">
            <v>BRACELET</v>
          </cell>
          <cell r="H1720" t="str">
            <v>ALTAMAR</v>
          </cell>
          <cell r="I1720">
            <v>1.7</v>
          </cell>
        </row>
        <row r="1721">
          <cell r="A1721" t="str">
            <v>19-01720</v>
          </cell>
          <cell r="B1721" t="str">
            <v>ORKHON GROUP</v>
          </cell>
          <cell r="C1721" t="str">
            <v>A</v>
          </cell>
          <cell r="D1721" t="str">
            <v>N/A</v>
          </cell>
          <cell r="E1721" t="str">
            <v>2E-5669/A1308-217B ALTAMAR PULSERA CLOE</v>
          </cell>
          <cell r="F1721" t="str">
            <v>BRACELET</v>
          </cell>
          <cell r="H1721" t="str">
            <v>ALTAMAR</v>
          </cell>
          <cell r="I1721">
            <v>0.86</v>
          </cell>
        </row>
        <row r="1722">
          <cell r="A1722" t="str">
            <v>19-01721</v>
          </cell>
          <cell r="B1722" t="str">
            <v>ORKHON GROUP</v>
          </cell>
          <cell r="C1722" t="str">
            <v>A</v>
          </cell>
          <cell r="D1722" t="str">
            <v>N/A</v>
          </cell>
          <cell r="E1722" t="str">
            <v>2E-5669/A1308-218 ALTAMAR PULSERA CLOE</v>
          </cell>
          <cell r="F1722" t="str">
            <v>BRACELET</v>
          </cell>
          <cell r="H1722" t="str">
            <v>ALTAMAR</v>
          </cell>
          <cell r="I1722">
            <v>1.4</v>
          </cell>
        </row>
        <row r="1723">
          <cell r="A1723" t="str">
            <v>19-01722</v>
          </cell>
          <cell r="B1723" t="str">
            <v>ORKHON GROUP</v>
          </cell>
          <cell r="C1723" t="str">
            <v>A</v>
          </cell>
          <cell r="D1723" t="str">
            <v>N/A</v>
          </cell>
          <cell r="E1723" t="str">
            <v>1F-11357/C1308-89 ALTAMAR BOLSOS PLAYA</v>
          </cell>
          <cell r="F1723" t="str">
            <v>BOLSO</v>
          </cell>
          <cell r="H1723" t="str">
            <v>ALTAMAR</v>
          </cell>
          <cell r="I1723">
            <v>18.899999999999999</v>
          </cell>
        </row>
        <row r="1724">
          <cell r="A1724" t="str">
            <v>19-01723</v>
          </cell>
          <cell r="B1724" t="str">
            <v>ORKHON GROUP</v>
          </cell>
          <cell r="C1724" t="str">
            <v>A</v>
          </cell>
          <cell r="D1724" t="str">
            <v>N/A</v>
          </cell>
          <cell r="E1724" t="str">
            <v>1F-11357/C1308-85 ALTAMAR BOLSOS PLAYA</v>
          </cell>
          <cell r="F1724" t="str">
            <v>BOLSO</v>
          </cell>
          <cell r="G1724" t="str">
            <v>L4848300</v>
          </cell>
          <cell r="H1724" t="str">
            <v>ALTAMAR</v>
          </cell>
          <cell r="I1724">
            <v>17.850000000000001</v>
          </cell>
        </row>
        <row r="1725">
          <cell r="A1725" t="str">
            <v>19-01724</v>
          </cell>
          <cell r="B1725" t="str">
            <v>ORKHON GROUP</v>
          </cell>
          <cell r="C1725" t="str">
            <v>A</v>
          </cell>
          <cell r="D1725" t="str">
            <v>N/A</v>
          </cell>
          <cell r="E1725" t="str">
            <v>1F-11357/C1308-95 ALTAMAR BOLSOS PLAYA</v>
          </cell>
          <cell r="F1725" t="str">
            <v>BOLSO</v>
          </cell>
          <cell r="G1725" t="str">
            <v>L4848300</v>
          </cell>
          <cell r="H1725" t="str">
            <v>ALTAMAR</v>
          </cell>
          <cell r="I1725">
            <v>14.7</v>
          </cell>
        </row>
        <row r="1726">
          <cell r="A1726" t="str">
            <v>19-01725</v>
          </cell>
          <cell r="B1726" t="str">
            <v>ORKHON GROUP</v>
          </cell>
          <cell r="C1726" t="str">
            <v>A</v>
          </cell>
          <cell r="D1726" t="str">
            <v>N/A</v>
          </cell>
          <cell r="E1726" t="str">
            <v>1F-11357/C1308-90 ALTAMAR BOLSOS PLAYA</v>
          </cell>
          <cell r="F1726" t="str">
            <v>BOLSO</v>
          </cell>
          <cell r="G1726" t="str">
            <v>L4848300</v>
          </cell>
          <cell r="H1726" t="str">
            <v>ALTAMAR</v>
          </cell>
          <cell r="I1726">
            <v>25.2</v>
          </cell>
        </row>
        <row r="1727">
          <cell r="A1727" t="str">
            <v>19-01726</v>
          </cell>
          <cell r="B1727" t="str">
            <v>ORKHON GROUP</v>
          </cell>
          <cell r="C1727" t="str">
            <v>A</v>
          </cell>
          <cell r="D1727" t="str">
            <v>N/A</v>
          </cell>
          <cell r="E1727" t="str">
            <v>1F-11357/C1308-97 ALTAMAR BOLSOS PLAYA</v>
          </cell>
          <cell r="F1727" t="str">
            <v>BOLSO</v>
          </cell>
          <cell r="G1727" t="str">
            <v>L4848300</v>
          </cell>
          <cell r="H1727" t="str">
            <v>ALTAMAR</v>
          </cell>
          <cell r="I1727">
            <v>13.65</v>
          </cell>
        </row>
        <row r="1728">
          <cell r="A1728" t="str">
            <v>19-01727</v>
          </cell>
          <cell r="B1728" t="str">
            <v>ORKHON GROUP</v>
          </cell>
          <cell r="C1728" t="str">
            <v>A</v>
          </cell>
          <cell r="D1728" t="str">
            <v>N/A</v>
          </cell>
          <cell r="E1728" t="str">
            <v>1F-11357/C1308-93 ALTAMAR BOLSOS PLAYA</v>
          </cell>
          <cell r="F1728" t="str">
            <v>BOLSO</v>
          </cell>
          <cell r="G1728" t="str">
            <v>L4848300</v>
          </cell>
          <cell r="H1728" t="str">
            <v>ALTAMAR</v>
          </cell>
          <cell r="I1728">
            <v>16.2</v>
          </cell>
        </row>
        <row r="1729">
          <cell r="A1729" t="str">
            <v>19-01728</v>
          </cell>
          <cell r="B1729" t="str">
            <v>ORKHON GROUP</v>
          </cell>
          <cell r="C1729" t="str">
            <v>A</v>
          </cell>
          <cell r="D1729" t="str">
            <v>N/A</v>
          </cell>
          <cell r="E1729" t="str">
            <v>1F-11357/C1308-94 ALTAMAR BOLSOS PLAYA</v>
          </cell>
          <cell r="F1729" t="str">
            <v>BOLSO</v>
          </cell>
          <cell r="G1729" t="str">
            <v>L4848300</v>
          </cell>
          <cell r="H1729" t="str">
            <v>ALTAMAR</v>
          </cell>
          <cell r="I1729">
            <v>15.96</v>
          </cell>
        </row>
        <row r="1730">
          <cell r="A1730" t="str">
            <v>19-01729</v>
          </cell>
          <cell r="B1730" t="str">
            <v>ORKHON GROUP</v>
          </cell>
          <cell r="C1730" t="str">
            <v>A</v>
          </cell>
          <cell r="D1730" t="str">
            <v>N/A</v>
          </cell>
          <cell r="E1730" t="str">
            <v>1F-11357/C1308-86 ALTAMAR BOLSOS PLAYA</v>
          </cell>
          <cell r="F1730" t="str">
            <v>BOLSO</v>
          </cell>
          <cell r="G1730" t="str">
            <v>L4848300</v>
          </cell>
          <cell r="H1730" t="str">
            <v>ALTAMAR</v>
          </cell>
          <cell r="I1730">
            <v>23.42</v>
          </cell>
        </row>
        <row r="1731">
          <cell r="A1731" t="str">
            <v>19-01730</v>
          </cell>
          <cell r="B1731" t="str">
            <v>ORKHON GROUP</v>
          </cell>
          <cell r="C1731" t="str">
            <v>A</v>
          </cell>
          <cell r="D1731" t="str">
            <v>N/A</v>
          </cell>
          <cell r="E1731" t="str">
            <v>1F-11357/C1308-98 ALTAMAR BOLSOS PLAYA</v>
          </cell>
          <cell r="F1731" t="str">
            <v>BOLSO</v>
          </cell>
          <cell r="G1731" t="str">
            <v>L4848300</v>
          </cell>
          <cell r="H1731" t="str">
            <v>ALTAMAR</v>
          </cell>
          <cell r="I1731">
            <v>11.24</v>
          </cell>
        </row>
        <row r="1732">
          <cell r="A1732" t="str">
            <v>19-01731</v>
          </cell>
          <cell r="B1732" t="str">
            <v>ORKHON GROUP</v>
          </cell>
          <cell r="C1732" t="str">
            <v>A</v>
          </cell>
          <cell r="D1732" t="str">
            <v>N/A</v>
          </cell>
          <cell r="E1732" t="str">
            <v>1207 ALTAMAR BUFANDA CON ACCESORIO</v>
          </cell>
          <cell r="F1732" t="str">
            <v>BOLSO</v>
          </cell>
          <cell r="G1732" t="str">
            <v>L4848300</v>
          </cell>
          <cell r="H1732" t="str">
            <v>ALTAMAR</v>
          </cell>
          <cell r="I1732">
            <v>11.37</v>
          </cell>
        </row>
        <row r="1733">
          <cell r="A1733" t="str">
            <v>19-01732</v>
          </cell>
          <cell r="B1733" t="str">
            <v>ORKHON GROUP</v>
          </cell>
          <cell r="C1733" t="str">
            <v>A</v>
          </cell>
          <cell r="D1733" t="str">
            <v>N/A</v>
          </cell>
          <cell r="E1733" t="str">
            <v>46372/Y1203-341 ALTAMAR PAREO</v>
          </cell>
          <cell r="F1733" t="str">
            <v>PAREO</v>
          </cell>
          <cell r="G1733" t="str">
            <v>L4848300</v>
          </cell>
          <cell r="H1733" t="str">
            <v>ALTAMAR</v>
          </cell>
          <cell r="I1733">
            <v>6</v>
          </cell>
        </row>
        <row r="1734">
          <cell r="A1734" t="str">
            <v>19-01733</v>
          </cell>
          <cell r="B1734" t="str">
            <v>I CARIBBEAN</v>
          </cell>
          <cell r="C1734" t="str">
            <v>A</v>
          </cell>
          <cell r="D1734" t="str">
            <v>N/A</v>
          </cell>
          <cell r="E1734" t="str">
            <v>PH04-5 PANAMA HAT COLOR CLASSIC STRAW</v>
          </cell>
          <cell r="F1734" t="str">
            <v>SOMBRERO</v>
          </cell>
          <cell r="G1734" t="str">
            <v>PH04-5</v>
          </cell>
          <cell r="H1734" t="str">
            <v>PANAMA HAT</v>
          </cell>
          <cell r="I1734">
            <v>35</v>
          </cell>
        </row>
        <row r="1735">
          <cell r="A1735" t="str">
            <v>19-01734</v>
          </cell>
          <cell r="B1735" t="str">
            <v>I CARIBBEAN</v>
          </cell>
          <cell r="C1735" t="str">
            <v>A</v>
          </cell>
          <cell r="D1735" t="str">
            <v>N/A</v>
          </cell>
          <cell r="E1735" t="str">
            <v>PH04-2 PANAMA HAT FEDORA EDGE</v>
          </cell>
          <cell r="F1735" t="str">
            <v>SOMBRERO</v>
          </cell>
          <cell r="G1735" t="str">
            <v>PH04-2</v>
          </cell>
          <cell r="H1735" t="str">
            <v>PANAMA HAT</v>
          </cell>
          <cell r="I1735">
            <v>35</v>
          </cell>
        </row>
        <row r="1736">
          <cell r="A1736" t="str">
            <v>19-01735</v>
          </cell>
          <cell r="B1736" t="str">
            <v>I CARIBBEAN</v>
          </cell>
          <cell r="C1736" t="str">
            <v>A</v>
          </cell>
          <cell r="D1736" t="str">
            <v>N/A</v>
          </cell>
          <cell r="E1736" t="str">
            <v>PH05-1 PANAMA HAT COCO</v>
          </cell>
          <cell r="F1736" t="str">
            <v>SOMBRERO</v>
          </cell>
          <cell r="G1736" t="str">
            <v>PH05-1</v>
          </cell>
          <cell r="H1736" t="str">
            <v>PANAMA HAT</v>
          </cell>
          <cell r="I1736">
            <v>38</v>
          </cell>
        </row>
        <row r="1737">
          <cell r="A1737" t="str">
            <v>19-01736</v>
          </cell>
          <cell r="B1737" t="str">
            <v>I CARIBBEAN</v>
          </cell>
          <cell r="C1737" t="str">
            <v>A</v>
          </cell>
          <cell r="D1737" t="str">
            <v>N/A</v>
          </cell>
          <cell r="E1737" t="str">
            <v>PANAMA HAT COLOR SHORT BRIM</v>
          </cell>
          <cell r="F1737" t="str">
            <v>SOMBRERO</v>
          </cell>
          <cell r="H1737" t="str">
            <v>PANAMA HAT</v>
          </cell>
          <cell r="I1737">
            <v>35</v>
          </cell>
        </row>
        <row r="1738">
          <cell r="A1738" t="str">
            <v>19-01737</v>
          </cell>
          <cell r="B1738" t="str">
            <v>MOTTA INT.</v>
          </cell>
          <cell r="C1738" t="str">
            <v>A</v>
          </cell>
          <cell r="D1738" t="str">
            <v>NO</v>
          </cell>
          <cell r="E1738" t="str">
            <v>A63022210 HASBRO CAPTAIN AMERICA TRANSFORMING DART SHIELD</v>
          </cell>
          <cell r="F1738" t="str">
            <v>JUGUETES</v>
          </cell>
          <cell r="G1738" t="str">
            <v>A63022210</v>
          </cell>
          <cell r="H1738" t="str">
            <v>HASBRO</v>
          </cell>
          <cell r="I1738">
            <v>14</v>
          </cell>
        </row>
        <row r="1739">
          <cell r="A1739" t="str">
            <v>19-01738</v>
          </cell>
          <cell r="B1739" t="str">
            <v>MOTTA INT.</v>
          </cell>
          <cell r="C1739" t="str">
            <v>A</v>
          </cell>
          <cell r="D1739" t="str">
            <v>NO</v>
          </cell>
          <cell r="E1739" t="str">
            <v>A63032210 HASBRO CAPTAIN AMERICA SUPER SOLDIER HELMET</v>
          </cell>
          <cell r="F1739" t="str">
            <v>JUGUETES</v>
          </cell>
          <cell r="G1739" t="str">
            <v>A63032210</v>
          </cell>
          <cell r="H1739" t="str">
            <v>HASBRO</v>
          </cell>
          <cell r="I1739">
            <v>14</v>
          </cell>
        </row>
        <row r="1740">
          <cell r="A1740" t="str">
            <v>19-01739</v>
          </cell>
          <cell r="B1740" t="str">
            <v>MOTTA INT.</v>
          </cell>
          <cell r="C1740" t="str">
            <v>A</v>
          </cell>
          <cell r="D1740" t="str">
            <v>NO</v>
          </cell>
          <cell r="E1740" t="str">
            <v>A6700T0A0 HASBRO AVENGERS 12IN TITAN HERO CAPTAIN AMERICA 8X1</v>
          </cell>
          <cell r="F1740" t="str">
            <v>JUGUETES</v>
          </cell>
          <cell r="G1740" t="str">
            <v>A6700T0A0</v>
          </cell>
          <cell r="H1740" t="str">
            <v>HASBRO</v>
          </cell>
          <cell r="I1740">
            <v>6.8</v>
          </cell>
        </row>
        <row r="1741">
          <cell r="A1741" t="str">
            <v>19-01740</v>
          </cell>
          <cell r="B1741" t="str">
            <v>MOTTA INT.</v>
          </cell>
          <cell r="C1741" t="str">
            <v>A</v>
          </cell>
          <cell r="D1741" t="str">
            <v>NO</v>
          </cell>
          <cell r="E1741" t="str">
            <v>A67472210 HASBRO SPD SPIDERMAN WITH WEB COPTER</v>
          </cell>
          <cell r="F1741" t="str">
            <v>JUGUETES</v>
          </cell>
          <cell r="G1741" t="str">
            <v>A67472210</v>
          </cell>
          <cell r="H1741" t="str">
            <v>HASBRO</v>
          </cell>
          <cell r="I1741">
            <v>14.45</v>
          </cell>
        </row>
        <row r="1742">
          <cell r="A1742" t="str">
            <v>19-01741</v>
          </cell>
          <cell r="B1742" t="str">
            <v>MOTTA INT.</v>
          </cell>
          <cell r="C1742" t="str">
            <v>A</v>
          </cell>
          <cell r="D1742" t="str">
            <v>NO</v>
          </cell>
          <cell r="E1742" t="str">
            <v>A68332210 HASBRO AVENGERS SUPER HM BATTLE UPGRADE FIGURE AST</v>
          </cell>
          <cell r="F1742" t="str">
            <v>JUGUETES</v>
          </cell>
          <cell r="G1742" t="str">
            <v>A68332210</v>
          </cell>
          <cell r="H1742" t="str">
            <v>HASBRO</v>
          </cell>
          <cell r="I1742">
            <v>12.3</v>
          </cell>
        </row>
        <row r="1743">
          <cell r="A1743" t="str">
            <v>19-01742</v>
          </cell>
          <cell r="B1743" t="str">
            <v>MOTTA INT.</v>
          </cell>
          <cell r="C1743" t="str">
            <v>A</v>
          </cell>
          <cell r="D1743" t="str">
            <v>NO</v>
          </cell>
          <cell r="E1743" t="str">
            <v>A68402210 HASBRO AVN SUPER HM 6IN ELECTRONIC FIGURE</v>
          </cell>
          <cell r="F1743" t="str">
            <v>JUGUETES</v>
          </cell>
          <cell r="G1743" t="str">
            <v>A68402210</v>
          </cell>
          <cell r="H1743" t="str">
            <v>HASBRO</v>
          </cell>
          <cell r="I1743">
            <v>17.850000000000001</v>
          </cell>
        </row>
        <row r="1744">
          <cell r="A1744" t="str">
            <v>19-01743</v>
          </cell>
          <cell r="B1744" t="str">
            <v>MOTTA INT.</v>
          </cell>
          <cell r="C1744" t="str">
            <v>A</v>
          </cell>
          <cell r="D1744" t="str">
            <v>NO</v>
          </cell>
          <cell r="E1744" t="str">
            <v>209270770 HASBRO PLA PF STACK N NEST BLOCKS</v>
          </cell>
          <cell r="F1744" t="str">
            <v>JUGUETES</v>
          </cell>
          <cell r="G1744">
            <v>209270770</v>
          </cell>
          <cell r="H1744" t="str">
            <v>HASBRO</v>
          </cell>
          <cell r="I1744">
            <v>2.2000000000000002</v>
          </cell>
        </row>
        <row r="1745">
          <cell r="A1745" t="str">
            <v>19-01744</v>
          </cell>
          <cell r="B1745" t="str">
            <v>MOTTA INT.</v>
          </cell>
          <cell r="C1745" t="str">
            <v>A</v>
          </cell>
          <cell r="D1745" t="str">
            <v>NO</v>
          </cell>
          <cell r="E1745" t="str">
            <v>306892210 HASBRO SET DE CONSTRUCCION OPTIMUS PRIME TRANSF. KREO</v>
          </cell>
          <cell r="F1745" t="str">
            <v>JUGUETES</v>
          </cell>
          <cell r="G1745">
            <v>306892210</v>
          </cell>
          <cell r="H1745" t="str">
            <v>HASBRO</v>
          </cell>
          <cell r="I1745">
            <v>55.15</v>
          </cell>
        </row>
        <row r="1746">
          <cell r="A1746" t="str">
            <v>19-01745</v>
          </cell>
          <cell r="B1746" t="str">
            <v>MOTTA INT.</v>
          </cell>
          <cell r="C1746" t="str">
            <v>A</v>
          </cell>
          <cell r="D1746" t="str">
            <v>NO</v>
          </cell>
          <cell r="E1746" t="str">
            <v>398202210 HASBRO PLAYSKOOL MPH SPIDER SPUD</v>
          </cell>
          <cell r="F1746" t="str">
            <v>JUGUETES</v>
          </cell>
          <cell r="G1746">
            <v>398202210</v>
          </cell>
          <cell r="H1746" t="str">
            <v>HASBRO</v>
          </cell>
          <cell r="I1746">
            <v>9.25</v>
          </cell>
        </row>
        <row r="1747">
          <cell r="A1747" t="str">
            <v>19-01746</v>
          </cell>
          <cell r="B1747" t="str">
            <v>MOTTA INT.</v>
          </cell>
          <cell r="C1747" t="str">
            <v>A</v>
          </cell>
          <cell r="D1747" t="str">
            <v>NO</v>
          </cell>
          <cell r="E1747" t="str">
            <v>399722210 HASBRO PLA POPPIN PARK TUMBLE TOP</v>
          </cell>
          <cell r="F1747" t="str">
            <v>JUGUETES</v>
          </cell>
          <cell r="G1747">
            <v>399722210</v>
          </cell>
          <cell r="H1747" t="str">
            <v>HASBRO</v>
          </cell>
          <cell r="I1747">
            <v>7.2</v>
          </cell>
        </row>
        <row r="1748">
          <cell r="A1748" t="str">
            <v>19-01747</v>
          </cell>
          <cell r="B1748" t="str">
            <v>MOTTA INT.</v>
          </cell>
          <cell r="C1748" t="str">
            <v>A</v>
          </cell>
          <cell r="D1748" t="str">
            <v>NO</v>
          </cell>
          <cell r="E1748" t="str">
            <v>668375731 HASBRO TRAVEL CHILDREN MINI GAMES</v>
          </cell>
          <cell r="F1748" t="str">
            <v>JUGUETES</v>
          </cell>
          <cell r="G1748">
            <v>668375731</v>
          </cell>
          <cell r="H1748" t="str">
            <v>HASBRO</v>
          </cell>
          <cell r="I1748">
            <v>4.9000000000000004</v>
          </cell>
        </row>
        <row r="1749">
          <cell r="A1749" t="str">
            <v>19-01748</v>
          </cell>
          <cell r="B1749" t="str">
            <v>MOTTA INT.</v>
          </cell>
          <cell r="C1749" t="str">
            <v>A</v>
          </cell>
          <cell r="D1749" t="str">
            <v>NO</v>
          </cell>
          <cell r="E1749" t="str">
            <v>A03322230 HASBRO SES SESAME STREET RACERS</v>
          </cell>
          <cell r="F1749" t="str">
            <v>JUGUETES</v>
          </cell>
          <cell r="G1749" t="str">
            <v>A03322230</v>
          </cell>
          <cell r="H1749" t="str">
            <v>HASBRO</v>
          </cell>
          <cell r="I1749">
            <v>6.6</v>
          </cell>
        </row>
        <row r="1750">
          <cell r="A1750" t="str">
            <v>19-01749</v>
          </cell>
          <cell r="B1750" t="str">
            <v>MOTTA INT.</v>
          </cell>
          <cell r="C1750" t="str">
            <v>A</v>
          </cell>
          <cell r="D1750" t="str">
            <v>NO</v>
          </cell>
          <cell r="E1750" t="str">
            <v>A06722210 HASBRO TRA MINICON FIGURE PACKS</v>
          </cell>
          <cell r="F1750" t="str">
            <v>JUGUETES</v>
          </cell>
          <cell r="G1750" t="str">
            <v>A06722210</v>
          </cell>
          <cell r="H1750" t="str">
            <v>HASBRO</v>
          </cell>
          <cell r="I1750">
            <v>5</v>
          </cell>
        </row>
        <row r="1751">
          <cell r="A1751" t="str">
            <v>19-01750</v>
          </cell>
          <cell r="B1751" t="str">
            <v>MOTTA INT.</v>
          </cell>
          <cell r="C1751" t="str">
            <v>A</v>
          </cell>
          <cell r="D1751" t="str">
            <v>NO</v>
          </cell>
          <cell r="E1751" t="str">
            <v>A11892211 HASBRO SW EXTENDED LIGHTSABERS AST W1R2</v>
          </cell>
          <cell r="F1751" t="str">
            <v>JUGUETES</v>
          </cell>
          <cell r="G1751" t="str">
            <v>A11892211</v>
          </cell>
          <cell r="H1751" t="str">
            <v>HASBRO</v>
          </cell>
          <cell r="I1751">
            <v>6.75</v>
          </cell>
        </row>
        <row r="1752">
          <cell r="A1752" t="str">
            <v>19-01751</v>
          </cell>
          <cell r="B1752" t="str">
            <v>MOTTA INT.</v>
          </cell>
          <cell r="C1752" t="str">
            <v>A</v>
          </cell>
          <cell r="D1752" t="str">
            <v>NO</v>
          </cell>
          <cell r="E1752" t="str">
            <v>A13512212 HASBRO LPS MULTI PET SCENE PACK AST W2 13</v>
          </cell>
          <cell r="F1752" t="str">
            <v>JUGUETES</v>
          </cell>
          <cell r="G1752" t="str">
            <v>A13512212</v>
          </cell>
          <cell r="H1752" t="str">
            <v>HASBRO</v>
          </cell>
          <cell r="I1752">
            <v>8.9499999999999993</v>
          </cell>
        </row>
        <row r="1753">
          <cell r="A1753" t="str">
            <v>19-01752</v>
          </cell>
          <cell r="B1753" t="str">
            <v>MOTTA INT.</v>
          </cell>
          <cell r="C1753" t="str">
            <v>A</v>
          </cell>
          <cell r="D1753" t="str">
            <v>NO</v>
          </cell>
          <cell r="E1753" t="str">
            <v>A13552210 HASBRO LPS SUGAR CHIC SHOPPE</v>
          </cell>
          <cell r="F1753" t="str">
            <v>JUGUETES</v>
          </cell>
          <cell r="G1753" t="str">
            <v>A13552210</v>
          </cell>
          <cell r="H1753" t="str">
            <v>HASBRO</v>
          </cell>
          <cell r="I1753">
            <v>14.5</v>
          </cell>
        </row>
        <row r="1754">
          <cell r="A1754" t="str">
            <v>19-01753</v>
          </cell>
          <cell r="B1754" t="str">
            <v>MOTTA INT.</v>
          </cell>
          <cell r="C1754" t="str">
            <v>A</v>
          </cell>
          <cell r="D1754" t="str">
            <v>NO</v>
          </cell>
          <cell r="E1754" t="str">
            <v>A13845730 HASBRO MLP CRYSTAL WALKING PINKIE PIE</v>
          </cell>
          <cell r="F1754" t="str">
            <v>JUGUETES</v>
          </cell>
          <cell r="G1754" t="str">
            <v>A13845730</v>
          </cell>
          <cell r="H1754" t="str">
            <v>HASBRO</v>
          </cell>
          <cell r="I1754">
            <v>11.5</v>
          </cell>
        </row>
        <row r="1755">
          <cell r="A1755" t="str">
            <v>19-01754</v>
          </cell>
          <cell r="B1755" t="str">
            <v>MOTTA INT.</v>
          </cell>
          <cell r="C1755" t="str">
            <v>A</v>
          </cell>
          <cell r="D1755" t="str">
            <v>NO</v>
          </cell>
          <cell r="E1755" t="str">
            <v>A13852211 HASBRO MLP CRYSTAL DECO FASHION PONIES AST W2</v>
          </cell>
          <cell r="F1755" t="str">
            <v>JUGUETES</v>
          </cell>
          <cell r="G1755" t="str">
            <v>A13852211</v>
          </cell>
          <cell r="H1755" t="str">
            <v>HASBRO</v>
          </cell>
          <cell r="I1755">
            <v>7</v>
          </cell>
        </row>
        <row r="1756">
          <cell r="A1756" t="str">
            <v>19-01755</v>
          </cell>
          <cell r="B1756" t="str">
            <v>MOTTA INT.</v>
          </cell>
          <cell r="C1756" t="str">
            <v>A</v>
          </cell>
          <cell r="D1756" t="str">
            <v>NO</v>
          </cell>
          <cell r="E1756" t="str">
            <v>A15142210 HASBRO SPD BASIC HERO MASK</v>
          </cell>
          <cell r="F1756" t="str">
            <v>JUGUETES</v>
          </cell>
          <cell r="G1756" t="str">
            <v>A15142210</v>
          </cell>
          <cell r="H1756" t="str">
            <v>HASBRO</v>
          </cell>
          <cell r="I1756">
            <v>6.9</v>
          </cell>
        </row>
        <row r="1757">
          <cell r="A1757" t="str">
            <v>19-01756</v>
          </cell>
          <cell r="B1757" t="str">
            <v>MOTTA INT.</v>
          </cell>
          <cell r="C1757" t="str">
            <v>A</v>
          </cell>
          <cell r="D1757" t="str">
            <v>NO</v>
          </cell>
          <cell r="E1757" t="str">
            <v>A15172210 HASBRO SPD BASIC 12IN FIGURER</v>
          </cell>
          <cell r="F1757" t="str">
            <v>JUGUETES</v>
          </cell>
          <cell r="G1757" t="str">
            <v>A15172210</v>
          </cell>
          <cell r="H1757" t="str">
            <v>HASBRO</v>
          </cell>
          <cell r="I1757">
            <v>6.2</v>
          </cell>
        </row>
        <row r="1758">
          <cell r="A1758" t="str">
            <v>19-01757</v>
          </cell>
          <cell r="B1758" t="str">
            <v>MOTTA INT.</v>
          </cell>
          <cell r="C1758" t="str">
            <v>A</v>
          </cell>
          <cell r="D1758" t="str">
            <v>NO</v>
          </cell>
          <cell r="E1758" t="str">
            <v>A15582211 HASBRO LPS DECO PETS AST W2</v>
          </cell>
          <cell r="F1758" t="str">
            <v>JUGUETES</v>
          </cell>
          <cell r="G1758" t="str">
            <v>A15582211</v>
          </cell>
          <cell r="H1758" t="str">
            <v>HASBRO</v>
          </cell>
          <cell r="I1758">
            <v>9.85</v>
          </cell>
        </row>
        <row r="1759">
          <cell r="A1759" t="str">
            <v>19-01758</v>
          </cell>
          <cell r="B1759" t="str">
            <v>MOTTA INT.</v>
          </cell>
          <cell r="C1759" t="str">
            <v>A</v>
          </cell>
          <cell r="D1759" t="str">
            <v>NO</v>
          </cell>
          <cell r="E1759" t="str">
            <v>A16292218 HASBRO TRA PRIME LEGION BEAST HUNTER AST</v>
          </cell>
          <cell r="F1759" t="str">
            <v>JUGUETES</v>
          </cell>
          <cell r="G1759" t="str">
            <v>A16292218</v>
          </cell>
          <cell r="H1759" t="str">
            <v>HASBRO</v>
          </cell>
          <cell r="I1759">
            <v>2.75</v>
          </cell>
        </row>
        <row r="1760">
          <cell r="A1760" t="str">
            <v>19-01759</v>
          </cell>
          <cell r="B1760" t="str">
            <v>MOTTA INT.</v>
          </cell>
          <cell r="C1760" t="str">
            <v>A</v>
          </cell>
          <cell r="D1760" t="str">
            <v>NO</v>
          </cell>
          <cell r="E1760" t="str">
            <v>A17092210 HASBRO IM 12 INCH EC ACTION FIGURE</v>
          </cell>
          <cell r="F1760" t="str">
            <v>JUGUETES</v>
          </cell>
          <cell r="G1760" t="str">
            <v>A17092210</v>
          </cell>
          <cell r="H1760" t="str">
            <v>HASBRO</v>
          </cell>
          <cell r="I1760">
            <v>6.25</v>
          </cell>
        </row>
        <row r="1761">
          <cell r="A1761" t="str">
            <v>19-01760</v>
          </cell>
          <cell r="B1761" t="str">
            <v>MOTTA INT.</v>
          </cell>
          <cell r="C1761" t="str">
            <v>A</v>
          </cell>
          <cell r="D1761" t="str">
            <v>NO</v>
          </cell>
          <cell r="E1761" t="str">
            <v>A17145730 HASBRO IM ARC FX MISSION MASK</v>
          </cell>
          <cell r="F1761" t="str">
            <v>JUGUETES</v>
          </cell>
          <cell r="G1761" t="str">
            <v>A17145730</v>
          </cell>
          <cell r="H1761" t="str">
            <v>HASBRO</v>
          </cell>
          <cell r="I1761">
            <v>16</v>
          </cell>
        </row>
        <row r="1762">
          <cell r="A1762" t="str">
            <v>19-01761</v>
          </cell>
          <cell r="B1762" t="str">
            <v>MOTTA INT.</v>
          </cell>
          <cell r="C1762" t="str">
            <v>A</v>
          </cell>
          <cell r="D1762" t="str">
            <v>NO</v>
          </cell>
          <cell r="E1762" t="str">
            <v>A17152210 HASBRO IM ARC FX GAUNTLET</v>
          </cell>
          <cell r="F1762" t="str">
            <v>JUGUETES</v>
          </cell>
          <cell r="G1762" t="str">
            <v>A17152210</v>
          </cell>
          <cell r="H1762" t="str">
            <v>HASBRO</v>
          </cell>
          <cell r="I1762">
            <v>12</v>
          </cell>
        </row>
        <row r="1763">
          <cell r="A1763" t="str">
            <v>19-01762</v>
          </cell>
          <cell r="B1763" t="str">
            <v>MOTTA INT.</v>
          </cell>
          <cell r="C1763" t="str">
            <v>A</v>
          </cell>
          <cell r="D1763" t="str">
            <v>NO</v>
          </cell>
          <cell r="E1763" t="str">
            <v>A17382210 HASBRO IM ARC FX REPULSOR</v>
          </cell>
          <cell r="F1763" t="str">
            <v>JUGUETES</v>
          </cell>
          <cell r="G1763" t="str">
            <v>A17382210</v>
          </cell>
          <cell r="H1763" t="str">
            <v>HASBRO</v>
          </cell>
          <cell r="I1763">
            <v>6.9</v>
          </cell>
        </row>
        <row r="1764">
          <cell r="A1764" t="str">
            <v>19-01763</v>
          </cell>
          <cell r="B1764" t="str">
            <v>MOTTA INT.</v>
          </cell>
          <cell r="C1764" t="str">
            <v>A</v>
          </cell>
          <cell r="D1764" t="str">
            <v>NO</v>
          </cell>
          <cell r="E1764" t="str">
            <v>A18222216 HASBRO AVN MIGHTY BATTLERS ASST</v>
          </cell>
          <cell r="F1764" t="str">
            <v>JUGUETES</v>
          </cell>
          <cell r="G1764" t="str">
            <v>A18222216</v>
          </cell>
          <cell r="H1764" t="str">
            <v>HASBRO</v>
          </cell>
          <cell r="I1764">
            <v>9.9</v>
          </cell>
        </row>
        <row r="1765">
          <cell r="A1765" t="str">
            <v>19-01764</v>
          </cell>
          <cell r="B1765" t="str">
            <v>MOTTA INT.</v>
          </cell>
          <cell r="C1765" t="str">
            <v>A</v>
          </cell>
          <cell r="D1765" t="str">
            <v>NO</v>
          </cell>
          <cell r="E1765" t="str">
            <v>A18282210 HASBRO AVN HERO MASK AST</v>
          </cell>
          <cell r="F1765" t="str">
            <v>JUGUETES</v>
          </cell>
          <cell r="G1765" t="str">
            <v>A18282210</v>
          </cell>
          <cell r="H1765" t="str">
            <v>HASBRO</v>
          </cell>
          <cell r="I1765">
            <v>6.9</v>
          </cell>
        </row>
        <row r="1766">
          <cell r="A1766" t="str">
            <v>19-01765</v>
          </cell>
          <cell r="B1766" t="str">
            <v>MOTTA INT.</v>
          </cell>
          <cell r="C1766" t="str">
            <v>A</v>
          </cell>
          <cell r="D1766" t="str">
            <v>NO</v>
          </cell>
          <cell r="E1766" t="str">
            <v>A20042211 HASBRO MLP PRINCESS PACK AST W2 13</v>
          </cell>
          <cell r="F1766" t="str">
            <v>JUGUETES</v>
          </cell>
          <cell r="G1766" t="str">
            <v>A20042211</v>
          </cell>
          <cell r="H1766" t="str">
            <v>HASBRO</v>
          </cell>
          <cell r="I1766">
            <v>9.6</v>
          </cell>
        </row>
        <row r="1767">
          <cell r="A1767" t="str">
            <v>19-01766</v>
          </cell>
          <cell r="B1767" t="str">
            <v>MOTTA INT.</v>
          </cell>
          <cell r="C1767" t="str">
            <v>A</v>
          </cell>
          <cell r="D1767" t="str">
            <v>NO</v>
          </cell>
          <cell r="E1767" t="str">
            <v>A20052210 HASBRO MLP LITTLEST SO SOFT AST W1 13</v>
          </cell>
          <cell r="F1767" t="str">
            <v>JUGUETES</v>
          </cell>
          <cell r="G1767" t="str">
            <v>A20052210</v>
          </cell>
          <cell r="H1767" t="str">
            <v>HASBRO</v>
          </cell>
          <cell r="I1767">
            <v>8.9</v>
          </cell>
        </row>
        <row r="1768">
          <cell r="A1768" t="str">
            <v>19-01767</v>
          </cell>
          <cell r="B1768" t="str">
            <v>MOTTA INT.</v>
          </cell>
          <cell r="C1768" t="str">
            <v>A</v>
          </cell>
          <cell r="D1768" t="str">
            <v>NO</v>
          </cell>
          <cell r="E1768" t="str">
            <v>A25132210 HASBRO IM 12IN TITAN HERO SERIES DELUXE FIGURE</v>
          </cell>
          <cell r="F1768" t="str">
            <v>JUGUETES</v>
          </cell>
          <cell r="G1768" t="str">
            <v>A25132210</v>
          </cell>
          <cell r="H1768" t="str">
            <v>HASBRO</v>
          </cell>
          <cell r="I1768">
            <v>13.4</v>
          </cell>
        </row>
        <row r="1769">
          <cell r="A1769" t="str">
            <v>19-01768</v>
          </cell>
          <cell r="B1769" t="str">
            <v>MOTTA INT.</v>
          </cell>
          <cell r="C1769" t="str">
            <v>A</v>
          </cell>
          <cell r="D1769" t="str">
            <v>NO</v>
          </cell>
          <cell r="E1769" t="str">
            <v>A27432210 HASBRO PD ICE CREAM CONE CONTAINER</v>
          </cell>
          <cell r="F1769" t="str">
            <v>JUGUETES</v>
          </cell>
          <cell r="G1769" t="str">
            <v>A27432210</v>
          </cell>
          <cell r="H1769" t="str">
            <v>HASBRO</v>
          </cell>
          <cell r="I1769">
            <v>4.7</v>
          </cell>
        </row>
        <row r="1770">
          <cell r="A1770" t="str">
            <v>19-01769</v>
          </cell>
          <cell r="B1770" t="str">
            <v>MOTTA INT.</v>
          </cell>
          <cell r="C1770" t="str">
            <v>A</v>
          </cell>
          <cell r="D1770" t="str">
            <v>NO</v>
          </cell>
          <cell r="E1770" t="str">
            <v>A27892210 HASBRO PLA ROCK N RHYTHM TAMBOURINE</v>
          </cell>
          <cell r="F1770" t="str">
            <v>JUGUETES</v>
          </cell>
          <cell r="G1770" t="str">
            <v>A27892210</v>
          </cell>
          <cell r="H1770" t="str">
            <v>HASBRO</v>
          </cell>
          <cell r="I1770">
            <v>10.199999999999999</v>
          </cell>
        </row>
        <row r="1771">
          <cell r="A1771" t="str">
            <v>19-01770</v>
          </cell>
          <cell r="B1771" t="str">
            <v>MOTTA INT.</v>
          </cell>
          <cell r="C1771" t="str">
            <v>A</v>
          </cell>
          <cell r="D1771" t="str">
            <v>NO</v>
          </cell>
          <cell r="E1771" t="str">
            <v>A39742216 HASBRO SPD ULTIMATE SPIDERMAN ALLSTARS</v>
          </cell>
          <cell r="F1771" t="str">
            <v>JUGUETES</v>
          </cell>
          <cell r="G1771" t="str">
            <v>A39742216</v>
          </cell>
          <cell r="H1771" t="str">
            <v>HASBRO</v>
          </cell>
          <cell r="I1771">
            <v>3.45</v>
          </cell>
        </row>
        <row r="1772">
          <cell r="A1772" t="str">
            <v>19-01771</v>
          </cell>
          <cell r="B1772" t="str">
            <v>MOTTA INT.</v>
          </cell>
          <cell r="C1772" t="str">
            <v>A</v>
          </cell>
          <cell r="D1772" t="str">
            <v>NO</v>
          </cell>
          <cell r="E1772" t="str">
            <v>A39942210 HASBRO MLP EQUESTRIA GIRLS AST W2</v>
          </cell>
          <cell r="F1772" t="str">
            <v>JUGUETES</v>
          </cell>
          <cell r="G1772" t="str">
            <v>A39942211</v>
          </cell>
          <cell r="H1772" t="str">
            <v>HASBRO</v>
          </cell>
          <cell r="I1772">
            <v>10.55</v>
          </cell>
        </row>
        <row r="1773">
          <cell r="A1773" t="str">
            <v>19-01772</v>
          </cell>
          <cell r="B1773" t="str">
            <v>MOTTA INT.</v>
          </cell>
          <cell r="C1773" t="str">
            <v>A</v>
          </cell>
          <cell r="D1773" t="str">
            <v>NO</v>
          </cell>
          <cell r="E1773" t="str">
            <v>A45972210 HASBRO MPH LITTLE TATERS DLX THEMED POTATO AST</v>
          </cell>
          <cell r="F1773" t="str">
            <v>JUGUETES</v>
          </cell>
          <cell r="G1773" t="str">
            <v>A45972210</v>
          </cell>
          <cell r="H1773" t="str">
            <v>HASBRO</v>
          </cell>
          <cell r="I1773">
            <v>0</v>
          </cell>
        </row>
        <row r="1774">
          <cell r="A1774" t="str">
            <v>19-01773</v>
          </cell>
          <cell r="B1774" t="str">
            <v>MOTTA INT.</v>
          </cell>
          <cell r="C1774" t="str">
            <v>A</v>
          </cell>
          <cell r="D1774" t="str">
            <v>NO</v>
          </cell>
          <cell r="E1774" t="str">
            <v>A48102210 HASBRO AVN TITAN HERO HULK</v>
          </cell>
          <cell r="F1774" t="str">
            <v>JUGUETES</v>
          </cell>
          <cell r="G1774" t="str">
            <v>A48102210</v>
          </cell>
          <cell r="H1774" t="str">
            <v>HASBRO</v>
          </cell>
          <cell r="I1774">
            <v>11.25</v>
          </cell>
        </row>
        <row r="1775">
          <cell r="A1775" t="str">
            <v>19-01774</v>
          </cell>
          <cell r="B1775" t="str">
            <v>MOTTA INT.</v>
          </cell>
          <cell r="C1775" t="str">
            <v>A</v>
          </cell>
          <cell r="D1775" t="str">
            <v>NO</v>
          </cell>
          <cell r="E1775" t="str">
            <v>A56652210 HASBRO SPD WEB STRIKE TANK WITH SPIDERMAN</v>
          </cell>
          <cell r="F1775" t="str">
            <v>JUGUETES</v>
          </cell>
          <cell r="G1775" t="str">
            <v>A56652210</v>
          </cell>
          <cell r="H1775" t="str">
            <v>HASBRO</v>
          </cell>
          <cell r="I1775">
            <v>10</v>
          </cell>
        </row>
        <row r="1776">
          <cell r="A1776" t="str">
            <v>19-01775</v>
          </cell>
          <cell r="B1776" t="str">
            <v>MOTTA INT.</v>
          </cell>
          <cell r="C1776" t="str">
            <v>A</v>
          </cell>
          <cell r="D1776" t="str">
            <v>NO</v>
          </cell>
          <cell r="E1776" t="str">
            <v>A59342210 HASBRO MLP FLYING PONY</v>
          </cell>
          <cell r="F1776" t="str">
            <v>JUGUETES</v>
          </cell>
          <cell r="G1776" t="str">
            <v>A59342210</v>
          </cell>
          <cell r="H1776" t="str">
            <v>HASBRO</v>
          </cell>
          <cell r="I1776">
            <v>7.1</v>
          </cell>
        </row>
        <row r="1777">
          <cell r="A1777" t="str">
            <v>19-01776</v>
          </cell>
          <cell r="B1777" t="str">
            <v xml:space="preserve">GLOBAL INVESTMENTS </v>
          </cell>
          <cell r="C1777" t="str">
            <v>D</v>
          </cell>
          <cell r="D1777" t="str">
            <v>N/A</v>
          </cell>
          <cell r="E1777" t="str">
            <v>A70580 AG SPF 4 OIL SPRAY 8 OZ</v>
          </cell>
          <cell r="F1777" t="str">
            <v>SUN BLOCK</v>
          </cell>
          <cell r="G1777" t="str">
            <v>A70580</v>
          </cell>
          <cell r="H1777" t="str">
            <v>AUSTRALIAN GOLD</v>
          </cell>
          <cell r="I1777">
            <v>5.25</v>
          </cell>
        </row>
        <row r="1778">
          <cell r="A1778" t="str">
            <v>19-01777</v>
          </cell>
          <cell r="B1778" t="str">
            <v>ORKHON GROUP</v>
          </cell>
          <cell r="C1778" t="str">
            <v>A</v>
          </cell>
          <cell r="D1778" t="str">
            <v>N/A</v>
          </cell>
          <cell r="E1778" t="str">
            <v>C-1303-20 ALTAMAR BOLSO DE PLAYA</v>
          </cell>
          <cell r="F1778" t="str">
            <v>BOLSO</v>
          </cell>
          <cell r="G1778">
            <v>117908</v>
          </cell>
          <cell r="H1778" t="str">
            <v>ALTAMAR</v>
          </cell>
          <cell r="I1778">
            <v>20</v>
          </cell>
        </row>
        <row r="1779">
          <cell r="A1779" t="str">
            <v>19-01778</v>
          </cell>
          <cell r="B1779" t="str">
            <v>ORKHON GROUP</v>
          </cell>
          <cell r="C1779" t="str">
            <v>A</v>
          </cell>
          <cell r="D1779" t="str">
            <v>N/A</v>
          </cell>
          <cell r="E1779" t="str">
            <v>1F-11357/C1308-99 ALTAMAR SOBRE</v>
          </cell>
          <cell r="F1779" t="str">
            <v>BOLSO</v>
          </cell>
          <cell r="G1779">
            <v>118950</v>
          </cell>
          <cell r="H1779" t="str">
            <v>ALTAMAR</v>
          </cell>
          <cell r="I1779">
            <v>7.56</v>
          </cell>
        </row>
        <row r="1780">
          <cell r="A1780" t="str">
            <v>19-01779</v>
          </cell>
          <cell r="B1780" t="str">
            <v>ORKHON GROUP</v>
          </cell>
          <cell r="C1780" t="str">
            <v>A</v>
          </cell>
          <cell r="D1780" t="str">
            <v>N/A</v>
          </cell>
          <cell r="E1780" t="str">
            <v>1F-11357/C1308-100 ALTAMAR SOBRE</v>
          </cell>
          <cell r="F1780" t="str">
            <v>BOLSO</v>
          </cell>
          <cell r="G1780">
            <v>118951</v>
          </cell>
          <cell r="H1780" t="str">
            <v>ALTAMAR</v>
          </cell>
          <cell r="I1780">
            <v>9.4499999999999993</v>
          </cell>
        </row>
        <row r="1781">
          <cell r="A1781" t="str">
            <v>19-01780</v>
          </cell>
          <cell r="B1781" t="str">
            <v>ORKHON GROUP</v>
          </cell>
          <cell r="C1781" t="str">
            <v>A</v>
          </cell>
          <cell r="D1781" t="str">
            <v>N/A</v>
          </cell>
          <cell r="E1781" t="str">
            <v>1F-11357/C11308-104 ALTAMAR SOBRE</v>
          </cell>
          <cell r="F1781" t="str">
            <v>BOLSO</v>
          </cell>
          <cell r="G1781">
            <v>118955</v>
          </cell>
          <cell r="H1781" t="str">
            <v>ALTAMAR</v>
          </cell>
          <cell r="I1781">
            <v>8.4</v>
          </cell>
        </row>
        <row r="1782">
          <cell r="A1782" t="str">
            <v>19-01781</v>
          </cell>
          <cell r="B1782" t="str">
            <v>ORKHON GROUP</v>
          </cell>
          <cell r="C1782" t="str">
            <v>A</v>
          </cell>
          <cell r="D1782" t="str">
            <v>N/A</v>
          </cell>
          <cell r="E1782" t="str">
            <v>119048 ALTAMAR MALETA 4 RUEDAS</v>
          </cell>
          <cell r="F1782" t="str">
            <v>BAG</v>
          </cell>
          <cell r="G1782">
            <v>119048</v>
          </cell>
          <cell r="H1782" t="str">
            <v>ALTAMAR</v>
          </cell>
          <cell r="I1782">
            <v>63</v>
          </cell>
        </row>
        <row r="1783">
          <cell r="A1783" t="str">
            <v>19-01782</v>
          </cell>
          <cell r="B1783" t="str">
            <v>ORKHON GROUP</v>
          </cell>
          <cell r="C1783" t="str">
            <v>A</v>
          </cell>
          <cell r="D1783" t="str">
            <v>N/A</v>
          </cell>
          <cell r="E1783" t="str">
            <v>G-1303-9 ALTAMAR PULSERAS CLOE</v>
          </cell>
          <cell r="F1783" t="str">
            <v>PULSERA</v>
          </cell>
          <cell r="G1783">
            <v>117455</v>
          </cell>
          <cell r="H1783" t="str">
            <v>ALTAMAR</v>
          </cell>
          <cell r="I1783">
            <v>1.26</v>
          </cell>
        </row>
        <row r="1784">
          <cell r="A1784" t="str">
            <v>19-01783</v>
          </cell>
          <cell r="B1784" t="str">
            <v>ORKHON GROUP</v>
          </cell>
          <cell r="C1784" t="str">
            <v>A</v>
          </cell>
          <cell r="D1784" t="str">
            <v>N/A</v>
          </cell>
          <cell r="E1784" t="str">
            <v>G-1303-10 ALTAMAR PULSERAS CLOE</v>
          </cell>
          <cell r="F1784" t="str">
            <v>PULSERA</v>
          </cell>
          <cell r="G1784">
            <v>117456</v>
          </cell>
          <cell r="H1784" t="str">
            <v>ALTAMAR</v>
          </cell>
          <cell r="I1784">
            <v>1.26</v>
          </cell>
        </row>
        <row r="1785">
          <cell r="A1785" t="str">
            <v>19-01784</v>
          </cell>
          <cell r="B1785" t="str">
            <v>ORKHON GROUP</v>
          </cell>
          <cell r="C1785" t="str">
            <v>A</v>
          </cell>
          <cell r="D1785" t="str">
            <v>N/A</v>
          </cell>
          <cell r="E1785" t="str">
            <v>2E-5669/Y1303-103B ALTAMAR PULSERAS CLOE</v>
          </cell>
          <cell r="F1785" t="str">
            <v>PULSERA</v>
          </cell>
          <cell r="G1785">
            <v>117793</v>
          </cell>
          <cell r="H1785" t="str">
            <v>ALTAMAR</v>
          </cell>
          <cell r="I1785">
            <v>1.68</v>
          </cell>
        </row>
        <row r="1786">
          <cell r="A1786" t="str">
            <v>19-01785</v>
          </cell>
          <cell r="B1786" t="str">
            <v>ORKHON GROUP</v>
          </cell>
          <cell r="C1786" t="str">
            <v>A</v>
          </cell>
          <cell r="D1786" t="str">
            <v>N/A</v>
          </cell>
          <cell r="E1786" t="str">
            <v>2E-5669/Y1303-104 ALTAMAR PULSERAS CLOE</v>
          </cell>
          <cell r="F1786" t="str">
            <v>PULSERA</v>
          </cell>
          <cell r="G1786">
            <v>117794</v>
          </cell>
          <cell r="H1786" t="str">
            <v>ALTAMAR</v>
          </cell>
          <cell r="I1786">
            <v>3.15</v>
          </cell>
        </row>
        <row r="1787">
          <cell r="A1787" t="str">
            <v>19-01786</v>
          </cell>
          <cell r="B1787" t="str">
            <v>ORKHON GROUP</v>
          </cell>
          <cell r="C1787" t="str">
            <v>A</v>
          </cell>
          <cell r="D1787" t="str">
            <v>N/A</v>
          </cell>
          <cell r="E1787" t="str">
            <v>2E-5590/Y1303-107A ALTAMAR PULSERAS CLOE</v>
          </cell>
          <cell r="F1787" t="str">
            <v>PULSERA</v>
          </cell>
          <cell r="G1787">
            <v>117795</v>
          </cell>
          <cell r="H1787" t="str">
            <v>ALTAMAR</v>
          </cell>
          <cell r="I1787">
            <v>3</v>
          </cell>
        </row>
        <row r="1788">
          <cell r="A1788" t="str">
            <v>19-01787</v>
          </cell>
          <cell r="B1788" t="str">
            <v>ORKHON GROUP</v>
          </cell>
          <cell r="C1788" t="str">
            <v>A</v>
          </cell>
          <cell r="D1788" t="str">
            <v>N/A</v>
          </cell>
          <cell r="E1788" t="str">
            <v>2C-4350/1303-227 ALTAMAR PULSERAS CLOE</v>
          </cell>
          <cell r="F1788" t="str">
            <v>PULSERA</v>
          </cell>
          <cell r="G1788">
            <v>117896</v>
          </cell>
          <cell r="H1788" t="str">
            <v>ALTAMAR</v>
          </cell>
          <cell r="I1788">
            <v>1.05</v>
          </cell>
        </row>
        <row r="1789">
          <cell r="A1789" t="str">
            <v>19-01788</v>
          </cell>
          <cell r="B1789" t="str">
            <v>ORKHON GROUP</v>
          </cell>
          <cell r="C1789" t="str">
            <v>A</v>
          </cell>
          <cell r="D1789" t="str">
            <v>N/A</v>
          </cell>
          <cell r="E1789" t="str">
            <v>A1308-93 ALTAMAR PULSERAS CLOE</v>
          </cell>
          <cell r="F1789" t="str">
            <v>PULSERA</v>
          </cell>
          <cell r="G1789" t="str">
            <v>A1308-93</v>
          </cell>
          <cell r="H1789" t="str">
            <v>ALTAMAR</v>
          </cell>
          <cell r="I1789">
            <v>1.37</v>
          </cell>
        </row>
        <row r="1790">
          <cell r="A1790" t="str">
            <v>19-01789</v>
          </cell>
          <cell r="B1790" t="str">
            <v>ORKHON GROUP</v>
          </cell>
          <cell r="C1790" t="str">
            <v>A</v>
          </cell>
          <cell r="D1790" t="str">
            <v>N/A</v>
          </cell>
          <cell r="E1790" t="str">
            <v>A1308-42 ALTAMAR PULSERAS CLOE</v>
          </cell>
          <cell r="F1790" t="str">
            <v>PULSERA</v>
          </cell>
          <cell r="G1790">
            <v>118940</v>
          </cell>
          <cell r="H1790" t="str">
            <v>ALTAMAR</v>
          </cell>
          <cell r="I1790">
            <v>1.37</v>
          </cell>
        </row>
        <row r="1791">
          <cell r="A1791" t="str">
            <v>19-01790</v>
          </cell>
          <cell r="B1791" t="str">
            <v>ORKHON GROUP</v>
          </cell>
          <cell r="C1791" t="str">
            <v>A</v>
          </cell>
          <cell r="D1791" t="str">
            <v>N/A</v>
          </cell>
          <cell r="E1791" t="str">
            <v>A1308-44 ALTAMAR PULSERAS CLOE</v>
          </cell>
          <cell r="F1791" t="str">
            <v>PULSERA</v>
          </cell>
          <cell r="G1791">
            <v>118941</v>
          </cell>
          <cell r="H1791" t="str">
            <v>ALTAMAR</v>
          </cell>
          <cell r="I1791">
            <v>0.26</v>
          </cell>
        </row>
        <row r="1792">
          <cell r="A1792" t="str">
            <v>19-01791</v>
          </cell>
          <cell r="B1792" t="str">
            <v>ORKHON GROUP</v>
          </cell>
          <cell r="C1792" t="str">
            <v>A</v>
          </cell>
          <cell r="D1792" t="str">
            <v>N/A</v>
          </cell>
          <cell r="E1792" t="str">
            <v>A1308-38 ALTAMAR PULSERAS CLOE</v>
          </cell>
          <cell r="F1792" t="str">
            <v>PULSERA</v>
          </cell>
          <cell r="G1792">
            <v>118942</v>
          </cell>
          <cell r="H1792" t="str">
            <v>ALTAMAR</v>
          </cell>
          <cell r="I1792">
            <v>3.15</v>
          </cell>
        </row>
        <row r="1793">
          <cell r="A1793" t="str">
            <v>19-01792</v>
          </cell>
          <cell r="B1793" t="str">
            <v>ORKHON GROUP</v>
          </cell>
          <cell r="C1793" t="str">
            <v>A</v>
          </cell>
          <cell r="D1793" t="str">
            <v>N/A</v>
          </cell>
          <cell r="E1793" t="str">
            <v>A1308-37 ALTAMAR PULSERAS CLOE</v>
          </cell>
          <cell r="F1793" t="str">
            <v>PULSERA</v>
          </cell>
          <cell r="G1793">
            <v>118943</v>
          </cell>
          <cell r="H1793" t="str">
            <v>ALTAMAR</v>
          </cell>
          <cell r="I1793">
            <v>4.2</v>
          </cell>
        </row>
        <row r="1794">
          <cell r="A1794" t="str">
            <v>19-01793</v>
          </cell>
          <cell r="B1794" t="str">
            <v>ORKHON GROUP</v>
          </cell>
          <cell r="C1794" t="str">
            <v>A</v>
          </cell>
          <cell r="D1794" t="str">
            <v>N/A</v>
          </cell>
          <cell r="E1794" t="str">
            <v>A1308-40 ALTAMAR PULSERAS CLOE</v>
          </cell>
          <cell r="F1794" t="str">
            <v>PULSERA</v>
          </cell>
          <cell r="G1794" t="str">
            <v>A1308-40</v>
          </cell>
          <cell r="H1794" t="str">
            <v>ALTAMAR</v>
          </cell>
          <cell r="I1794">
            <v>1.58</v>
          </cell>
        </row>
        <row r="1795">
          <cell r="A1795" t="str">
            <v>19-01794</v>
          </cell>
          <cell r="B1795" t="str">
            <v>ORKHON GROUP</v>
          </cell>
          <cell r="C1795" t="str">
            <v>A</v>
          </cell>
          <cell r="D1795" t="str">
            <v>N/A</v>
          </cell>
          <cell r="E1795" t="str">
            <v>A1308-41 ALTAMAR PULSERAS CLOE</v>
          </cell>
          <cell r="F1795" t="str">
            <v>PULSERA</v>
          </cell>
          <cell r="G1795" t="str">
            <v>A1308-41</v>
          </cell>
          <cell r="H1795" t="str">
            <v>ALTAMAR</v>
          </cell>
          <cell r="I1795">
            <v>1.58</v>
          </cell>
        </row>
        <row r="1796">
          <cell r="A1796" t="str">
            <v>19-01795</v>
          </cell>
          <cell r="B1796" t="str">
            <v>ORKHON GROUP</v>
          </cell>
          <cell r="C1796" t="str">
            <v>A</v>
          </cell>
          <cell r="D1796" t="str">
            <v>N/A</v>
          </cell>
          <cell r="E1796" t="str">
            <v>A1308-39 ALTAMAR PULSERAS CLOE</v>
          </cell>
          <cell r="F1796" t="str">
            <v>PULSERA</v>
          </cell>
          <cell r="G1796">
            <v>118947</v>
          </cell>
          <cell r="H1796" t="str">
            <v>ALTAMAR</v>
          </cell>
          <cell r="I1796">
            <v>1.58</v>
          </cell>
        </row>
        <row r="1797">
          <cell r="A1797" t="str">
            <v>19-01796</v>
          </cell>
          <cell r="B1797" t="str">
            <v>ORKHON GROUP</v>
          </cell>
          <cell r="C1797" t="str">
            <v>A</v>
          </cell>
          <cell r="D1797" t="str">
            <v>N/A</v>
          </cell>
          <cell r="E1797" t="str">
            <v>2D-5009/A1308-171 ALTAMAR PULSERA CLOE</v>
          </cell>
          <cell r="F1797" t="str">
            <v>PULSERA</v>
          </cell>
          <cell r="G1797" t="str">
            <v>2D-5009/A1308-171</v>
          </cell>
          <cell r="H1797" t="str">
            <v>ALTAMAR</v>
          </cell>
          <cell r="I1797">
            <v>2.17</v>
          </cell>
        </row>
        <row r="1798">
          <cell r="A1798" t="str">
            <v>19-01797</v>
          </cell>
          <cell r="B1798" t="str">
            <v>WORLD WISHES</v>
          </cell>
          <cell r="C1798" t="str">
            <v>D</v>
          </cell>
          <cell r="D1798" t="str">
            <v>N/A</v>
          </cell>
          <cell r="E1798" t="str">
            <v>75-2338 CRAYOLA COLOR WONDER COLORING BOOK &amp; MARKERS MINNIE DISCONTINUED</v>
          </cell>
          <cell r="F1798" t="str">
            <v>SCHOOL SUPPLIES</v>
          </cell>
          <cell r="G1798" t="str">
            <v>75-2338</v>
          </cell>
          <cell r="H1798" t="str">
            <v>CRAYOLA</v>
          </cell>
          <cell r="I1798">
            <v>3.7829999999999999</v>
          </cell>
        </row>
        <row r="1799">
          <cell r="A1799" t="str">
            <v>19-01798</v>
          </cell>
          <cell r="B1799" t="str">
            <v>WORLD WISHES</v>
          </cell>
          <cell r="C1799" t="str">
            <v>D</v>
          </cell>
          <cell r="D1799" t="str">
            <v>N/A</v>
          </cell>
          <cell r="E1799" t="str">
            <v>75-2339 CRAYOLA COLOR WONDER COLORING BOOK &amp; MARKERS PLAINS DISCONTINUED</v>
          </cell>
          <cell r="F1799" t="str">
            <v>SCHOOL SUPPLIES</v>
          </cell>
          <cell r="G1799" t="str">
            <v>75-2339</v>
          </cell>
          <cell r="H1799" t="str">
            <v>CRAYOLA</v>
          </cell>
          <cell r="I1799">
            <v>3.7829999999999999</v>
          </cell>
        </row>
        <row r="1800">
          <cell r="A1800" t="str">
            <v>19-01799</v>
          </cell>
          <cell r="B1800" t="str">
            <v>WORLD WISHES</v>
          </cell>
          <cell r="C1800" t="str">
            <v>D</v>
          </cell>
          <cell r="D1800" t="str">
            <v>N/A</v>
          </cell>
          <cell r="E1800" t="str">
            <v>75-2340 CRAYOLA COLOR WONDER COLORING BOOK &amp; MARKERS PRINCESS DISCONTINUED</v>
          </cell>
          <cell r="F1800" t="str">
            <v>SCHOOL SUPPLIES</v>
          </cell>
          <cell r="G1800" t="str">
            <v>75-2340</v>
          </cell>
          <cell r="H1800" t="str">
            <v>CRAYOLA</v>
          </cell>
          <cell r="I1800">
            <v>3.7829999999999999</v>
          </cell>
        </row>
        <row r="1801">
          <cell r="A1801" t="str">
            <v>19-01800</v>
          </cell>
          <cell r="B1801" t="str">
            <v>WORLD WISHES</v>
          </cell>
          <cell r="C1801" t="str">
            <v>D</v>
          </cell>
          <cell r="D1801" t="str">
            <v>N/A</v>
          </cell>
          <cell r="E1801" t="str">
            <v>75-2337 CRAYOLA COLOR WONDER COLORING BOOK &amp; MARKERS JAKE DISCONTINUED</v>
          </cell>
          <cell r="F1801" t="str">
            <v>SCHOOL SUPPLIES</v>
          </cell>
          <cell r="G1801" t="str">
            <v>75-2337</v>
          </cell>
          <cell r="H1801" t="str">
            <v>CRAYOLA</v>
          </cell>
          <cell r="I1801">
            <v>3.7829999999999999</v>
          </cell>
        </row>
        <row r="1802">
          <cell r="A1802" t="str">
            <v>19-01801</v>
          </cell>
          <cell r="B1802" t="str">
            <v>WORLD WISHES</v>
          </cell>
          <cell r="C1802" t="str">
            <v>D</v>
          </cell>
          <cell r="D1802" t="str">
            <v>N/A</v>
          </cell>
          <cell r="E1802" t="str">
            <v>04-1963 CRAYOLA DOODLE MAGIC TRAVEL PACK DISCONTINUED</v>
          </cell>
          <cell r="F1802" t="str">
            <v>SCHOOL SUPPLIES</v>
          </cell>
          <cell r="G1802">
            <v>23102</v>
          </cell>
          <cell r="H1802" t="str">
            <v>CRAYOLA</v>
          </cell>
          <cell r="I1802">
            <v>9.0109999999999992</v>
          </cell>
        </row>
        <row r="1803">
          <cell r="A1803" t="str">
            <v>19-01802</v>
          </cell>
          <cell r="B1803" t="str">
            <v>WORLD WISHES</v>
          </cell>
          <cell r="C1803" t="str">
            <v>A</v>
          </cell>
          <cell r="D1803" t="str">
            <v>SI</v>
          </cell>
          <cell r="E1803" t="str">
            <v>58-8177 CRAYOLA 5 WASHABLE TRICOLOR MARKERS</v>
          </cell>
          <cell r="F1803" t="str">
            <v>CRAYONES</v>
          </cell>
          <cell r="G1803" t="str">
            <v>58-8177</v>
          </cell>
          <cell r="H1803" t="str">
            <v>CRAYOLA</v>
          </cell>
          <cell r="I1803">
            <v>3.1859999999999999</v>
          </cell>
        </row>
        <row r="1804">
          <cell r="A1804" t="str">
            <v>19-01803</v>
          </cell>
          <cell r="B1804" t="str">
            <v>WORLD WISHES</v>
          </cell>
          <cell r="C1804" t="str">
            <v>D</v>
          </cell>
          <cell r="D1804" t="str">
            <v>N/A</v>
          </cell>
          <cell r="E1804" t="str">
            <v>74-5001 CRAYOLA SECRET REVEAL XTREME COLORING DISCONTINUED</v>
          </cell>
          <cell r="F1804" t="str">
            <v>SCHOOL SUPPLIES</v>
          </cell>
          <cell r="G1804" t="str">
            <v>75-5001</v>
          </cell>
          <cell r="H1804" t="str">
            <v>CRAYOLA</v>
          </cell>
          <cell r="I1804">
            <v>4.0640000000000001</v>
          </cell>
        </row>
        <row r="1805">
          <cell r="A1805" t="str">
            <v>19-01804</v>
          </cell>
          <cell r="B1805" t="str">
            <v>WORLD WISHES</v>
          </cell>
          <cell r="C1805" t="str">
            <v>D</v>
          </cell>
          <cell r="D1805" t="str">
            <v>N/A</v>
          </cell>
          <cell r="E1805" t="str">
            <v>58-8170 CRAYOLA 6 COLOR SWITCHES MARKERS DISCONTINUED</v>
          </cell>
          <cell r="F1805" t="str">
            <v>CRAYONES</v>
          </cell>
          <cell r="G1805" t="str">
            <v>58-8170</v>
          </cell>
          <cell r="H1805" t="str">
            <v>CRAYOLA</v>
          </cell>
          <cell r="I1805">
            <v>3.2</v>
          </cell>
        </row>
        <row r="1806">
          <cell r="A1806" t="str">
            <v>19-01805</v>
          </cell>
          <cell r="B1806" t="str">
            <v>WORLD WISHES</v>
          </cell>
          <cell r="C1806" t="str">
            <v>A</v>
          </cell>
          <cell r="D1806" t="str">
            <v>SI</v>
          </cell>
          <cell r="E1806" t="str">
            <v>68-7409 CRAYOLA 30 TWISTABLES COLORED PENCILS</v>
          </cell>
          <cell r="F1806" t="str">
            <v>CRAYONES</v>
          </cell>
          <cell r="G1806" t="str">
            <v>68-7409</v>
          </cell>
          <cell r="H1806" t="str">
            <v>CRAYOLA</v>
          </cell>
          <cell r="I1806">
            <v>5.78</v>
          </cell>
        </row>
        <row r="1807">
          <cell r="A1807" t="str">
            <v>19-01806</v>
          </cell>
          <cell r="B1807" t="str">
            <v>WORLD WISHES</v>
          </cell>
          <cell r="C1807" t="str">
            <v>A</v>
          </cell>
          <cell r="D1807" t="str">
            <v>SI</v>
          </cell>
          <cell r="E1807" t="str">
            <v>52-0096 CRAYOLA 96 CANTON CRAYONS</v>
          </cell>
          <cell r="F1807" t="str">
            <v>CRAYONES</v>
          </cell>
          <cell r="G1807" t="str">
            <v>52-0096</v>
          </cell>
          <cell r="H1807" t="str">
            <v>CRAYOLA</v>
          </cell>
          <cell r="I1807">
            <v>4.34</v>
          </cell>
        </row>
        <row r="1808">
          <cell r="A1808" t="str">
            <v>19-01807</v>
          </cell>
          <cell r="B1808" t="str">
            <v>WORLD WISHES</v>
          </cell>
          <cell r="C1808" t="str">
            <v>A</v>
          </cell>
          <cell r="D1808" t="str">
            <v>SI</v>
          </cell>
          <cell r="E1808" t="str">
            <v>51-2048 CRAYOLA 48 SIDEWALK CHALK</v>
          </cell>
          <cell r="F1808" t="str">
            <v>SCHOOL SUPPLIES</v>
          </cell>
          <cell r="G1808" t="str">
            <v>51-2048</v>
          </cell>
          <cell r="H1808" t="str">
            <v>CRAYOLA</v>
          </cell>
          <cell r="I1808">
            <v>3.45</v>
          </cell>
        </row>
        <row r="1809">
          <cell r="A1809" t="str">
            <v>19-01808</v>
          </cell>
          <cell r="B1809" t="str">
            <v>ORKHON GROUP</v>
          </cell>
          <cell r="C1809" t="str">
            <v>A</v>
          </cell>
          <cell r="D1809" t="str">
            <v>N/A</v>
          </cell>
          <cell r="E1809" t="str">
            <v>A1403-107 ALTAMAR PENDIENTES</v>
          </cell>
          <cell r="F1809" t="str">
            <v>PENDIENTE</v>
          </cell>
          <cell r="G1809" t="str">
            <v>A1403-107</v>
          </cell>
          <cell r="H1809" t="str">
            <v>ALTAMAR</v>
          </cell>
          <cell r="I1809">
            <v>5.5</v>
          </cell>
        </row>
        <row r="1810">
          <cell r="A1810" t="str">
            <v>19-01809</v>
          </cell>
          <cell r="B1810" t="str">
            <v>ORKHON GROUP</v>
          </cell>
          <cell r="C1810" t="str">
            <v>A</v>
          </cell>
          <cell r="D1810" t="str">
            <v>N/A</v>
          </cell>
          <cell r="E1810" t="str">
            <v>118164 ER-AE-1377 ALTAMAR PENDIENTES</v>
          </cell>
          <cell r="F1810" t="str">
            <v>PENDIENTE</v>
          </cell>
          <cell r="G1810" t="str">
            <v>118164 ER-AE-1377</v>
          </cell>
          <cell r="H1810" t="str">
            <v>ALTAMAR</v>
          </cell>
          <cell r="I1810">
            <v>5</v>
          </cell>
        </row>
        <row r="1811">
          <cell r="A1811" t="str">
            <v>19-01810</v>
          </cell>
          <cell r="B1811" t="str">
            <v>ORKHON GROUP</v>
          </cell>
          <cell r="C1811" t="str">
            <v>A</v>
          </cell>
          <cell r="D1811" t="str">
            <v>N/A</v>
          </cell>
          <cell r="E1811" t="str">
            <v>JTE0535 ALTAMAR PENDIENTES</v>
          </cell>
          <cell r="F1811" t="str">
            <v>PENDIENTE</v>
          </cell>
          <cell r="G1811" t="str">
            <v>JTE0535</v>
          </cell>
          <cell r="H1811" t="str">
            <v>ALTAMAR</v>
          </cell>
          <cell r="I1811">
            <v>4.7</v>
          </cell>
        </row>
        <row r="1812">
          <cell r="A1812" t="str">
            <v>19-01811</v>
          </cell>
          <cell r="B1812" t="str">
            <v>ORKHON GROUP</v>
          </cell>
          <cell r="C1812" t="str">
            <v>A</v>
          </cell>
          <cell r="D1812" t="str">
            <v>N/A</v>
          </cell>
          <cell r="E1812" t="str">
            <v>26-NUMBER ALTAMAR PENDIENTES</v>
          </cell>
          <cell r="F1812" t="str">
            <v>PENDIENTE</v>
          </cell>
          <cell r="G1812" t="str">
            <v>26-NUMBER</v>
          </cell>
          <cell r="H1812" t="str">
            <v>ALTAMAR</v>
          </cell>
          <cell r="I1812">
            <v>4.3</v>
          </cell>
        </row>
        <row r="1813">
          <cell r="A1813" t="str">
            <v>19-01812</v>
          </cell>
          <cell r="B1813" t="str">
            <v>ORKHON GROUP</v>
          </cell>
          <cell r="C1813" t="str">
            <v>A</v>
          </cell>
          <cell r="D1813" t="str">
            <v>N/A</v>
          </cell>
          <cell r="E1813" t="str">
            <v>41-HEY129ALTAMAR PENDIENTES</v>
          </cell>
          <cell r="F1813" t="str">
            <v>PENDIENTE</v>
          </cell>
          <cell r="G1813" t="str">
            <v>41-HEY129</v>
          </cell>
          <cell r="H1813" t="str">
            <v>ALTAMAR</v>
          </cell>
          <cell r="I1813">
            <v>4</v>
          </cell>
        </row>
        <row r="1814">
          <cell r="A1814" t="str">
            <v>19-01813</v>
          </cell>
          <cell r="B1814" t="str">
            <v>ORKHON GROUP</v>
          </cell>
          <cell r="C1814" t="str">
            <v>A</v>
          </cell>
          <cell r="D1814" t="str">
            <v>N/A</v>
          </cell>
          <cell r="E1814" t="str">
            <v>A1403-144 ALTAMAR PENDIENTES</v>
          </cell>
          <cell r="F1814" t="str">
            <v>PENDIENTE</v>
          </cell>
          <cell r="G1814" t="str">
            <v>A1403-144</v>
          </cell>
          <cell r="H1814" t="str">
            <v>ALTAMAR</v>
          </cell>
          <cell r="I1814">
            <v>5</v>
          </cell>
        </row>
        <row r="1815">
          <cell r="A1815" t="str">
            <v>19-01814</v>
          </cell>
          <cell r="B1815" t="str">
            <v>ORKHON GROUP</v>
          </cell>
          <cell r="C1815" t="str">
            <v>A</v>
          </cell>
          <cell r="D1815" t="str">
            <v>N/A</v>
          </cell>
          <cell r="E1815" t="str">
            <v>A1403-145 ALTAMAR PENDIENTES</v>
          </cell>
          <cell r="F1815" t="str">
            <v>PENDIENTE</v>
          </cell>
          <cell r="G1815" t="str">
            <v>A1403-145</v>
          </cell>
          <cell r="H1815" t="str">
            <v>ALTAMAR</v>
          </cell>
          <cell r="I1815">
            <v>5.8</v>
          </cell>
        </row>
        <row r="1816">
          <cell r="A1816" t="str">
            <v>19-01815</v>
          </cell>
          <cell r="B1816" t="str">
            <v>ORKHON GROUP</v>
          </cell>
          <cell r="C1816" t="str">
            <v>A</v>
          </cell>
          <cell r="D1816" t="str">
            <v>N/A</v>
          </cell>
          <cell r="E1816" t="str">
            <v>A1403-148 ALTAMAR PENDIENTES</v>
          </cell>
          <cell r="F1816" t="str">
            <v>PENDIENTE</v>
          </cell>
          <cell r="G1816" t="str">
            <v>A1403-148</v>
          </cell>
          <cell r="H1816" t="str">
            <v>ALTAMAR</v>
          </cell>
          <cell r="I1816">
            <v>5</v>
          </cell>
        </row>
        <row r="1817">
          <cell r="A1817" t="str">
            <v>19-01816</v>
          </cell>
          <cell r="B1817" t="str">
            <v>ORKHON GROUP</v>
          </cell>
          <cell r="C1817" t="str">
            <v>A</v>
          </cell>
          <cell r="D1817" t="str">
            <v>N/A</v>
          </cell>
          <cell r="E1817" t="str">
            <v>A1403-149 ALTAMAR PENDIENTES</v>
          </cell>
          <cell r="F1817" t="str">
            <v>PENDIENTE</v>
          </cell>
          <cell r="G1817" t="str">
            <v>A1403-149</v>
          </cell>
          <cell r="H1817" t="str">
            <v>ALTAMAR</v>
          </cell>
          <cell r="I1817">
            <v>4.7</v>
          </cell>
        </row>
        <row r="1818">
          <cell r="A1818" t="str">
            <v>19-01817</v>
          </cell>
          <cell r="B1818" t="str">
            <v>ORKHON GROUP</v>
          </cell>
          <cell r="C1818" t="str">
            <v>A</v>
          </cell>
          <cell r="D1818" t="str">
            <v>N/A</v>
          </cell>
          <cell r="E1818" t="str">
            <v>A1403-150 ALTAMAR PENDIENTES</v>
          </cell>
          <cell r="F1818" t="str">
            <v>PENDIENTE</v>
          </cell>
          <cell r="G1818" t="str">
            <v>A1403-150</v>
          </cell>
          <cell r="H1818" t="str">
            <v>ALTAMAR</v>
          </cell>
          <cell r="I1818">
            <v>5</v>
          </cell>
        </row>
        <row r="1819">
          <cell r="A1819" t="str">
            <v>19-01818</v>
          </cell>
          <cell r="B1819" t="str">
            <v>ORKHON GROUP</v>
          </cell>
          <cell r="C1819" t="str">
            <v>A</v>
          </cell>
          <cell r="D1819" t="str">
            <v>N/A</v>
          </cell>
          <cell r="E1819" t="str">
            <v>A1403-167 ALTAMAR PENDIENTES</v>
          </cell>
          <cell r="F1819" t="str">
            <v>PENDIENTE</v>
          </cell>
          <cell r="G1819" t="str">
            <v>A1403-167</v>
          </cell>
          <cell r="H1819" t="str">
            <v>ALTAMAR</v>
          </cell>
          <cell r="I1819">
            <v>5.8</v>
          </cell>
        </row>
        <row r="1820">
          <cell r="A1820" t="str">
            <v>19-01819</v>
          </cell>
          <cell r="B1820" t="str">
            <v>ORKHON GROUP</v>
          </cell>
          <cell r="C1820" t="str">
            <v>A</v>
          </cell>
          <cell r="D1820" t="str">
            <v>N/A</v>
          </cell>
          <cell r="E1820" t="str">
            <v>41-HE209 ALTAMAR PENDIENTES</v>
          </cell>
          <cell r="F1820" t="str">
            <v>PENDIENTE</v>
          </cell>
          <cell r="G1820" t="str">
            <v>41-HE209</v>
          </cell>
          <cell r="H1820" t="str">
            <v>ALTAMAR</v>
          </cell>
          <cell r="I1820">
            <v>5.3</v>
          </cell>
        </row>
        <row r="1821">
          <cell r="A1821" t="str">
            <v>19-01820</v>
          </cell>
          <cell r="B1821" t="str">
            <v>ORKHON GROUP</v>
          </cell>
          <cell r="C1821" t="str">
            <v>A</v>
          </cell>
          <cell r="D1821" t="str">
            <v>N/A</v>
          </cell>
          <cell r="E1821" t="str">
            <v>A1403-184 ALTAMAR PENDIENTES</v>
          </cell>
          <cell r="F1821" t="str">
            <v>PENDIENTE</v>
          </cell>
          <cell r="G1821" t="str">
            <v>A1403-184</v>
          </cell>
          <cell r="H1821" t="str">
            <v>ALTAMAR</v>
          </cell>
          <cell r="I1821">
            <v>5.3</v>
          </cell>
        </row>
        <row r="1822">
          <cell r="A1822" t="str">
            <v>19-01821</v>
          </cell>
          <cell r="B1822" t="str">
            <v>ORKHON GROUP</v>
          </cell>
          <cell r="C1822" t="str">
            <v>A</v>
          </cell>
          <cell r="D1822" t="str">
            <v>N/A</v>
          </cell>
          <cell r="E1822" t="str">
            <v>A1403-185 ALTAMAR PENDIENTES</v>
          </cell>
          <cell r="F1822" t="str">
            <v>PENDIENTE</v>
          </cell>
          <cell r="G1822" t="str">
            <v>A1403-185</v>
          </cell>
          <cell r="H1822" t="str">
            <v>ALTAMAR</v>
          </cell>
          <cell r="I1822">
            <v>5.8</v>
          </cell>
        </row>
        <row r="1823">
          <cell r="A1823" t="str">
            <v>19-01822</v>
          </cell>
          <cell r="B1823" t="str">
            <v>ORKHON GROUP</v>
          </cell>
          <cell r="C1823" t="str">
            <v>A</v>
          </cell>
          <cell r="D1823" t="str">
            <v>N/A</v>
          </cell>
          <cell r="E1823" t="str">
            <v>A1403-189 ALTAMAR PENDIENTES</v>
          </cell>
          <cell r="F1823" t="str">
            <v>PENDIENTE</v>
          </cell>
          <cell r="G1823" t="str">
            <v>A1403-189</v>
          </cell>
          <cell r="H1823" t="str">
            <v>ALTAMAR</v>
          </cell>
          <cell r="I1823">
            <v>4</v>
          </cell>
        </row>
        <row r="1824">
          <cell r="A1824" t="str">
            <v>19-01823</v>
          </cell>
          <cell r="B1824" t="str">
            <v>ORKHON GROUP</v>
          </cell>
          <cell r="C1824" t="str">
            <v>A</v>
          </cell>
          <cell r="D1824" t="str">
            <v>N/A</v>
          </cell>
          <cell r="E1824" t="str">
            <v>A1403-190 ALTAMAR PENDIENTES</v>
          </cell>
          <cell r="F1824" t="str">
            <v>PENDIENTE</v>
          </cell>
          <cell r="G1824" t="str">
            <v>A1403-190</v>
          </cell>
          <cell r="H1824" t="str">
            <v>ALTAMAR</v>
          </cell>
          <cell r="I1824">
            <v>4.3</v>
          </cell>
        </row>
        <row r="1825">
          <cell r="A1825" t="str">
            <v>19-01824</v>
          </cell>
          <cell r="B1825" t="str">
            <v>ORKHON GROUP</v>
          </cell>
          <cell r="C1825" t="str">
            <v>A</v>
          </cell>
          <cell r="D1825" t="str">
            <v>N/A</v>
          </cell>
          <cell r="E1825" t="str">
            <v>CE633 ALTAMAR PENDIENTES</v>
          </cell>
          <cell r="F1825" t="str">
            <v>PENDIENTE</v>
          </cell>
          <cell r="G1825" t="str">
            <v>CE633</v>
          </cell>
          <cell r="H1825" t="str">
            <v>ALTAMAR</v>
          </cell>
          <cell r="I1825">
            <v>6.5</v>
          </cell>
        </row>
        <row r="1826">
          <cell r="A1826" t="str">
            <v>19-01825</v>
          </cell>
          <cell r="B1826" t="str">
            <v>ORKHON GROUP</v>
          </cell>
          <cell r="C1826" t="str">
            <v>A</v>
          </cell>
          <cell r="D1826" t="str">
            <v>N/A</v>
          </cell>
          <cell r="E1826" t="str">
            <v>A1403-196 ALTAMAR PENDIENTES</v>
          </cell>
          <cell r="F1826" t="str">
            <v>PENDIENTE</v>
          </cell>
          <cell r="G1826" t="str">
            <v>A1403-196</v>
          </cell>
          <cell r="H1826" t="str">
            <v>ALTAMAR</v>
          </cell>
          <cell r="I1826">
            <v>8.3000000000000007</v>
          </cell>
        </row>
        <row r="1827">
          <cell r="A1827" t="str">
            <v>19-01826</v>
          </cell>
          <cell r="B1827" t="str">
            <v>ORKHON GROUP</v>
          </cell>
          <cell r="C1827" t="str">
            <v>A</v>
          </cell>
          <cell r="D1827" t="str">
            <v>N/A</v>
          </cell>
          <cell r="E1827" t="str">
            <v>A1403-198 ALTAMAR PENDIENTES</v>
          </cell>
          <cell r="F1827" t="str">
            <v>PENDIENTE</v>
          </cell>
          <cell r="G1827" t="str">
            <v>A1403-198</v>
          </cell>
          <cell r="H1827" t="str">
            <v>ALTAMAR</v>
          </cell>
          <cell r="I1827">
            <v>5.5</v>
          </cell>
        </row>
        <row r="1828">
          <cell r="A1828" t="str">
            <v>19-01827</v>
          </cell>
          <cell r="B1828" t="str">
            <v>ORKHON GROUP</v>
          </cell>
          <cell r="C1828" t="str">
            <v>A</v>
          </cell>
          <cell r="D1828" t="str">
            <v>N/A</v>
          </cell>
          <cell r="E1828" t="str">
            <v>OE3235 ALTAMAR PENDIENTES</v>
          </cell>
          <cell r="F1828" t="str">
            <v>PENDIENTE</v>
          </cell>
          <cell r="G1828" t="str">
            <v>OE3235</v>
          </cell>
          <cell r="H1828" t="str">
            <v>ALTAMAR</v>
          </cell>
          <cell r="I1828">
            <v>6.5</v>
          </cell>
        </row>
        <row r="1829">
          <cell r="A1829" t="str">
            <v>19-01828</v>
          </cell>
          <cell r="B1829" t="str">
            <v>ORKHON GROUP</v>
          </cell>
          <cell r="C1829" t="str">
            <v>A</v>
          </cell>
          <cell r="D1829" t="str">
            <v>N/A</v>
          </cell>
          <cell r="E1829" t="str">
            <v>46-OE5014 ALTAMAR PENDIENTES</v>
          </cell>
          <cell r="F1829" t="str">
            <v>PENDIENTE</v>
          </cell>
          <cell r="G1829" t="str">
            <v>46-OE5014</v>
          </cell>
          <cell r="H1829" t="str">
            <v>ALTAMAR</v>
          </cell>
          <cell r="I1829">
            <v>5</v>
          </cell>
        </row>
        <row r="1830">
          <cell r="A1830" t="str">
            <v>19-01829</v>
          </cell>
          <cell r="B1830" t="str">
            <v>ORKHON GROUP</v>
          </cell>
          <cell r="C1830" t="str">
            <v>A</v>
          </cell>
          <cell r="D1830" t="str">
            <v>N/A</v>
          </cell>
          <cell r="E1830" t="str">
            <v>HOE1224 ALTAMAR PENDIENTES</v>
          </cell>
          <cell r="F1830" t="str">
            <v>PENDIENTE</v>
          </cell>
          <cell r="G1830" t="str">
            <v>HOE1224</v>
          </cell>
          <cell r="H1830" t="str">
            <v>ALTAMAR</v>
          </cell>
          <cell r="I1830">
            <v>7.95</v>
          </cell>
        </row>
        <row r="1831">
          <cell r="A1831" t="str">
            <v>19-01830</v>
          </cell>
          <cell r="B1831" t="str">
            <v>ORKHON GROUP</v>
          </cell>
          <cell r="C1831" t="str">
            <v>A</v>
          </cell>
          <cell r="D1831" t="str">
            <v>N/A</v>
          </cell>
          <cell r="E1831" t="str">
            <v>46-0E8083 ALTAMAR PENDIENTES</v>
          </cell>
          <cell r="F1831" t="str">
            <v>PENDIENTE</v>
          </cell>
          <cell r="G1831" t="str">
            <v>46-0E8083</v>
          </cell>
          <cell r="H1831" t="str">
            <v>ALTAMAR</v>
          </cell>
          <cell r="I1831">
            <v>6.3</v>
          </cell>
        </row>
        <row r="1832">
          <cell r="A1832" t="str">
            <v>19-01831</v>
          </cell>
          <cell r="B1832" t="str">
            <v>ORKHON GROUP</v>
          </cell>
          <cell r="C1832" t="str">
            <v>A</v>
          </cell>
          <cell r="D1832" t="str">
            <v>N/A</v>
          </cell>
          <cell r="E1832" t="str">
            <v>A1403-211 ALTAMAR PENDIENTES</v>
          </cell>
          <cell r="F1832" t="str">
            <v>PENDIENTE</v>
          </cell>
          <cell r="G1832" t="str">
            <v>A1403-211</v>
          </cell>
          <cell r="H1832" t="str">
            <v>ALTAMAR</v>
          </cell>
          <cell r="I1832">
            <v>7.5</v>
          </cell>
        </row>
        <row r="1833">
          <cell r="A1833" t="str">
            <v>19-01832</v>
          </cell>
          <cell r="B1833" t="str">
            <v>ORKHON GROUP</v>
          </cell>
          <cell r="C1833" t="str">
            <v>A</v>
          </cell>
          <cell r="D1833" t="str">
            <v>N/A</v>
          </cell>
          <cell r="E1833" t="str">
            <v>A1403-213 ALTAMAR PENDIENTES</v>
          </cell>
          <cell r="F1833" t="str">
            <v>PENDIENTE</v>
          </cell>
          <cell r="G1833" t="str">
            <v>A1403-213</v>
          </cell>
          <cell r="H1833" t="str">
            <v>ALTAMAR</v>
          </cell>
          <cell r="I1833">
            <v>2.6</v>
          </cell>
        </row>
        <row r="1834">
          <cell r="A1834" t="str">
            <v>19-01833</v>
          </cell>
          <cell r="B1834" t="str">
            <v>ORKHON GROUP</v>
          </cell>
          <cell r="C1834" t="str">
            <v>A</v>
          </cell>
          <cell r="D1834" t="str">
            <v>N/A</v>
          </cell>
          <cell r="E1834" t="str">
            <v>PE1196 ALTAMAR PENDIENTES</v>
          </cell>
          <cell r="F1834" t="str">
            <v>PENDIENTE</v>
          </cell>
          <cell r="G1834" t="str">
            <v>PE1196</v>
          </cell>
          <cell r="H1834" t="str">
            <v>ALTAMAR</v>
          </cell>
          <cell r="I1834">
            <v>4.95</v>
          </cell>
        </row>
        <row r="1835">
          <cell r="A1835" t="str">
            <v>19-01834</v>
          </cell>
          <cell r="B1835" t="str">
            <v>ORKHON GROUP</v>
          </cell>
          <cell r="C1835" t="str">
            <v>A</v>
          </cell>
          <cell r="D1835" t="str">
            <v>N/A</v>
          </cell>
          <cell r="E1835" t="str">
            <v>A1403-112 ALTAMAR PULSERA</v>
          </cell>
          <cell r="F1835" t="str">
            <v>PULSERA</v>
          </cell>
          <cell r="G1835" t="str">
            <v>A1403-112</v>
          </cell>
          <cell r="H1835" t="str">
            <v>ALTAMAR</v>
          </cell>
          <cell r="I1835">
            <v>6.84</v>
          </cell>
        </row>
        <row r="1836">
          <cell r="A1836" t="str">
            <v>19-01835</v>
          </cell>
          <cell r="B1836" t="str">
            <v>ORKHON GROUP</v>
          </cell>
          <cell r="C1836" t="str">
            <v>A</v>
          </cell>
          <cell r="D1836" t="str">
            <v>N/A</v>
          </cell>
          <cell r="E1836" t="str">
            <v>A1403-12 ALTAMAR PULSERA</v>
          </cell>
          <cell r="F1836" t="str">
            <v>PULSERA</v>
          </cell>
          <cell r="G1836" t="str">
            <v>A1403-12</v>
          </cell>
          <cell r="H1836" t="str">
            <v>ALTAMAR</v>
          </cell>
          <cell r="I1836">
            <v>11.1</v>
          </cell>
        </row>
        <row r="1837">
          <cell r="A1837" t="str">
            <v>19-01836</v>
          </cell>
          <cell r="B1837" t="str">
            <v>ORKHON GROUP</v>
          </cell>
          <cell r="C1837" t="str">
            <v>A</v>
          </cell>
          <cell r="D1837" t="str">
            <v>N/A</v>
          </cell>
          <cell r="E1837" t="str">
            <v>A1403-13 ALTAMAR PULSERA</v>
          </cell>
          <cell r="F1837" t="str">
            <v>PULSERA</v>
          </cell>
          <cell r="G1837" t="str">
            <v>A1403-13</v>
          </cell>
          <cell r="H1837" t="str">
            <v>ALTAMAR</v>
          </cell>
          <cell r="I1837">
            <v>10.199999999999999</v>
          </cell>
        </row>
        <row r="1838">
          <cell r="A1838" t="str">
            <v>19-01837</v>
          </cell>
          <cell r="B1838" t="str">
            <v>ORKHON GROUP</v>
          </cell>
          <cell r="C1838" t="str">
            <v>A</v>
          </cell>
          <cell r="D1838" t="str">
            <v>N/A</v>
          </cell>
          <cell r="E1838" t="str">
            <v>A1403-14 ALTAMAR PULSERA</v>
          </cell>
          <cell r="F1838" t="str">
            <v>PULSERA</v>
          </cell>
          <cell r="G1838" t="str">
            <v>A1403-14</v>
          </cell>
          <cell r="H1838" t="str">
            <v>ALTAMAR</v>
          </cell>
          <cell r="I1838">
            <v>11.1</v>
          </cell>
        </row>
        <row r="1839">
          <cell r="A1839" t="str">
            <v>19-01838</v>
          </cell>
          <cell r="B1839" t="str">
            <v>ORKHON GROUP</v>
          </cell>
          <cell r="C1839" t="str">
            <v>A</v>
          </cell>
          <cell r="D1839" t="str">
            <v>N/A</v>
          </cell>
          <cell r="E1839" t="str">
            <v>A1403-142 ALTAMAR PULSERA</v>
          </cell>
          <cell r="F1839" t="str">
            <v>PULSERA</v>
          </cell>
          <cell r="G1839" t="str">
            <v>A1403-142</v>
          </cell>
          <cell r="H1839" t="str">
            <v>ALTAMAR</v>
          </cell>
          <cell r="I1839">
            <v>6.3</v>
          </cell>
        </row>
        <row r="1840">
          <cell r="A1840" t="str">
            <v>19-01839</v>
          </cell>
          <cell r="B1840" t="str">
            <v>ORKHON GROUP</v>
          </cell>
          <cell r="C1840" t="str">
            <v>A</v>
          </cell>
          <cell r="D1840" t="str">
            <v>N/A</v>
          </cell>
          <cell r="E1840" t="str">
            <v>A1403-15 ALTAMAR PULSERA</v>
          </cell>
          <cell r="F1840" t="str">
            <v>PULSERA</v>
          </cell>
          <cell r="G1840" t="str">
            <v>A1403-15</v>
          </cell>
          <cell r="H1840" t="str">
            <v>ALTAMAR</v>
          </cell>
          <cell r="I1840">
            <v>13</v>
          </cell>
        </row>
        <row r="1841">
          <cell r="A1841" t="str">
            <v>19-01840</v>
          </cell>
          <cell r="B1841" t="str">
            <v>ORKHON GROUP</v>
          </cell>
          <cell r="C1841" t="str">
            <v>A</v>
          </cell>
          <cell r="D1841" t="str">
            <v>N/A</v>
          </cell>
          <cell r="E1841" t="str">
            <v>A1403-16 ALTAMAR PULSERA CLOE</v>
          </cell>
          <cell r="F1841" t="str">
            <v>PULSERA</v>
          </cell>
          <cell r="G1841" t="str">
            <v>A1403-16</v>
          </cell>
          <cell r="H1841" t="str">
            <v>ALTAMAR</v>
          </cell>
          <cell r="I1841">
            <v>5.5</v>
          </cell>
        </row>
        <row r="1842">
          <cell r="A1842" t="str">
            <v>19-01841</v>
          </cell>
          <cell r="B1842" t="str">
            <v>ORKHON GROUP</v>
          </cell>
          <cell r="C1842" t="str">
            <v>A</v>
          </cell>
          <cell r="D1842" t="str">
            <v>N/A</v>
          </cell>
          <cell r="E1842" t="str">
            <v>A1403-18 ALTAMAR PULSERA CLOE</v>
          </cell>
          <cell r="F1842" t="str">
            <v>PULSERA</v>
          </cell>
          <cell r="G1842" t="str">
            <v>A1403-18</v>
          </cell>
          <cell r="H1842" t="str">
            <v>ALTAMAR</v>
          </cell>
          <cell r="I1842">
            <v>3.1</v>
          </cell>
        </row>
        <row r="1843">
          <cell r="A1843" t="str">
            <v>19-01842</v>
          </cell>
          <cell r="B1843" t="str">
            <v>ORKHON GROUP</v>
          </cell>
          <cell r="C1843" t="str">
            <v>A</v>
          </cell>
          <cell r="D1843" t="str">
            <v>N/A</v>
          </cell>
          <cell r="E1843" t="str">
            <v>A1403-45 ALTAMAR PULSERA CLOE</v>
          </cell>
          <cell r="F1843" t="str">
            <v>PULSERA</v>
          </cell>
          <cell r="G1843" t="str">
            <v>A1403-45</v>
          </cell>
          <cell r="H1843" t="str">
            <v>ALTAMAR</v>
          </cell>
          <cell r="I1843">
            <v>3.5</v>
          </cell>
        </row>
        <row r="1844">
          <cell r="A1844" t="str">
            <v>19-01843</v>
          </cell>
          <cell r="B1844" t="str">
            <v>ORKHON GROUP</v>
          </cell>
          <cell r="C1844" t="str">
            <v>A</v>
          </cell>
          <cell r="D1844" t="str">
            <v>N/A</v>
          </cell>
          <cell r="E1844" t="str">
            <v>A1403-46 ALTAMAR PULSERA CLOE</v>
          </cell>
          <cell r="F1844" t="str">
            <v>PULSERA</v>
          </cell>
          <cell r="G1844" t="str">
            <v>A1403-46</v>
          </cell>
          <cell r="H1844" t="str">
            <v>ALTAMAR</v>
          </cell>
          <cell r="I1844">
            <v>3.75</v>
          </cell>
        </row>
        <row r="1845">
          <cell r="A1845" t="str">
            <v>19-01844</v>
          </cell>
          <cell r="B1845" t="str">
            <v>ORKHON GROUP</v>
          </cell>
          <cell r="C1845" t="str">
            <v>A</v>
          </cell>
          <cell r="D1845" t="str">
            <v>N/A</v>
          </cell>
          <cell r="E1845" t="str">
            <v>A1403-47 ALTAMAR PULSERA CLOE</v>
          </cell>
          <cell r="F1845" t="str">
            <v>PULSERA</v>
          </cell>
          <cell r="G1845" t="str">
            <v>A1403-47</v>
          </cell>
          <cell r="H1845" t="str">
            <v>ALTAMAR</v>
          </cell>
          <cell r="I1845">
            <v>3.75</v>
          </cell>
        </row>
        <row r="1846">
          <cell r="A1846" t="str">
            <v>19-01845</v>
          </cell>
          <cell r="B1846" t="str">
            <v>ORKHON GROUP</v>
          </cell>
          <cell r="C1846" t="str">
            <v>A</v>
          </cell>
          <cell r="D1846" t="str">
            <v>N/A</v>
          </cell>
          <cell r="E1846" t="str">
            <v>A1403-48 ALTAMAR PULSERA CLOE</v>
          </cell>
          <cell r="F1846" t="str">
            <v>PULSERA</v>
          </cell>
          <cell r="G1846" t="str">
            <v>A1403-48</v>
          </cell>
          <cell r="H1846" t="str">
            <v>ALTAMAR</v>
          </cell>
          <cell r="I1846">
            <v>3.75</v>
          </cell>
        </row>
        <row r="1847">
          <cell r="A1847" t="str">
            <v>19-01846</v>
          </cell>
          <cell r="B1847" t="str">
            <v>ORKHON GROUP</v>
          </cell>
          <cell r="C1847" t="str">
            <v>A</v>
          </cell>
          <cell r="D1847" t="str">
            <v>N/A</v>
          </cell>
          <cell r="E1847" t="str">
            <v>A1403-60 ALTAMAR PULSERA CLOE</v>
          </cell>
          <cell r="F1847" t="str">
            <v>PULSERA</v>
          </cell>
          <cell r="G1847" t="str">
            <v>A1403-60</v>
          </cell>
          <cell r="H1847" t="str">
            <v>ALTAMAR</v>
          </cell>
          <cell r="I1847">
            <v>3.5</v>
          </cell>
        </row>
        <row r="1848">
          <cell r="A1848" t="str">
            <v>19-01847</v>
          </cell>
          <cell r="B1848" t="str">
            <v>ORKHON GROUP</v>
          </cell>
          <cell r="C1848" t="str">
            <v>A</v>
          </cell>
          <cell r="D1848" t="str">
            <v>N/A</v>
          </cell>
          <cell r="E1848" t="str">
            <v>A1403-62 ALTAMAR PULSERA CLOE</v>
          </cell>
          <cell r="F1848" t="str">
            <v>PULSERA</v>
          </cell>
          <cell r="G1848" t="str">
            <v>A1403-62</v>
          </cell>
          <cell r="H1848" t="str">
            <v>ALTAMAR</v>
          </cell>
          <cell r="I1848">
            <v>1.5</v>
          </cell>
        </row>
        <row r="1849">
          <cell r="A1849" t="str">
            <v>19-01848</v>
          </cell>
          <cell r="B1849" t="str">
            <v>ORKHON GROUP</v>
          </cell>
          <cell r="C1849" t="str">
            <v>A</v>
          </cell>
          <cell r="D1849" t="str">
            <v>N/A</v>
          </cell>
          <cell r="E1849" t="str">
            <v>A1403-63 ALTAMAR PULSERA CLOE</v>
          </cell>
          <cell r="F1849" t="str">
            <v>PULSERA</v>
          </cell>
          <cell r="G1849" t="str">
            <v>A1403-63</v>
          </cell>
          <cell r="H1849" t="str">
            <v>ALTAMAR</v>
          </cell>
          <cell r="I1849">
            <v>1.5</v>
          </cell>
        </row>
        <row r="1850">
          <cell r="A1850" t="str">
            <v>19-01849</v>
          </cell>
          <cell r="B1850" t="str">
            <v>ORKHON GROUP</v>
          </cell>
          <cell r="C1850" t="str">
            <v>A</v>
          </cell>
          <cell r="D1850" t="str">
            <v>N/A</v>
          </cell>
          <cell r="E1850" t="str">
            <v>A1403-64 ALTAMAR PULSERA CLOE</v>
          </cell>
          <cell r="F1850" t="str">
            <v>PULSERA</v>
          </cell>
          <cell r="G1850" t="str">
            <v>A1403-64</v>
          </cell>
          <cell r="H1850" t="str">
            <v>ALTAMAR</v>
          </cell>
          <cell r="I1850">
            <v>1.5</v>
          </cell>
        </row>
        <row r="1851">
          <cell r="A1851" t="str">
            <v>19-01850</v>
          </cell>
          <cell r="B1851" t="str">
            <v>ORKHON GROUP</v>
          </cell>
          <cell r="C1851" t="str">
            <v>A</v>
          </cell>
          <cell r="D1851" t="str">
            <v>N/A</v>
          </cell>
          <cell r="E1851" t="str">
            <v>A1403-67 ALTAMAR PULSERA CLOE</v>
          </cell>
          <cell r="F1851" t="str">
            <v>PULSERA</v>
          </cell>
          <cell r="G1851" t="str">
            <v>A1403-67</v>
          </cell>
          <cell r="H1851" t="str">
            <v>ALTAMAR</v>
          </cell>
          <cell r="I1851">
            <v>2.6</v>
          </cell>
        </row>
        <row r="1852">
          <cell r="A1852" t="str">
            <v>19-01851</v>
          </cell>
          <cell r="B1852" t="str">
            <v>ORKHON GROUP</v>
          </cell>
          <cell r="C1852" t="str">
            <v>A</v>
          </cell>
          <cell r="D1852" t="str">
            <v>N/A</v>
          </cell>
          <cell r="E1852" t="str">
            <v>A1403-68 ALTAMAR PULSERA CLOE</v>
          </cell>
          <cell r="F1852" t="str">
            <v>PULSERA</v>
          </cell>
          <cell r="G1852" t="str">
            <v>A1403-68</v>
          </cell>
          <cell r="H1852" t="str">
            <v>ALTAMAR</v>
          </cell>
          <cell r="I1852">
            <v>2</v>
          </cell>
        </row>
        <row r="1853">
          <cell r="A1853" t="str">
            <v>19-01852</v>
          </cell>
          <cell r="B1853" t="str">
            <v>ORKHON GROUP</v>
          </cell>
          <cell r="C1853" t="str">
            <v>A</v>
          </cell>
          <cell r="D1853" t="str">
            <v>N/A</v>
          </cell>
          <cell r="E1853" t="str">
            <v>A1403-71 ALTAMAR PULSERA CLOE</v>
          </cell>
          <cell r="F1853" t="str">
            <v>PULSERA</v>
          </cell>
          <cell r="G1853" t="str">
            <v>A1403-71</v>
          </cell>
          <cell r="H1853" t="str">
            <v>ALTAMAR</v>
          </cell>
          <cell r="I1853">
            <v>2</v>
          </cell>
        </row>
        <row r="1854">
          <cell r="A1854" t="str">
            <v>19-01853</v>
          </cell>
          <cell r="B1854" t="str">
            <v>ORKHON GROUP</v>
          </cell>
          <cell r="C1854" t="str">
            <v>A</v>
          </cell>
          <cell r="D1854" t="str">
            <v>N/A</v>
          </cell>
          <cell r="E1854" t="str">
            <v>A1403-72 ALTAMAR PULSERA CLOE</v>
          </cell>
          <cell r="F1854" t="str">
            <v>PULSERA</v>
          </cell>
          <cell r="G1854" t="str">
            <v>A1403-72</v>
          </cell>
          <cell r="H1854" t="str">
            <v>ALTAMAR</v>
          </cell>
          <cell r="I1854">
            <v>2</v>
          </cell>
        </row>
        <row r="1855">
          <cell r="A1855" t="str">
            <v>19-01854</v>
          </cell>
          <cell r="B1855" t="str">
            <v>ORKHON GROUP</v>
          </cell>
          <cell r="C1855" t="str">
            <v>A</v>
          </cell>
          <cell r="D1855" t="str">
            <v>N/A</v>
          </cell>
          <cell r="E1855" t="str">
            <v>A1403-75 ALTAMAR PULSERA CLOE</v>
          </cell>
          <cell r="F1855" t="str">
            <v>PULSERA</v>
          </cell>
          <cell r="G1855" t="str">
            <v>A1403-75</v>
          </cell>
          <cell r="H1855" t="str">
            <v>ALTAMAR</v>
          </cell>
          <cell r="I1855">
            <v>2</v>
          </cell>
        </row>
        <row r="1856">
          <cell r="A1856" t="str">
            <v>19-01855</v>
          </cell>
          <cell r="B1856" t="str">
            <v>ORKHON GROUP</v>
          </cell>
          <cell r="C1856" t="str">
            <v>A</v>
          </cell>
          <cell r="D1856" t="str">
            <v>N/A</v>
          </cell>
          <cell r="E1856" t="str">
            <v>A1403-76 ALTAMAR PULSERA CLOE</v>
          </cell>
          <cell r="F1856" t="str">
            <v>PULSERA</v>
          </cell>
          <cell r="G1856" t="str">
            <v>A1403-76</v>
          </cell>
          <cell r="H1856" t="str">
            <v>ALTAMAR</v>
          </cell>
          <cell r="I1856">
            <v>2</v>
          </cell>
        </row>
        <row r="1857">
          <cell r="A1857" t="str">
            <v>19-01856</v>
          </cell>
          <cell r="B1857" t="str">
            <v>ORKHON GROUP</v>
          </cell>
          <cell r="C1857" t="str">
            <v>A</v>
          </cell>
          <cell r="D1857" t="str">
            <v>N/A</v>
          </cell>
          <cell r="E1857" t="str">
            <v>A1403-78 ALTAMAR PULSERA CLOE</v>
          </cell>
          <cell r="F1857" t="str">
            <v>PULSERA</v>
          </cell>
          <cell r="G1857" t="str">
            <v>A1403-78</v>
          </cell>
          <cell r="H1857" t="str">
            <v>ALTAMAR</v>
          </cell>
          <cell r="I1857">
            <v>2.6</v>
          </cell>
        </row>
        <row r="1858">
          <cell r="A1858" t="str">
            <v>19-01857</v>
          </cell>
          <cell r="B1858" t="str">
            <v>ORKHON GROUP</v>
          </cell>
          <cell r="C1858" t="str">
            <v>A</v>
          </cell>
          <cell r="D1858" t="str">
            <v>N/A</v>
          </cell>
          <cell r="E1858" t="str">
            <v>A1403-79 ALTAMAR PULSERA CLOE</v>
          </cell>
          <cell r="F1858" t="str">
            <v>PULSERA</v>
          </cell>
          <cell r="G1858" t="str">
            <v>A1403-79</v>
          </cell>
          <cell r="H1858" t="str">
            <v>ALTAMAR</v>
          </cell>
          <cell r="I1858">
            <v>1.5</v>
          </cell>
        </row>
        <row r="1859">
          <cell r="A1859" t="str">
            <v>19-01858</v>
          </cell>
          <cell r="B1859" t="str">
            <v>ORKHON GROUP</v>
          </cell>
          <cell r="C1859" t="str">
            <v>A</v>
          </cell>
          <cell r="D1859" t="str">
            <v>N/A</v>
          </cell>
          <cell r="E1859" t="str">
            <v>A1403-80 ALTAMAR PULSERA CLOE</v>
          </cell>
          <cell r="F1859" t="str">
            <v>PULSERA</v>
          </cell>
          <cell r="G1859" t="str">
            <v>A1403-80</v>
          </cell>
          <cell r="H1859" t="str">
            <v>ALTAMAR</v>
          </cell>
          <cell r="I1859">
            <v>2.2999999999999998</v>
          </cell>
        </row>
        <row r="1860">
          <cell r="A1860" t="str">
            <v>19-01859</v>
          </cell>
          <cell r="B1860" t="str">
            <v>ORKHON GROUP</v>
          </cell>
          <cell r="C1860" t="str">
            <v>A</v>
          </cell>
          <cell r="D1860" t="str">
            <v>N/A</v>
          </cell>
          <cell r="E1860" t="str">
            <v>A1403-81 ALTAMAR PULSERA CLOE</v>
          </cell>
          <cell r="F1860" t="str">
            <v>PULSERA</v>
          </cell>
          <cell r="G1860" t="str">
            <v>A1403-81</v>
          </cell>
          <cell r="H1860" t="str">
            <v>ALTAMAR</v>
          </cell>
          <cell r="I1860">
            <v>2</v>
          </cell>
        </row>
        <row r="1861">
          <cell r="A1861" t="str">
            <v>19-01860</v>
          </cell>
          <cell r="B1861" t="str">
            <v>ORKHON GROUP</v>
          </cell>
          <cell r="C1861" t="str">
            <v>A</v>
          </cell>
          <cell r="D1861" t="str">
            <v>N/A</v>
          </cell>
          <cell r="E1861" t="str">
            <v>A1403-83 ALTAMAR PULSERA CLOE</v>
          </cell>
          <cell r="F1861" t="str">
            <v>PULSERA</v>
          </cell>
          <cell r="G1861" t="str">
            <v>A1403-83</v>
          </cell>
          <cell r="H1861" t="str">
            <v>ALTAMAR</v>
          </cell>
          <cell r="I1861">
            <v>2</v>
          </cell>
        </row>
        <row r="1862">
          <cell r="A1862" t="str">
            <v>19-01861</v>
          </cell>
          <cell r="B1862" t="str">
            <v>ORKHON GROUP</v>
          </cell>
          <cell r="C1862" t="str">
            <v>A</v>
          </cell>
          <cell r="D1862" t="str">
            <v>N/A</v>
          </cell>
          <cell r="E1862" t="str">
            <v>A1403-85 ALTAMAR PULSERA CLOE</v>
          </cell>
          <cell r="F1862" t="str">
            <v>PULSERA</v>
          </cell>
          <cell r="G1862" t="str">
            <v>A1403-85</v>
          </cell>
          <cell r="H1862" t="str">
            <v>ALTAMAR</v>
          </cell>
          <cell r="I1862">
            <v>2</v>
          </cell>
        </row>
        <row r="1863">
          <cell r="A1863" t="str">
            <v>19-01862</v>
          </cell>
          <cell r="B1863" t="str">
            <v>ORKHON GROUP</v>
          </cell>
          <cell r="C1863" t="str">
            <v>A</v>
          </cell>
          <cell r="D1863" t="str">
            <v>N/A</v>
          </cell>
          <cell r="E1863" t="str">
            <v>A1403-87 ALTAMAR PULSERA CLOE</v>
          </cell>
          <cell r="F1863" t="str">
            <v>PULSERA</v>
          </cell>
          <cell r="G1863" t="str">
            <v>A1403-87</v>
          </cell>
          <cell r="H1863" t="str">
            <v>ALTAMAR</v>
          </cell>
          <cell r="I1863">
            <v>2</v>
          </cell>
        </row>
        <row r="1864">
          <cell r="A1864" t="str">
            <v>19-01863</v>
          </cell>
          <cell r="B1864" t="str">
            <v>ORKHON GROUP</v>
          </cell>
          <cell r="C1864" t="str">
            <v>A</v>
          </cell>
          <cell r="D1864" t="str">
            <v>N/A</v>
          </cell>
          <cell r="E1864" t="str">
            <v>A1403-88 ALTAMAR PULSERA CLOE</v>
          </cell>
          <cell r="F1864" t="str">
            <v>PULSERA</v>
          </cell>
          <cell r="G1864" t="str">
            <v>A1403-88</v>
          </cell>
          <cell r="H1864" t="str">
            <v>ALTAMAR</v>
          </cell>
          <cell r="I1864">
            <v>2</v>
          </cell>
        </row>
        <row r="1865">
          <cell r="A1865" t="str">
            <v>19-01864</v>
          </cell>
          <cell r="B1865" t="str">
            <v>ORKHON GROUP</v>
          </cell>
          <cell r="C1865" t="str">
            <v>A</v>
          </cell>
          <cell r="D1865" t="str">
            <v>N/A</v>
          </cell>
          <cell r="E1865" t="str">
            <v>A1403-49 ALTAMAR PULSERA CLOE</v>
          </cell>
          <cell r="F1865" t="str">
            <v>PULSERA</v>
          </cell>
          <cell r="G1865" t="str">
            <v>A1403-49</v>
          </cell>
          <cell r="H1865" t="str">
            <v>ALTAMAR</v>
          </cell>
          <cell r="I1865">
            <v>2.75</v>
          </cell>
        </row>
        <row r="1866">
          <cell r="A1866" t="str">
            <v>19-01865</v>
          </cell>
          <cell r="B1866" t="str">
            <v>ORKHON GROUP</v>
          </cell>
          <cell r="C1866" t="str">
            <v>A</v>
          </cell>
          <cell r="D1866" t="str">
            <v>N/A</v>
          </cell>
          <cell r="E1866" t="str">
            <v>A1403-50 ALTAMAR PULSERA CLOE</v>
          </cell>
          <cell r="F1866" t="str">
            <v>PULSERA</v>
          </cell>
          <cell r="G1866" t="str">
            <v>A1403-50</v>
          </cell>
          <cell r="H1866" t="str">
            <v>ALTAMAR</v>
          </cell>
          <cell r="I1866">
            <v>3.75</v>
          </cell>
        </row>
        <row r="1867">
          <cell r="A1867" t="str">
            <v>19-01866</v>
          </cell>
          <cell r="B1867" t="str">
            <v>ORKHON GROUP</v>
          </cell>
          <cell r="C1867" t="str">
            <v>A</v>
          </cell>
          <cell r="D1867" t="str">
            <v>N/A</v>
          </cell>
          <cell r="E1867" t="str">
            <v>A1403-51 ALTAMAR PULSERA CLOE</v>
          </cell>
          <cell r="F1867" t="str">
            <v>PULSERA</v>
          </cell>
          <cell r="G1867" t="str">
            <v>A1403-51</v>
          </cell>
          <cell r="H1867" t="str">
            <v>ALTAMAR</v>
          </cell>
          <cell r="I1867">
            <v>3.5</v>
          </cell>
        </row>
        <row r="1868">
          <cell r="A1868" t="str">
            <v>19-01867</v>
          </cell>
          <cell r="B1868" t="str">
            <v>ORKHON GROUP</v>
          </cell>
          <cell r="C1868" t="str">
            <v>A</v>
          </cell>
          <cell r="D1868" t="str">
            <v>N/A</v>
          </cell>
          <cell r="E1868" t="str">
            <v>A1403-52 ALTAMAR PULSERA CLOE</v>
          </cell>
          <cell r="F1868" t="str">
            <v>PULSERA</v>
          </cell>
          <cell r="G1868" t="str">
            <v>A1403-52</v>
          </cell>
          <cell r="H1868" t="str">
            <v>ALTAMAR</v>
          </cell>
          <cell r="I1868">
            <v>2.75</v>
          </cell>
        </row>
        <row r="1869">
          <cell r="A1869" t="str">
            <v>19-01868</v>
          </cell>
          <cell r="B1869" t="str">
            <v>ORKHON GROUP</v>
          </cell>
          <cell r="C1869" t="str">
            <v>A</v>
          </cell>
          <cell r="D1869" t="str">
            <v>N/A</v>
          </cell>
          <cell r="E1869" t="str">
            <v>A1403-53 ALTAMAR PULSERA CLOE</v>
          </cell>
          <cell r="F1869" t="str">
            <v>PULSERA</v>
          </cell>
          <cell r="G1869" t="str">
            <v>A1403-53</v>
          </cell>
          <cell r="H1869" t="str">
            <v>ALTAMAR</v>
          </cell>
          <cell r="I1869">
            <v>2.5</v>
          </cell>
        </row>
        <row r="1870">
          <cell r="A1870" t="str">
            <v>19-01869</v>
          </cell>
          <cell r="B1870" t="str">
            <v>ORKHON GROUP</v>
          </cell>
          <cell r="C1870" t="str">
            <v>A</v>
          </cell>
          <cell r="D1870" t="str">
            <v>N/A</v>
          </cell>
          <cell r="E1870" t="str">
            <v>A1403-54 ALTAMAR PULSERA CLOE</v>
          </cell>
          <cell r="F1870" t="str">
            <v>PULSERA</v>
          </cell>
          <cell r="G1870" t="str">
            <v>A1403-54</v>
          </cell>
          <cell r="H1870" t="str">
            <v>ALTAMAR</v>
          </cell>
          <cell r="I1870">
            <v>2.75</v>
          </cell>
        </row>
        <row r="1871">
          <cell r="A1871" t="str">
            <v>19-01870</v>
          </cell>
          <cell r="B1871" t="str">
            <v>ORKHON GROUP</v>
          </cell>
          <cell r="C1871" t="str">
            <v>A</v>
          </cell>
          <cell r="D1871" t="str">
            <v>N/A</v>
          </cell>
          <cell r="E1871" t="str">
            <v>A1403-55 ALTAMAR PULSERA CLOE</v>
          </cell>
          <cell r="F1871" t="str">
            <v>PULSERA</v>
          </cell>
          <cell r="G1871" t="str">
            <v>A1403-55</v>
          </cell>
          <cell r="H1871" t="str">
            <v>ALTAMAR</v>
          </cell>
          <cell r="I1871">
            <v>2.75</v>
          </cell>
        </row>
        <row r="1872">
          <cell r="A1872" t="str">
            <v>19-01871</v>
          </cell>
          <cell r="B1872" t="str">
            <v>ORKHON GROUP</v>
          </cell>
          <cell r="C1872" t="str">
            <v>A</v>
          </cell>
          <cell r="D1872" t="str">
            <v>N/A</v>
          </cell>
          <cell r="E1872" t="str">
            <v>A1403-56 ALTAMAR PULSERA CLOE</v>
          </cell>
          <cell r="F1872" t="str">
            <v>PULSERA</v>
          </cell>
          <cell r="G1872" t="str">
            <v>A1403-56</v>
          </cell>
          <cell r="H1872" t="str">
            <v>ALTAMAR</v>
          </cell>
          <cell r="I1872">
            <v>2.75</v>
          </cell>
        </row>
        <row r="1873">
          <cell r="A1873" t="str">
            <v>19-01872</v>
          </cell>
          <cell r="B1873" t="str">
            <v>ORKHON GROUP</v>
          </cell>
          <cell r="C1873" t="str">
            <v>A</v>
          </cell>
          <cell r="D1873" t="str">
            <v>N/A</v>
          </cell>
          <cell r="E1873" t="str">
            <v>A1403-58 ALTAMAR PULSERA CLOE</v>
          </cell>
          <cell r="F1873" t="str">
            <v>PULSERA</v>
          </cell>
          <cell r="G1873" t="str">
            <v>A1403-58</v>
          </cell>
          <cell r="H1873" t="str">
            <v>ALTAMAR</v>
          </cell>
          <cell r="I1873">
            <v>2.75</v>
          </cell>
        </row>
        <row r="1874">
          <cell r="A1874" t="str">
            <v>19-01873</v>
          </cell>
          <cell r="B1874" t="str">
            <v>ORKHON GROUP</v>
          </cell>
          <cell r="C1874" t="str">
            <v>A</v>
          </cell>
          <cell r="D1874" t="str">
            <v>N/A</v>
          </cell>
          <cell r="E1874" t="str">
            <v>A1403-59 ALTAMAR PULSERA CLOE</v>
          </cell>
          <cell r="F1874" t="str">
            <v>PULSERA</v>
          </cell>
          <cell r="G1874" t="str">
            <v>A1403-59</v>
          </cell>
          <cell r="H1874" t="str">
            <v>ALTAMAR</v>
          </cell>
          <cell r="I1874">
            <v>2.75</v>
          </cell>
        </row>
        <row r="1875">
          <cell r="A1875" t="str">
            <v>19-01874</v>
          </cell>
          <cell r="B1875" t="str">
            <v>ORKHON GROUP</v>
          </cell>
          <cell r="C1875" t="str">
            <v>A</v>
          </cell>
          <cell r="D1875" t="str">
            <v>N/A</v>
          </cell>
          <cell r="E1875" t="str">
            <v>A1403-86 ALTAMAR PULSERA CLOE</v>
          </cell>
          <cell r="F1875" t="str">
            <v>PULSERA</v>
          </cell>
          <cell r="G1875" t="str">
            <v>A1403-86</v>
          </cell>
          <cell r="H1875" t="str">
            <v>ALTAMAR</v>
          </cell>
          <cell r="I1875">
            <v>2.56</v>
          </cell>
        </row>
        <row r="1876">
          <cell r="A1876" t="str">
            <v>19-01875</v>
          </cell>
          <cell r="B1876" t="str">
            <v>ORKHON GROUP</v>
          </cell>
          <cell r="C1876" t="str">
            <v>A</v>
          </cell>
          <cell r="D1876" t="str">
            <v>N/A</v>
          </cell>
          <cell r="E1876" t="str">
            <v>A1403-82 ALTAMAR PULSERA CLOE</v>
          </cell>
          <cell r="F1876" t="str">
            <v>PULSERA</v>
          </cell>
          <cell r="G1876" t="str">
            <v>A1403-82</v>
          </cell>
          <cell r="H1876" t="str">
            <v>ALTAMAR</v>
          </cell>
          <cell r="I1876">
            <v>3.12</v>
          </cell>
        </row>
        <row r="1877">
          <cell r="A1877" t="str">
            <v>19-01876</v>
          </cell>
          <cell r="B1877" t="str">
            <v>ORKHON GROUP</v>
          </cell>
          <cell r="C1877" t="str">
            <v>A</v>
          </cell>
          <cell r="D1877" t="str">
            <v>N/A</v>
          </cell>
          <cell r="E1877" t="str">
            <v>A1403-44 ALTAMAR PULSERA CLOE</v>
          </cell>
          <cell r="F1877" t="str">
            <v>PULSERA</v>
          </cell>
          <cell r="G1877" t="str">
            <v>A1403-44</v>
          </cell>
          <cell r="H1877" t="str">
            <v>ALTAMAR</v>
          </cell>
          <cell r="I1877">
            <v>2.56</v>
          </cell>
        </row>
        <row r="1878">
          <cell r="A1878" t="str">
            <v>19-01877</v>
          </cell>
          <cell r="B1878" t="str">
            <v>ORKHON GROUP</v>
          </cell>
          <cell r="C1878" t="str">
            <v>A</v>
          </cell>
          <cell r="D1878" t="str">
            <v>N/A</v>
          </cell>
          <cell r="E1878" t="str">
            <v>A1403-57 ALTAMAR PULSERA CLOE</v>
          </cell>
          <cell r="F1878" t="str">
            <v>PULSERA</v>
          </cell>
          <cell r="G1878" t="str">
            <v>A1403-57</v>
          </cell>
          <cell r="H1878" t="str">
            <v>ALTAMAR</v>
          </cell>
          <cell r="I1878">
            <v>2.5609999999999999</v>
          </cell>
        </row>
        <row r="1879">
          <cell r="A1879" t="str">
            <v>19-01878</v>
          </cell>
          <cell r="B1879" t="str">
            <v>ORKHON GROUP</v>
          </cell>
          <cell r="C1879" t="str">
            <v>A</v>
          </cell>
          <cell r="D1879" t="str">
            <v>N/A</v>
          </cell>
          <cell r="E1879" t="str">
            <v>A1403-77 ALTAMAR PULSERA CLOE</v>
          </cell>
          <cell r="F1879" t="str">
            <v>PULSERA</v>
          </cell>
          <cell r="G1879" t="str">
            <v>A1403-77</v>
          </cell>
          <cell r="H1879" t="str">
            <v>ALTAMAR</v>
          </cell>
          <cell r="I1879">
            <v>2.56</v>
          </cell>
        </row>
        <row r="1880">
          <cell r="A1880" t="str">
            <v>19-01879</v>
          </cell>
          <cell r="B1880" t="str">
            <v>ORKHON GROUP</v>
          </cell>
          <cell r="C1880" t="str">
            <v>A</v>
          </cell>
          <cell r="D1880" t="str">
            <v>N/A</v>
          </cell>
          <cell r="E1880" t="str">
            <v>A1403-84 ALTAMAR PULSERA CLOE</v>
          </cell>
          <cell r="F1880" t="str">
            <v>PULSERA</v>
          </cell>
          <cell r="G1880" t="str">
            <v>A1403-84</v>
          </cell>
          <cell r="H1880" t="str">
            <v>ALTAMAR</v>
          </cell>
          <cell r="I1880">
            <v>2.56</v>
          </cell>
        </row>
        <row r="1881">
          <cell r="A1881" t="str">
            <v>19-01880</v>
          </cell>
          <cell r="B1881" t="str">
            <v>ORKHON GROUP</v>
          </cell>
          <cell r="C1881" t="str">
            <v>A</v>
          </cell>
          <cell r="D1881" t="str">
            <v>N/A</v>
          </cell>
          <cell r="E1881" t="str">
            <v>B1403-02 ALTAMAR BUFANDA</v>
          </cell>
          <cell r="F1881" t="str">
            <v>BUFANDA</v>
          </cell>
          <cell r="G1881" t="str">
            <v>B1403-02</v>
          </cell>
          <cell r="H1881" t="str">
            <v>ALTAMAR</v>
          </cell>
          <cell r="I1881">
            <v>12</v>
          </cell>
        </row>
        <row r="1882">
          <cell r="A1882" t="str">
            <v>19-01881</v>
          </cell>
          <cell r="B1882" t="str">
            <v>ORKHON GROUP</v>
          </cell>
          <cell r="C1882" t="str">
            <v>A</v>
          </cell>
          <cell r="D1882" t="str">
            <v>N/A</v>
          </cell>
          <cell r="E1882" t="str">
            <v>B1403-03 ALTAMAR BUFANDA</v>
          </cell>
          <cell r="F1882" t="str">
            <v>BUFANDA</v>
          </cell>
          <cell r="G1882" t="str">
            <v>B1403-03</v>
          </cell>
          <cell r="H1882" t="str">
            <v>ALTAMAR</v>
          </cell>
          <cell r="I1882">
            <v>10.199999999999999</v>
          </cell>
        </row>
        <row r="1883">
          <cell r="A1883" t="str">
            <v>19-01882</v>
          </cell>
          <cell r="B1883" t="str">
            <v>ORKHON GROUP</v>
          </cell>
          <cell r="C1883" t="str">
            <v>A</v>
          </cell>
          <cell r="D1883" t="str">
            <v>N/A</v>
          </cell>
          <cell r="E1883" t="str">
            <v>104-BBS1174 ALTAMAR BUFANDA</v>
          </cell>
          <cell r="F1883" t="str">
            <v>BUFANDA</v>
          </cell>
          <cell r="G1883" t="str">
            <v>104-BBS1174</v>
          </cell>
          <cell r="H1883" t="str">
            <v>ALTAMAR</v>
          </cell>
          <cell r="I1883">
            <v>8.5</v>
          </cell>
        </row>
        <row r="1884">
          <cell r="A1884" t="str">
            <v>19-01883</v>
          </cell>
          <cell r="B1884" t="str">
            <v>ORKHON GROUP</v>
          </cell>
          <cell r="C1884" t="str">
            <v>A</v>
          </cell>
          <cell r="D1884" t="str">
            <v>N/A</v>
          </cell>
          <cell r="E1884" t="str">
            <v>B1403-01 ALTAMAR BUFANDA</v>
          </cell>
          <cell r="F1884" t="str">
            <v>BUFANDA</v>
          </cell>
          <cell r="G1884" t="str">
            <v>B1403-01</v>
          </cell>
          <cell r="H1884" t="str">
            <v>ALTAMAR</v>
          </cell>
          <cell r="I1884">
            <v>7.95</v>
          </cell>
        </row>
        <row r="1885">
          <cell r="A1885" t="str">
            <v>19-01884</v>
          </cell>
          <cell r="B1885" t="str">
            <v>ORKHON GROUP</v>
          </cell>
          <cell r="C1885" t="str">
            <v>A</v>
          </cell>
          <cell r="D1885" t="str">
            <v>N/A</v>
          </cell>
          <cell r="E1885" t="str">
            <v>B1403-04 ALTAMAR BUFANDA</v>
          </cell>
          <cell r="F1885" t="str">
            <v>BUFANDA</v>
          </cell>
          <cell r="G1885" t="str">
            <v>B1403-04</v>
          </cell>
          <cell r="H1885" t="str">
            <v>ALTAMAR</v>
          </cell>
          <cell r="I1885">
            <v>7.95</v>
          </cell>
        </row>
        <row r="1886">
          <cell r="A1886" t="str">
            <v>19-01885</v>
          </cell>
          <cell r="B1886" t="str">
            <v>ORKHON GROUP</v>
          </cell>
          <cell r="C1886" t="str">
            <v>A</v>
          </cell>
          <cell r="D1886" t="str">
            <v>N/A</v>
          </cell>
          <cell r="E1886" t="str">
            <v>B1403-12 ALTAMAR BUFANDA</v>
          </cell>
          <cell r="F1886" t="str">
            <v>BUFANDA</v>
          </cell>
          <cell r="G1886" t="str">
            <v>B1403-12</v>
          </cell>
          <cell r="H1886" t="str">
            <v>ALTAMAR</v>
          </cell>
          <cell r="I1886">
            <v>7.95</v>
          </cell>
        </row>
        <row r="1887">
          <cell r="A1887" t="str">
            <v>19-01886</v>
          </cell>
          <cell r="B1887" t="str">
            <v>ORKHON GROUP</v>
          </cell>
          <cell r="C1887" t="str">
            <v>A</v>
          </cell>
          <cell r="D1887" t="str">
            <v>N/A</v>
          </cell>
          <cell r="E1887" t="str">
            <v>A1403-103 ALTAMAR COLLAR</v>
          </cell>
          <cell r="F1887" t="str">
            <v>COLLAR</v>
          </cell>
          <cell r="G1887" t="str">
            <v>A1403-103</v>
          </cell>
          <cell r="H1887" t="str">
            <v>ALTAMAR</v>
          </cell>
          <cell r="I1887">
            <v>8.65</v>
          </cell>
        </row>
        <row r="1888">
          <cell r="A1888" t="str">
            <v>19-01887</v>
          </cell>
          <cell r="B1888" t="str">
            <v>ORKHON GROUP</v>
          </cell>
          <cell r="C1888" t="str">
            <v>A</v>
          </cell>
          <cell r="D1888" t="str">
            <v>N/A</v>
          </cell>
          <cell r="E1888" t="str">
            <v>A1403-108 ALTAMAR COLLAR</v>
          </cell>
          <cell r="F1888" t="str">
            <v>COLLAR</v>
          </cell>
          <cell r="G1888" t="str">
            <v>A1403-108</v>
          </cell>
          <cell r="H1888" t="str">
            <v>ALTAMAR</v>
          </cell>
          <cell r="I1888">
            <v>10.4</v>
          </cell>
        </row>
        <row r="1889">
          <cell r="A1889" t="str">
            <v>19-01888</v>
          </cell>
          <cell r="B1889" t="str">
            <v>ORKHON GROUP</v>
          </cell>
          <cell r="C1889" t="str">
            <v>A</v>
          </cell>
          <cell r="D1889" t="str">
            <v>N/A</v>
          </cell>
          <cell r="E1889" t="str">
            <v>A1403-113 ALTAMAR COLLAR</v>
          </cell>
          <cell r="F1889" t="str">
            <v>COLLAR</v>
          </cell>
          <cell r="G1889" t="str">
            <v>A1403-113</v>
          </cell>
          <cell r="H1889" t="str">
            <v>ALTAMAR</v>
          </cell>
          <cell r="I1889">
            <v>12</v>
          </cell>
        </row>
        <row r="1890">
          <cell r="A1890" t="str">
            <v>19-01889</v>
          </cell>
          <cell r="B1890" t="str">
            <v>ORKHON GROUP</v>
          </cell>
          <cell r="C1890" t="str">
            <v>A</v>
          </cell>
          <cell r="D1890" t="str">
            <v>N/A</v>
          </cell>
          <cell r="E1890" t="str">
            <v>A1403-114 ALTAMAR COLLAR</v>
          </cell>
          <cell r="F1890" t="str">
            <v>COLLAR</v>
          </cell>
          <cell r="G1890" t="str">
            <v>A1403-114</v>
          </cell>
          <cell r="H1890" t="str">
            <v>ALTAMAR</v>
          </cell>
          <cell r="I1890">
            <v>12</v>
          </cell>
        </row>
        <row r="1891">
          <cell r="A1891" t="str">
            <v>19-01890</v>
          </cell>
          <cell r="B1891" t="str">
            <v>ORKHON GROUP</v>
          </cell>
          <cell r="C1891" t="str">
            <v>A</v>
          </cell>
          <cell r="D1891" t="str">
            <v>N/A</v>
          </cell>
          <cell r="E1891" t="str">
            <v>A1403-117 ALTAMAR COLLAR</v>
          </cell>
          <cell r="F1891" t="str">
            <v>COLLAR</v>
          </cell>
          <cell r="G1891" t="str">
            <v>A1403-117</v>
          </cell>
          <cell r="H1891" t="str">
            <v>ALTAMAR</v>
          </cell>
          <cell r="I1891">
            <v>12</v>
          </cell>
        </row>
        <row r="1892">
          <cell r="A1892" t="str">
            <v>19-01891</v>
          </cell>
          <cell r="B1892" t="str">
            <v>ORKHON GROUP</v>
          </cell>
          <cell r="C1892" t="str">
            <v>A</v>
          </cell>
          <cell r="D1892" t="str">
            <v>N/A</v>
          </cell>
          <cell r="E1892" t="str">
            <v>A1403-118 ALTAMAR COLLAR</v>
          </cell>
          <cell r="F1892" t="str">
            <v>COLLAR</v>
          </cell>
          <cell r="G1892" t="str">
            <v>A1403-118</v>
          </cell>
          <cell r="H1892" t="str">
            <v>ALTAMAR</v>
          </cell>
          <cell r="I1892">
            <v>12.4</v>
          </cell>
        </row>
        <row r="1893">
          <cell r="A1893" t="str">
            <v>19-01892</v>
          </cell>
          <cell r="B1893" t="str">
            <v>ORKHON GROUP</v>
          </cell>
          <cell r="C1893" t="str">
            <v>A</v>
          </cell>
          <cell r="D1893" t="str">
            <v>N/A</v>
          </cell>
          <cell r="E1893" t="str">
            <v>A1403-122 ALTAMAR COLLAR</v>
          </cell>
          <cell r="F1893" t="str">
            <v>COLLAR</v>
          </cell>
          <cell r="G1893" t="str">
            <v>A1403-122</v>
          </cell>
          <cell r="H1893" t="str">
            <v>ALTAMAR</v>
          </cell>
          <cell r="I1893">
            <v>12</v>
          </cell>
        </row>
        <row r="1894">
          <cell r="A1894" t="str">
            <v>19-01893</v>
          </cell>
          <cell r="B1894" t="str">
            <v>ORKHON GROUP</v>
          </cell>
          <cell r="C1894" t="str">
            <v>A</v>
          </cell>
          <cell r="D1894" t="str">
            <v>N/A</v>
          </cell>
          <cell r="E1894" t="str">
            <v>A1403-123 ALTAMAR COLLAR</v>
          </cell>
          <cell r="F1894" t="str">
            <v>COLLAR</v>
          </cell>
          <cell r="G1894" t="str">
            <v>A1403-123</v>
          </cell>
          <cell r="H1894" t="str">
            <v>ALTAMAR</v>
          </cell>
          <cell r="I1894">
            <v>12</v>
          </cell>
        </row>
        <row r="1895">
          <cell r="A1895" t="str">
            <v>19-01894</v>
          </cell>
          <cell r="B1895" t="str">
            <v>ORKHON GROUP</v>
          </cell>
          <cell r="C1895" t="str">
            <v>A</v>
          </cell>
          <cell r="D1895" t="str">
            <v>N/A</v>
          </cell>
          <cell r="E1895" t="str">
            <v>A1403-125 ALTAMAR COLLAR</v>
          </cell>
          <cell r="F1895" t="str">
            <v>COLLAR</v>
          </cell>
          <cell r="G1895" t="str">
            <v>A1403-125</v>
          </cell>
          <cell r="H1895" t="str">
            <v>ALTAMAR</v>
          </cell>
          <cell r="I1895">
            <v>12.4</v>
          </cell>
        </row>
        <row r="1896">
          <cell r="A1896" t="str">
            <v>19-01895</v>
          </cell>
          <cell r="B1896" t="str">
            <v>ORKHON GROUP</v>
          </cell>
          <cell r="C1896" t="str">
            <v>A</v>
          </cell>
          <cell r="D1896" t="str">
            <v>N/A</v>
          </cell>
          <cell r="E1896" t="str">
            <v>A1403-126 ALTAMAR COLLAR</v>
          </cell>
          <cell r="F1896" t="str">
            <v>COLLAR</v>
          </cell>
          <cell r="G1896" t="str">
            <v>A1403-126</v>
          </cell>
          <cell r="H1896" t="str">
            <v>ALTAMAR</v>
          </cell>
          <cell r="I1896">
            <v>12</v>
          </cell>
        </row>
        <row r="1897">
          <cell r="A1897" t="str">
            <v>19-01896</v>
          </cell>
          <cell r="B1897" t="str">
            <v>ORKHON GROUP</v>
          </cell>
          <cell r="C1897" t="str">
            <v>A</v>
          </cell>
          <cell r="D1897" t="str">
            <v>N/A</v>
          </cell>
          <cell r="E1897" t="str">
            <v>47-XPN2411 ALTAMAR COLLAR</v>
          </cell>
          <cell r="F1897" t="str">
            <v>COLLAR</v>
          </cell>
          <cell r="G1897" t="str">
            <v>47-XPN2411</v>
          </cell>
          <cell r="H1897" t="str">
            <v>ALTAMAR</v>
          </cell>
          <cell r="I1897">
            <v>9.6</v>
          </cell>
        </row>
        <row r="1898">
          <cell r="A1898" t="str">
            <v>19-01897</v>
          </cell>
          <cell r="B1898" t="str">
            <v>ORKHON GROUP</v>
          </cell>
          <cell r="C1898" t="str">
            <v>A</v>
          </cell>
          <cell r="D1898" t="str">
            <v>N/A</v>
          </cell>
          <cell r="E1898" t="str">
            <v>PSNE10031 ALTAMAR COLLAR</v>
          </cell>
          <cell r="F1898" t="str">
            <v>COLLAR</v>
          </cell>
          <cell r="G1898" t="str">
            <v>PSNE10031</v>
          </cell>
          <cell r="H1898" t="str">
            <v>ALTAMAR</v>
          </cell>
          <cell r="I1898">
            <v>12</v>
          </cell>
        </row>
        <row r="1899">
          <cell r="A1899" t="str">
            <v>19-01898</v>
          </cell>
          <cell r="B1899" t="str">
            <v>ORKHON GROUP</v>
          </cell>
          <cell r="C1899" t="str">
            <v>A</v>
          </cell>
          <cell r="D1899" t="str">
            <v>N/A</v>
          </cell>
          <cell r="E1899" t="str">
            <v>A1403-137 ALTAMAR COLLAR</v>
          </cell>
          <cell r="F1899" t="str">
            <v>COLLAR</v>
          </cell>
          <cell r="G1899" t="str">
            <v>A1403-137</v>
          </cell>
          <cell r="H1899" t="str">
            <v>ALTAMAR</v>
          </cell>
          <cell r="I1899">
            <v>11.4</v>
          </cell>
        </row>
        <row r="1900">
          <cell r="A1900" t="str">
            <v>19-01899</v>
          </cell>
          <cell r="B1900" t="str">
            <v>ORKHON GROUP</v>
          </cell>
          <cell r="C1900" t="str">
            <v>A</v>
          </cell>
          <cell r="D1900" t="str">
            <v>N/A</v>
          </cell>
          <cell r="E1900" t="str">
            <v>A1403-138 ALTAMAR COLLAR</v>
          </cell>
          <cell r="F1900" t="str">
            <v>COLLAR</v>
          </cell>
          <cell r="G1900" t="str">
            <v>A1403-138</v>
          </cell>
          <cell r="H1900" t="str">
            <v>ALTAMAR</v>
          </cell>
          <cell r="I1900">
            <v>12.4</v>
          </cell>
        </row>
        <row r="1901">
          <cell r="A1901" t="str">
            <v>19-01900</v>
          </cell>
          <cell r="B1901" t="str">
            <v>ORKHON GROUP</v>
          </cell>
          <cell r="C1901" t="str">
            <v>A</v>
          </cell>
          <cell r="D1901" t="str">
            <v>N/A</v>
          </cell>
          <cell r="E1901" t="str">
            <v>A1403-139 ALTAMAR COLLAR</v>
          </cell>
          <cell r="F1901" t="str">
            <v>COLLAR</v>
          </cell>
          <cell r="G1901" t="str">
            <v>A1403-139</v>
          </cell>
          <cell r="H1901" t="str">
            <v>ALTAMAR</v>
          </cell>
          <cell r="I1901">
            <v>12</v>
          </cell>
        </row>
        <row r="1902">
          <cell r="A1902" t="str">
            <v>19-01901</v>
          </cell>
          <cell r="B1902" t="str">
            <v>ORKHON GROUP</v>
          </cell>
          <cell r="C1902" t="str">
            <v>A</v>
          </cell>
          <cell r="D1902" t="str">
            <v>N/A</v>
          </cell>
          <cell r="E1902" t="str">
            <v>A1403-140 ALTAMAR COLLAR</v>
          </cell>
          <cell r="F1902" t="str">
            <v>COLLAR</v>
          </cell>
          <cell r="G1902" t="str">
            <v>A1403-140</v>
          </cell>
          <cell r="H1902" t="str">
            <v>ALTAMAR</v>
          </cell>
          <cell r="I1902">
            <v>12</v>
          </cell>
        </row>
        <row r="1903">
          <cell r="A1903" t="str">
            <v>19-01902</v>
          </cell>
          <cell r="B1903" t="str">
            <v>ORKHON GROUP</v>
          </cell>
          <cell r="C1903" t="str">
            <v>A</v>
          </cell>
          <cell r="D1903" t="str">
            <v>N/A</v>
          </cell>
          <cell r="E1903" t="str">
            <v>A1403-147 ALTAMAR PENDIENTES</v>
          </cell>
          <cell r="F1903" t="str">
            <v>PENDIENTE</v>
          </cell>
          <cell r="G1903" t="str">
            <v>A1403-147</v>
          </cell>
          <cell r="H1903" t="str">
            <v>ALTAMAR</v>
          </cell>
          <cell r="I1903">
            <v>5.2</v>
          </cell>
        </row>
        <row r="1904">
          <cell r="A1904" t="str">
            <v>19-01903</v>
          </cell>
          <cell r="B1904" t="str">
            <v>ORKHON GROUP</v>
          </cell>
          <cell r="C1904" t="str">
            <v>A</v>
          </cell>
          <cell r="D1904" t="str">
            <v>N/A</v>
          </cell>
          <cell r="E1904" t="str">
            <v>A1403-151 ALTAMAR PULSERA</v>
          </cell>
          <cell r="F1904" t="str">
            <v>PULSERA</v>
          </cell>
          <cell r="G1904" t="str">
            <v>A1403-151</v>
          </cell>
          <cell r="H1904" t="str">
            <v>ALTAMAR</v>
          </cell>
          <cell r="I1904">
            <v>6.84</v>
          </cell>
        </row>
        <row r="1905">
          <cell r="A1905" t="str">
            <v>19-01904</v>
          </cell>
          <cell r="B1905" t="str">
            <v>ORKHON GROUP</v>
          </cell>
          <cell r="C1905" t="str">
            <v>A</v>
          </cell>
          <cell r="D1905" t="str">
            <v>N/A</v>
          </cell>
          <cell r="E1905" t="str">
            <v>22-PNE1031 ALTAMAR COLLAR</v>
          </cell>
          <cell r="F1905" t="str">
            <v>COLLAR</v>
          </cell>
          <cell r="G1905" t="str">
            <v>22-PNE1031</v>
          </cell>
          <cell r="H1905" t="str">
            <v>ALTAMAR</v>
          </cell>
          <cell r="I1905">
            <v>8.9600000000000009</v>
          </cell>
        </row>
        <row r="1906">
          <cell r="A1906" t="str">
            <v>19-01905</v>
          </cell>
          <cell r="B1906" t="str">
            <v>ORKHON GROUP</v>
          </cell>
          <cell r="C1906" t="str">
            <v>A</v>
          </cell>
          <cell r="D1906" t="str">
            <v>N/A</v>
          </cell>
          <cell r="E1906" t="str">
            <v>A1403-115 ALTAMAR COLLAR</v>
          </cell>
          <cell r="F1906" t="str">
            <v>COLLAR</v>
          </cell>
          <cell r="G1906" t="str">
            <v>A1403-115</v>
          </cell>
          <cell r="H1906" t="str">
            <v>ALTAMAR</v>
          </cell>
          <cell r="I1906">
            <v>10.28</v>
          </cell>
        </row>
        <row r="1907">
          <cell r="A1907" t="str">
            <v>19-01906</v>
          </cell>
          <cell r="B1907" t="str">
            <v>ORKHON GROUP</v>
          </cell>
          <cell r="C1907" t="str">
            <v>A</v>
          </cell>
          <cell r="D1907" t="str">
            <v>N/A</v>
          </cell>
          <cell r="E1907" t="str">
            <v>A1403-154 ALTAMAR COLLAR</v>
          </cell>
          <cell r="F1907" t="str">
            <v>COLLAR</v>
          </cell>
          <cell r="G1907" t="str">
            <v>A1403-154</v>
          </cell>
          <cell r="H1907" t="str">
            <v>ALTAMAR</v>
          </cell>
          <cell r="I1907">
            <v>7.05</v>
          </cell>
        </row>
        <row r="1908">
          <cell r="A1908" t="str">
            <v>19-01907</v>
          </cell>
          <cell r="B1908" t="str">
            <v>ORKHON GROUP</v>
          </cell>
          <cell r="C1908" t="str">
            <v>A</v>
          </cell>
          <cell r="D1908" t="str">
            <v>N/A</v>
          </cell>
          <cell r="E1908" t="str">
            <v>A1403-128 ALTAMAR COLLAR</v>
          </cell>
          <cell r="F1908" t="str">
            <v>COLLAR</v>
          </cell>
          <cell r="G1908" t="str">
            <v>A1403-128</v>
          </cell>
          <cell r="H1908" t="str">
            <v>ALTAMAR</v>
          </cell>
          <cell r="I1908">
            <v>9.99</v>
          </cell>
        </row>
        <row r="1909">
          <cell r="A1909" t="str">
            <v>19-01908</v>
          </cell>
          <cell r="B1909" t="str">
            <v>ORKHON GROUP</v>
          </cell>
          <cell r="C1909" t="str">
            <v>A</v>
          </cell>
          <cell r="D1909" t="str">
            <v>N/A</v>
          </cell>
          <cell r="E1909" t="str">
            <v>AP1403-33 ALTAMAR LENTES</v>
          </cell>
          <cell r="F1909" t="str">
            <v>SUNGLASSES</v>
          </cell>
          <cell r="G1909" t="str">
            <v>AP1403-33</v>
          </cell>
          <cell r="H1909" t="str">
            <v>ALTAMAR</v>
          </cell>
          <cell r="I1909">
            <v>5.81</v>
          </cell>
        </row>
        <row r="1910">
          <cell r="A1910" t="str">
            <v>19-01909</v>
          </cell>
          <cell r="B1910" t="str">
            <v>ORKHON GROUP</v>
          </cell>
          <cell r="C1910" t="str">
            <v>A</v>
          </cell>
          <cell r="D1910" t="str">
            <v>N/A</v>
          </cell>
          <cell r="E1910" t="str">
            <v>AP1403-34 ALTAMAR LENTES</v>
          </cell>
          <cell r="F1910" t="str">
            <v>SUNGLASSES</v>
          </cell>
          <cell r="G1910" t="str">
            <v>AP1403-34</v>
          </cell>
          <cell r="H1910" t="str">
            <v>ALTAMAR</v>
          </cell>
          <cell r="I1910">
            <v>5.49</v>
          </cell>
        </row>
        <row r="1911">
          <cell r="A1911" t="str">
            <v>19-01910</v>
          </cell>
          <cell r="B1911" t="str">
            <v>ORKHON GROUP</v>
          </cell>
          <cell r="C1911" t="str">
            <v>A</v>
          </cell>
          <cell r="D1911" t="str">
            <v>N/A</v>
          </cell>
          <cell r="E1911" t="str">
            <v>AP1403-35 ALTAMAR LENTES</v>
          </cell>
          <cell r="F1911" t="str">
            <v>SUNGLASSES</v>
          </cell>
          <cell r="G1911" t="str">
            <v>AP1403-35</v>
          </cell>
          <cell r="H1911" t="str">
            <v>ALTAMAR</v>
          </cell>
          <cell r="I1911">
            <v>5.93</v>
          </cell>
        </row>
        <row r="1912">
          <cell r="A1912" t="str">
            <v>19-01911</v>
          </cell>
          <cell r="B1912" t="str">
            <v>ORKHON GROUP</v>
          </cell>
          <cell r="C1912" t="str">
            <v>A</v>
          </cell>
          <cell r="D1912" t="str">
            <v>N/A</v>
          </cell>
          <cell r="E1912" t="str">
            <v>AP1403-37 ALTAMAR LENTES</v>
          </cell>
          <cell r="F1912" t="str">
            <v>SUNGLASSES</v>
          </cell>
          <cell r="G1912" t="str">
            <v>AP1403-37</v>
          </cell>
          <cell r="H1912" t="str">
            <v>ALTAMAR</v>
          </cell>
          <cell r="I1912">
            <v>6.89</v>
          </cell>
        </row>
        <row r="1913">
          <cell r="A1913" t="str">
            <v>19-01912</v>
          </cell>
          <cell r="B1913" t="str">
            <v>ORKHON GROUP</v>
          </cell>
          <cell r="C1913" t="str">
            <v>A</v>
          </cell>
          <cell r="D1913" t="str">
            <v>N/A</v>
          </cell>
          <cell r="E1913" t="str">
            <v>C1403-03 ALTAMAR BILLETERA</v>
          </cell>
          <cell r="F1913" t="str">
            <v>BILLETERA</v>
          </cell>
          <cell r="G1913" t="str">
            <v>C1403-03</v>
          </cell>
          <cell r="H1913" t="str">
            <v>ALTAMAR</v>
          </cell>
          <cell r="I1913">
            <v>8.19</v>
          </cell>
        </row>
        <row r="1914">
          <cell r="A1914" t="str">
            <v>19-01913</v>
          </cell>
          <cell r="B1914" t="str">
            <v>ORKHON GROUP</v>
          </cell>
          <cell r="C1914" t="str">
            <v>A</v>
          </cell>
          <cell r="D1914" t="str">
            <v>N/A</v>
          </cell>
          <cell r="E1914" t="str">
            <v>C1403-04 ALTAMAR BILLETERA</v>
          </cell>
          <cell r="F1914" t="str">
            <v>BILLETERA</v>
          </cell>
          <cell r="G1914" t="str">
            <v>C1403-04</v>
          </cell>
          <cell r="H1914" t="str">
            <v>ALTAMAR</v>
          </cell>
          <cell r="I1914">
            <v>8.83</v>
          </cell>
        </row>
        <row r="1915">
          <cell r="A1915" t="str">
            <v>19-01914</v>
          </cell>
          <cell r="B1915" t="str">
            <v>ORKHON GROUP</v>
          </cell>
          <cell r="C1915" t="str">
            <v>A</v>
          </cell>
          <cell r="D1915" t="str">
            <v>N/A</v>
          </cell>
          <cell r="E1915" t="str">
            <v>C1403-05 ALTAMAR BILLETERA</v>
          </cell>
          <cell r="F1915" t="str">
            <v>BILLETERA</v>
          </cell>
          <cell r="G1915" t="str">
            <v>C1403-05</v>
          </cell>
          <cell r="H1915" t="str">
            <v>ALTAMAR</v>
          </cell>
          <cell r="I1915">
            <v>10.73</v>
          </cell>
        </row>
        <row r="1916">
          <cell r="A1916" t="str">
            <v>19-01915</v>
          </cell>
          <cell r="B1916" t="str">
            <v>ORKHON GROUP</v>
          </cell>
          <cell r="C1916" t="str">
            <v>A</v>
          </cell>
          <cell r="D1916" t="str">
            <v>N/A</v>
          </cell>
          <cell r="E1916" t="str">
            <v>C1403-06 ALTAMAR BILLETERA</v>
          </cell>
          <cell r="F1916" t="str">
            <v>BILLETERA</v>
          </cell>
          <cell r="G1916" t="str">
            <v>C1403-06</v>
          </cell>
          <cell r="H1916" t="str">
            <v>ALTAMAR</v>
          </cell>
          <cell r="I1916">
            <v>10.1</v>
          </cell>
        </row>
        <row r="1917">
          <cell r="A1917" t="str">
            <v>19-01916</v>
          </cell>
          <cell r="B1917" t="str">
            <v>ORKHON GROUP</v>
          </cell>
          <cell r="C1917" t="str">
            <v>A</v>
          </cell>
          <cell r="D1917" t="str">
            <v>N/A</v>
          </cell>
          <cell r="E1917" t="str">
            <v>C1403-07 ALTAMAR BILLETERA</v>
          </cell>
          <cell r="F1917" t="str">
            <v>BILLETERA</v>
          </cell>
          <cell r="G1917" t="str">
            <v>C1403-07</v>
          </cell>
          <cell r="H1917" t="str">
            <v>ALTAMAR</v>
          </cell>
          <cell r="I1917">
            <v>11.362</v>
          </cell>
        </row>
        <row r="1918">
          <cell r="A1918" t="str">
            <v>19-01917</v>
          </cell>
          <cell r="B1918" t="str">
            <v>ORKHON GROUP</v>
          </cell>
          <cell r="C1918" t="str">
            <v>A</v>
          </cell>
          <cell r="D1918" t="str">
            <v>N/A</v>
          </cell>
          <cell r="E1918" t="str">
            <v>C1403-15 ALTAMAR COSMETIQUERA</v>
          </cell>
          <cell r="F1918" t="str">
            <v>BOLSO</v>
          </cell>
          <cell r="G1918" t="str">
            <v>C1403-15</v>
          </cell>
          <cell r="H1918" t="str">
            <v>ALTAMAR</v>
          </cell>
          <cell r="I1918">
            <v>14.53</v>
          </cell>
        </row>
        <row r="1919">
          <cell r="A1919" t="str">
            <v>19-01918</v>
          </cell>
          <cell r="B1919" t="str">
            <v>ORKHON GROUP</v>
          </cell>
          <cell r="C1919" t="str">
            <v>A</v>
          </cell>
          <cell r="D1919" t="str">
            <v>N/A</v>
          </cell>
          <cell r="E1919" t="str">
            <v>C1403-16 ALTAMAR COSMETIQUERA</v>
          </cell>
          <cell r="F1919" t="str">
            <v>BOLSO</v>
          </cell>
          <cell r="G1919" t="str">
            <v>C1403-16</v>
          </cell>
          <cell r="H1919" t="str">
            <v>ALTAMAR</v>
          </cell>
          <cell r="I1919">
            <v>14.53</v>
          </cell>
        </row>
        <row r="1920">
          <cell r="A1920" t="str">
            <v>19-01919</v>
          </cell>
          <cell r="B1920" t="str">
            <v>ORKHON GROUP</v>
          </cell>
          <cell r="C1920" t="str">
            <v>A</v>
          </cell>
          <cell r="D1920" t="str">
            <v>N/A</v>
          </cell>
          <cell r="E1920" t="str">
            <v>C1403-17 ALTAMAR BILLETERA</v>
          </cell>
          <cell r="F1920" t="str">
            <v>BILLETERA</v>
          </cell>
          <cell r="G1920" t="str">
            <v>C1403-17</v>
          </cell>
          <cell r="H1920" t="str">
            <v>ALTAMAR</v>
          </cell>
          <cell r="I1920">
            <v>13.9</v>
          </cell>
        </row>
        <row r="1921">
          <cell r="A1921" t="str">
            <v>19-01920</v>
          </cell>
          <cell r="B1921" t="str">
            <v>ORKHON GROUP</v>
          </cell>
          <cell r="C1921" t="str">
            <v>A</v>
          </cell>
          <cell r="D1921" t="str">
            <v>N/A</v>
          </cell>
          <cell r="E1921" t="str">
            <v>C1403-18 ALTAMAR BILLETERA</v>
          </cell>
          <cell r="F1921" t="str">
            <v>BILLETERA</v>
          </cell>
          <cell r="G1921" t="str">
            <v>C1403-18</v>
          </cell>
          <cell r="H1921" t="str">
            <v>ALTAMAR</v>
          </cell>
          <cell r="I1921">
            <v>12.63</v>
          </cell>
        </row>
        <row r="1922">
          <cell r="A1922" t="str">
            <v>19-01921</v>
          </cell>
          <cell r="B1922" t="str">
            <v>ORKHON GROUP</v>
          </cell>
          <cell r="C1922" t="str">
            <v>A</v>
          </cell>
          <cell r="D1922" t="str">
            <v>N/A</v>
          </cell>
          <cell r="E1922" t="str">
            <v>C1403-19 ALTAMAR BILLETERA</v>
          </cell>
          <cell r="F1922" t="str">
            <v>BILLETERA</v>
          </cell>
          <cell r="G1922" t="str">
            <v>C1403-19</v>
          </cell>
          <cell r="H1922" t="str">
            <v>ALTAMAR</v>
          </cell>
          <cell r="I1922">
            <v>9.15</v>
          </cell>
        </row>
        <row r="1923">
          <cell r="A1923" t="str">
            <v>19-01922</v>
          </cell>
          <cell r="B1923" t="str">
            <v>ORKHON GROUP</v>
          </cell>
          <cell r="C1923" t="str">
            <v>A</v>
          </cell>
          <cell r="D1923" t="str">
            <v>N/A</v>
          </cell>
          <cell r="E1923" t="str">
            <v>B1403-23 ALTAMAR PANUELO</v>
          </cell>
          <cell r="F1923" t="str">
            <v>PANUELO</v>
          </cell>
          <cell r="G1923" t="str">
            <v>B1403-23</v>
          </cell>
          <cell r="H1923" t="str">
            <v>ALTAMAR</v>
          </cell>
          <cell r="I1923">
            <v>5</v>
          </cell>
        </row>
        <row r="1924">
          <cell r="A1924" t="str">
            <v>19-01923</v>
          </cell>
          <cell r="B1924" t="str">
            <v>ORKHON GROUP</v>
          </cell>
          <cell r="C1924" t="str">
            <v>A</v>
          </cell>
          <cell r="D1924" t="str">
            <v>N/A</v>
          </cell>
          <cell r="E1924" t="str">
            <v>B1403-24 ALTAMAR PANUELO</v>
          </cell>
          <cell r="F1924" t="str">
            <v>PANUELO</v>
          </cell>
          <cell r="G1924" t="str">
            <v>B1403-24</v>
          </cell>
          <cell r="H1924" t="str">
            <v>ALTAMAR</v>
          </cell>
          <cell r="I1924">
            <v>3</v>
          </cell>
        </row>
        <row r="1925">
          <cell r="A1925" t="str">
            <v>19-01924</v>
          </cell>
          <cell r="B1925" t="str">
            <v>ORKHON GROUP</v>
          </cell>
          <cell r="C1925" t="str">
            <v>A</v>
          </cell>
          <cell r="D1925" t="str">
            <v>N/A</v>
          </cell>
          <cell r="E1925" t="str">
            <v>B1403-25 ALTAMAR PANUELO</v>
          </cell>
          <cell r="F1925" t="str">
            <v>PANUELO</v>
          </cell>
          <cell r="G1925" t="str">
            <v>B1403-25</v>
          </cell>
          <cell r="H1925" t="str">
            <v>ALTAMAR</v>
          </cell>
          <cell r="I1925">
            <v>4</v>
          </cell>
        </row>
        <row r="1926">
          <cell r="A1926" t="str">
            <v>19-01925</v>
          </cell>
          <cell r="B1926" t="str">
            <v>ORKHON GROUP</v>
          </cell>
          <cell r="C1926" t="str">
            <v>A</v>
          </cell>
          <cell r="D1926" t="str">
            <v>N/A</v>
          </cell>
          <cell r="E1926" t="str">
            <v>B1403-26 ALTAMAR PANUELO</v>
          </cell>
          <cell r="F1926" t="str">
            <v>PANUELO</v>
          </cell>
          <cell r="G1926" t="str">
            <v>B1403-26</v>
          </cell>
          <cell r="H1926" t="str">
            <v>ALTAMAR</v>
          </cell>
          <cell r="I1926">
            <v>4.72</v>
          </cell>
        </row>
        <row r="1927">
          <cell r="A1927" t="str">
            <v>19-01926</v>
          </cell>
          <cell r="B1927" t="str">
            <v>ORKHON GROUP</v>
          </cell>
          <cell r="C1927" t="str">
            <v>A</v>
          </cell>
          <cell r="D1927" t="str">
            <v>N/A</v>
          </cell>
          <cell r="E1927" t="str">
            <v>A1403-100 ALTAMAR PULSERA CLOE</v>
          </cell>
          <cell r="F1927" t="str">
            <v>PULSERA</v>
          </cell>
          <cell r="G1927" t="str">
            <v>A1403-100</v>
          </cell>
          <cell r="H1927" t="str">
            <v>ALTAMAR</v>
          </cell>
          <cell r="I1927">
            <v>2.1800000000000002</v>
          </cell>
        </row>
        <row r="1928">
          <cell r="A1928" t="str">
            <v>19-01927</v>
          </cell>
          <cell r="B1928" t="str">
            <v>ORKHON GROUP</v>
          </cell>
          <cell r="C1928" t="str">
            <v>A</v>
          </cell>
          <cell r="D1928" t="str">
            <v>N/A</v>
          </cell>
          <cell r="E1928" t="str">
            <v>A1403-102 ALTAMAR PULSERA CLOE</v>
          </cell>
          <cell r="F1928" t="str">
            <v>PULSERA</v>
          </cell>
          <cell r="G1928" t="str">
            <v>A1403-102</v>
          </cell>
          <cell r="H1928" t="str">
            <v>ALTAMAR</v>
          </cell>
          <cell r="I1928">
            <v>4.08</v>
          </cell>
        </row>
        <row r="1929">
          <cell r="A1929" t="str">
            <v>19-01928</v>
          </cell>
          <cell r="B1929" t="str">
            <v>ORKHON GROUP</v>
          </cell>
          <cell r="C1929" t="str">
            <v>A</v>
          </cell>
          <cell r="D1929" t="str">
            <v>N/A</v>
          </cell>
          <cell r="E1929" t="str">
            <v>A1403-89 ALTAMAR PULSERA CLOE</v>
          </cell>
          <cell r="F1929" t="str">
            <v>PULSERA</v>
          </cell>
          <cell r="G1929" t="str">
            <v>A1403-89</v>
          </cell>
          <cell r="H1929" t="str">
            <v>ALTAMAR</v>
          </cell>
          <cell r="I1929">
            <v>1.161</v>
          </cell>
        </row>
        <row r="1930">
          <cell r="A1930" t="str">
            <v>19-01929</v>
          </cell>
          <cell r="B1930" t="str">
            <v>ORKHON GROUP</v>
          </cell>
          <cell r="C1930" t="str">
            <v>A</v>
          </cell>
          <cell r="D1930" t="str">
            <v>N/A</v>
          </cell>
          <cell r="E1930" t="str">
            <v>A1403-90 ALTAMAR PULSERA CLOE</v>
          </cell>
          <cell r="F1930" t="str">
            <v>PULSERA</v>
          </cell>
          <cell r="G1930" t="str">
            <v>A1403-90</v>
          </cell>
          <cell r="H1930" t="str">
            <v>ALTAMAR</v>
          </cell>
          <cell r="I1930">
            <v>1.48</v>
          </cell>
        </row>
        <row r="1931">
          <cell r="A1931" t="str">
            <v>19-01930</v>
          </cell>
          <cell r="B1931" t="str">
            <v>ORKHON GROUP</v>
          </cell>
          <cell r="C1931" t="str">
            <v>A</v>
          </cell>
          <cell r="D1931" t="str">
            <v>N/A</v>
          </cell>
          <cell r="E1931" t="str">
            <v>A1403-93 ALTAMAR PULSERA CLOE</v>
          </cell>
          <cell r="F1931" t="str">
            <v>PULSERA</v>
          </cell>
          <cell r="G1931" t="str">
            <v>A1403-93</v>
          </cell>
          <cell r="H1931" t="str">
            <v>ALTAMAR</v>
          </cell>
          <cell r="I1931">
            <v>1.86</v>
          </cell>
        </row>
        <row r="1932">
          <cell r="A1932" t="str">
            <v>19-01931</v>
          </cell>
          <cell r="B1932" t="str">
            <v>ORKHON GROUP</v>
          </cell>
          <cell r="C1932" t="str">
            <v>A</v>
          </cell>
          <cell r="D1932" t="str">
            <v>N/A</v>
          </cell>
          <cell r="E1932" t="str">
            <v>A1403-94 ALTAMAR PULSERA CLOE</v>
          </cell>
          <cell r="F1932" t="str">
            <v>PULSERA</v>
          </cell>
          <cell r="G1932" t="str">
            <v>A1403-94</v>
          </cell>
          <cell r="H1932" t="str">
            <v>ALTAMAR</v>
          </cell>
          <cell r="I1932">
            <v>2.75</v>
          </cell>
        </row>
        <row r="1933">
          <cell r="A1933" t="str">
            <v>19-01932</v>
          </cell>
          <cell r="B1933" t="str">
            <v>ORKHON GROUP</v>
          </cell>
          <cell r="C1933" t="str">
            <v>A</v>
          </cell>
          <cell r="D1933" t="str">
            <v>N/A</v>
          </cell>
          <cell r="E1933" t="str">
            <v>A1403-95 ALTAMAR PULSERA CLOE</v>
          </cell>
          <cell r="F1933" t="str">
            <v>PULSERA</v>
          </cell>
          <cell r="G1933" t="str">
            <v>A1403-95</v>
          </cell>
          <cell r="H1933" t="str">
            <v>ALTAMAR</v>
          </cell>
          <cell r="I1933">
            <v>2</v>
          </cell>
        </row>
        <row r="1934">
          <cell r="A1934" t="str">
            <v>19-01933</v>
          </cell>
          <cell r="B1934" t="str">
            <v>ORKHON GROUP</v>
          </cell>
          <cell r="C1934" t="str">
            <v>A</v>
          </cell>
          <cell r="D1934" t="str">
            <v>N/A</v>
          </cell>
          <cell r="E1934" t="str">
            <v>A1403-97 ALTAMAR PULSERA CLOE</v>
          </cell>
          <cell r="F1934" t="str">
            <v>PULSERA</v>
          </cell>
          <cell r="G1934" t="str">
            <v>A1403-97</v>
          </cell>
          <cell r="H1934" t="str">
            <v>ALTAMAR</v>
          </cell>
          <cell r="I1934">
            <v>2.81</v>
          </cell>
        </row>
        <row r="1935">
          <cell r="A1935" t="str">
            <v>19-01934</v>
          </cell>
          <cell r="B1935" t="str">
            <v>ORKHON GROUP</v>
          </cell>
          <cell r="C1935" t="str">
            <v>A</v>
          </cell>
          <cell r="D1935" t="str">
            <v>N/A</v>
          </cell>
          <cell r="E1935" t="str">
            <v>FE1403-13 ALTAMAR TERMO PROMO</v>
          </cell>
          <cell r="F1935" t="str">
            <v>TERMO</v>
          </cell>
          <cell r="G1935" t="str">
            <v>FE1403-13</v>
          </cell>
          <cell r="H1935" t="str">
            <v>ALTAMAR</v>
          </cell>
          <cell r="I1935">
            <v>3.95</v>
          </cell>
        </row>
        <row r="1936">
          <cell r="A1936" t="str">
            <v>19-01935</v>
          </cell>
          <cell r="B1936" t="str">
            <v>ORKHON GROUP</v>
          </cell>
          <cell r="C1936" t="str">
            <v>A</v>
          </cell>
          <cell r="D1936" t="str">
            <v>N/A</v>
          </cell>
          <cell r="E1936" t="str">
            <v>117-HT-1674 ALTAMAR SOMBRERO</v>
          </cell>
          <cell r="F1936" t="str">
            <v>SOMBRERO</v>
          </cell>
          <cell r="G1936" t="str">
            <v>117-HT-1674</v>
          </cell>
          <cell r="H1936" t="str">
            <v>ALTAMAR</v>
          </cell>
          <cell r="I1936">
            <v>8</v>
          </cell>
        </row>
        <row r="1937">
          <cell r="A1937" t="str">
            <v>19-01936</v>
          </cell>
          <cell r="B1937" t="str">
            <v>ORKHON GROUP</v>
          </cell>
          <cell r="C1937" t="str">
            <v>A</v>
          </cell>
          <cell r="D1937" t="str">
            <v>N/A</v>
          </cell>
          <cell r="E1937" t="str">
            <v>39-HA350022ALTAMAR SOMBRERO</v>
          </cell>
          <cell r="F1937" t="str">
            <v>SOMBRERO</v>
          </cell>
          <cell r="G1937" t="str">
            <v>39-HA350022</v>
          </cell>
          <cell r="H1937" t="str">
            <v>ALTAMAR</v>
          </cell>
          <cell r="I1937">
            <v>7</v>
          </cell>
        </row>
        <row r="1938">
          <cell r="A1938" t="str">
            <v>19-01937</v>
          </cell>
          <cell r="B1938" t="str">
            <v>ORKHON GROUP</v>
          </cell>
          <cell r="C1938" t="str">
            <v>A</v>
          </cell>
          <cell r="D1938" t="str">
            <v>N/A</v>
          </cell>
          <cell r="E1938" t="str">
            <v>S1403-02 ALTAMAR SOMBRERO</v>
          </cell>
          <cell r="F1938" t="str">
            <v>SOMBRERO</v>
          </cell>
          <cell r="G1938" t="str">
            <v>S1403-02</v>
          </cell>
          <cell r="H1938" t="str">
            <v>ALTAMAR</v>
          </cell>
          <cell r="I1938">
            <v>7.3</v>
          </cell>
        </row>
        <row r="1939">
          <cell r="A1939" t="str">
            <v>19-01938</v>
          </cell>
          <cell r="B1939" t="str">
            <v>ORKHON GROUP</v>
          </cell>
          <cell r="C1939" t="str">
            <v>A</v>
          </cell>
          <cell r="D1939" t="str">
            <v>N/A</v>
          </cell>
          <cell r="E1939" t="str">
            <v>S1403-11 ALTAMAR SOMBRERO</v>
          </cell>
          <cell r="F1939" t="str">
            <v>SOMBRERO</v>
          </cell>
          <cell r="G1939" t="str">
            <v>S1403-11</v>
          </cell>
          <cell r="H1939" t="str">
            <v>ALTAMAR</v>
          </cell>
          <cell r="I1939">
            <v>7.5</v>
          </cell>
        </row>
        <row r="1940">
          <cell r="A1940" t="str">
            <v>19-01939</v>
          </cell>
          <cell r="B1940" t="str">
            <v>ORKHON GROUP</v>
          </cell>
          <cell r="C1940" t="str">
            <v>A</v>
          </cell>
          <cell r="D1940" t="str">
            <v>N/A</v>
          </cell>
          <cell r="E1940" t="str">
            <v>S1403-09 ALTAMAR SOMBRERO</v>
          </cell>
          <cell r="F1940" t="str">
            <v>SOMBRERO</v>
          </cell>
          <cell r="G1940" t="str">
            <v>S1403-09</v>
          </cell>
          <cell r="H1940" t="str">
            <v>ALTAMAR</v>
          </cell>
          <cell r="I1940">
            <v>7.5</v>
          </cell>
        </row>
        <row r="1941">
          <cell r="A1941" t="str">
            <v>19-01940</v>
          </cell>
          <cell r="B1941" t="str">
            <v>ORKHON GROUP</v>
          </cell>
          <cell r="C1941" t="str">
            <v>A</v>
          </cell>
          <cell r="D1941" t="str">
            <v>N/A</v>
          </cell>
          <cell r="E1941" t="str">
            <v>S1403-08 ALTAMAR SOMBRERO</v>
          </cell>
          <cell r="F1941" t="str">
            <v>SOMBRERO</v>
          </cell>
          <cell r="G1941" t="str">
            <v>S1403-08</v>
          </cell>
          <cell r="H1941" t="str">
            <v>ALTAMAR</v>
          </cell>
          <cell r="I1941">
            <v>8</v>
          </cell>
        </row>
        <row r="1942">
          <cell r="A1942" t="str">
            <v>19-01941</v>
          </cell>
          <cell r="B1942" t="str">
            <v>ORKHON GROUP</v>
          </cell>
          <cell r="C1942" t="str">
            <v>A</v>
          </cell>
          <cell r="D1942" t="str">
            <v>N/A</v>
          </cell>
          <cell r="E1942" t="str">
            <v>S1403-18 ALTAMAR SOMBRERO</v>
          </cell>
          <cell r="F1942" t="str">
            <v>SOMBRERO</v>
          </cell>
          <cell r="G1942" t="str">
            <v>S1403-18</v>
          </cell>
          <cell r="H1942" t="str">
            <v>ALTAMAR</v>
          </cell>
          <cell r="I1942">
            <v>10</v>
          </cell>
        </row>
        <row r="1943">
          <cell r="A1943" t="str">
            <v>19-01942</v>
          </cell>
          <cell r="B1943" t="str">
            <v>ORKHON GROUP</v>
          </cell>
          <cell r="C1943" t="str">
            <v>A</v>
          </cell>
          <cell r="D1943" t="str">
            <v>N/A</v>
          </cell>
          <cell r="E1943" t="str">
            <v>98-HT1674-B ALTAMAR SOMBRERO</v>
          </cell>
          <cell r="F1943" t="str">
            <v>SOMBRERO</v>
          </cell>
          <cell r="G1943" t="str">
            <v>98-HT1674-B</v>
          </cell>
          <cell r="H1943" t="str">
            <v>ALTAMAR</v>
          </cell>
          <cell r="I1943">
            <v>9</v>
          </cell>
        </row>
        <row r="1944">
          <cell r="A1944" t="str">
            <v>19-01943</v>
          </cell>
          <cell r="B1944" t="str">
            <v>ORKHON GROUP</v>
          </cell>
          <cell r="C1944" t="str">
            <v>A</v>
          </cell>
          <cell r="D1944" t="str">
            <v>N/A</v>
          </cell>
          <cell r="E1944" t="str">
            <v>117-FHT3043 ALTAMAR SOMBRERO</v>
          </cell>
          <cell r="F1944" t="str">
            <v>SOMBRERO</v>
          </cell>
          <cell r="G1944" t="str">
            <v>117-FHT3043</v>
          </cell>
          <cell r="H1944" t="str">
            <v>ALTAMAR</v>
          </cell>
          <cell r="I1944">
            <v>9</v>
          </cell>
        </row>
        <row r="1945">
          <cell r="A1945" t="str">
            <v>19-01944</v>
          </cell>
          <cell r="B1945" t="str">
            <v>ORKHON GROUP</v>
          </cell>
          <cell r="C1945" t="str">
            <v>A</v>
          </cell>
          <cell r="D1945" t="str">
            <v>N/A</v>
          </cell>
          <cell r="E1945" t="str">
            <v>34-51309-DD ALTAMAR SOMBRERO</v>
          </cell>
          <cell r="F1945" t="str">
            <v>SOMBRERO</v>
          </cell>
          <cell r="G1945" t="str">
            <v>34-51309-DD</v>
          </cell>
          <cell r="H1945" t="str">
            <v>ALTAMAR</v>
          </cell>
          <cell r="I1945">
            <v>9</v>
          </cell>
        </row>
        <row r="1946">
          <cell r="A1946" t="str">
            <v>19-01945</v>
          </cell>
          <cell r="B1946" t="str">
            <v>ORKHON GROUP</v>
          </cell>
          <cell r="C1946" t="str">
            <v>A</v>
          </cell>
          <cell r="D1946" t="str">
            <v>N/A</v>
          </cell>
          <cell r="E1946" t="str">
            <v>39-HA350021 ALTAMAR SOMBRERO</v>
          </cell>
          <cell r="F1946" t="str">
            <v>SOMBRERO</v>
          </cell>
          <cell r="G1946" t="str">
            <v>39-HA350021</v>
          </cell>
          <cell r="H1946" t="str">
            <v>ALTAMAR</v>
          </cell>
          <cell r="I1946">
            <v>9</v>
          </cell>
        </row>
        <row r="1947">
          <cell r="A1947" t="str">
            <v>19-01946</v>
          </cell>
          <cell r="B1947" t="str">
            <v>ORKHON GROUP</v>
          </cell>
          <cell r="C1947" t="str">
            <v>A</v>
          </cell>
          <cell r="D1947" t="str">
            <v>N/A</v>
          </cell>
          <cell r="E1947" t="str">
            <v>S1403-25 ALTAMAR SOMBRERO</v>
          </cell>
          <cell r="F1947" t="str">
            <v>SOMBRERO</v>
          </cell>
          <cell r="G1947" t="str">
            <v>S1403-25</v>
          </cell>
          <cell r="H1947" t="str">
            <v>ALTAMAR</v>
          </cell>
          <cell r="I1947">
            <v>9</v>
          </cell>
        </row>
        <row r="1948">
          <cell r="A1948" t="str">
            <v>19-01947</v>
          </cell>
          <cell r="B1948" t="str">
            <v>ORKHON GROUP</v>
          </cell>
          <cell r="C1948" t="str">
            <v>A</v>
          </cell>
          <cell r="D1948" t="str">
            <v>N/A</v>
          </cell>
          <cell r="E1948" t="str">
            <v>S1403-31 ALTAMAR SOMBRERO</v>
          </cell>
          <cell r="F1948" t="str">
            <v>SOMBRERO</v>
          </cell>
          <cell r="G1948" t="str">
            <v>S1403-31</v>
          </cell>
          <cell r="H1948" t="str">
            <v>ALTAMAR</v>
          </cell>
          <cell r="I1948">
            <v>9</v>
          </cell>
        </row>
        <row r="1949">
          <cell r="A1949" t="str">
            <v>19-01948</v>
          </cell>
          <cell r="B1949" t="str">
            <v>ORKHON GROUP</v>
          </cell>
          <cell r="C1949" t="str">
            <v>A</v>
          </cell>
          <cell r="D1949" t="str">
            <v>N/A</v>
          </cell>
          <cell r="E1949" t="str">
            <v>98-HT1674-D ALTAMAR SOMBRERO</v>
          </cell>
          <cell r="F1949" t="str">
            <v>SOMBRERO</v>
          </cell>
          <cell r="G1949" t="str">
            <v>98-HT1674-D</v>
          </cell>
          <cell r="H1949" t="str">
            <v>ALTAMAR</v>
          </cell>
          <cell r="I1949">
            <v>9</v>
          </cell>
        </row>
        <row r="1950">
          <cell r="A1950" t="str">
            <v>19-01949</v>
          </cell>
          <cell r="B1950" t="str">
            <v>ORKHON GROUP</v>
          </cell>
          <cell r="C1950" t="str">
            <v>A</v>
          </cell>
          <cell r="D1950" t="str">
            <v>N/A</v>
          </cell>
          <cell r="E1950" t="str">
            <v>S1403-35 ALTAMAR SOMBRERO</v>
          </cell>
          <cell r="F1950" t="str">
            <v>SOMBRERO</v>
          </cell>
          <cell r="G1950" t="str">
            <v>S1403-35</v>
          </cell>
          <cell r="H1950" t="str">
            <v>ALTAMAR</v>
          </cell>
          <cell r="I1950">
            <v>9</v>
          </cell>
        </row>
        <row r="1951">
          <cell r="A1951" t="str">
            <v>19-01950</v>
          </cell>
          <cell r="B1951" t="str">
            <v>ORKHON GROUP</v>
          </cell>
          <cell r="C1951" t="str">
            <v>A</v>
          </cell>
          <cell r="D1951" t="str">
            <v>N/A</v>
          </cell>
          <cell r="E1951" t="str">
            <v>S1403-07 ALTAMAR SOMBRERO</v>
          </cell>
          <cell r="F1951" t="str">
            <v>SOMBRERO</v>
          </cell>
          <cell r="G1951" t="str">
            <v>S1403-07</v>
          </cell>
          <cell r="H1951" t="str">
            <v>ALTAMAR</v>
          </cell>
          <cell r="I1951">
            <v>9</v>
          </cell>
        </row>
        <row r="1952">
          <cell r="A1952" t="str">
            <v>19-01951</v>
          </cell>
          <cell r="B1952" t="str">
            <v>ORKHON GROUP</v>
          </cell>
          <cell r="C1952" t="str">
            <v>A</v>
          </cell>
          <cell r="D1952" t="str">
            <v>N/A</v>
          </cell>
          <cell r="E1952" t="str">
            <v>S1403-23 ALTAMAR SOMBRERO</v>
          </cell>
          <cell r="F1952" t="str">
            <v>SOMBRERO</v>
          </cell>
          <cell r="G1952" t="str">
            <v>S1403-23</v>
          </cell>
          <cell r="H1952" t="str">
            <v>ALTAMAR</v>
          </cell>
          <cell r="I1952">
            <v>9.4</v>
          </cell>
        </row>
        <row r="1953">
          <cell r="A1953" t="str">
            <v>19-01952</v>
          </cell>
          <cell r="B1953" t="str">
            <v>ORKHON GROUP</v>
          </cell>
          <cell r="C1953" t="str">
            <v>A</v>
          </cell>
          <cell r="D1953" t="str">
            <v>N/A</v>
          </cell>
          <cell r="E1953" t="str">
            <v>98-HT1674-A ALTAMAR SOMBRERO</v>
          </cell>
          <cell r="F1953" t="str">
            <v>SOMBRERO</v>
          </cell>
          <cell r="G1953" t="str">
            <v>98-HT1674-A</v>
          </cell>
          <cell r="H1953" t="str">
            <v>ALTAMAR</v>
          </cell>
          <cell r="I1953">
            <v>9.5</v>
          </cell>
        </row>
        <row r="1954">
          <cell r="A1954" t="str">
            <v>19-01953</v>
          </cell>
          <cell r="B1954" t="str">
            <v>ORKHON GROUP</v>
          </cell>
          <cell r="C1954" t="str">
            <v>A</v>
          </cell>
          <cell r="D1954" t="str">
            <v>N/A</v>
          </cell>
          <cell r="E1954" t="str">
            <v>S1403-34 ALTAMAR SOMBRERO</v>
          </cell>
          <cell r="F1954" t="str">
            <v>SOMBRERO</v>
          </cell>
          <cell r="G1954" t="str">
            <v>S1403-34</v>
          </cell>
          <cell r="H1954" t="str">
            <v>ALTAMAR</v>
          </cell>
          <cell r="I1954">
            <v>9.5</v>
          </cell>
        </row>
        <row r="1955">
          <cell r="A1955" t="str">
            <v>19-01954</v>
          </cell>
          <cell r="B1955" t="str">
            <v>ORKHON GROUP</v>
          </cell>
          <cell r="C1955" t="str">
            <v>A</v>
          </cell>
          <cell r="D1955" t="str">
            <v>N/A</v>
          </cell>
          <cell r="E1955" t="str">
            <v>S1403-03 ALTAMAR SOMBRERO</v>
          </cell>
          <cell r="F1955" t="str">
            <v>SOMBRERO</v>
          </cell>
          <cell r="G1955" t="str">
            <v>S1403-03</v>
          </cell>
          <cell r="H1955" t="str">
            <v>ALTAMAR</v>
          </cell>
          <cell r="I1955">
            <v>10</v>
          </cell>
        </row>
        <row r="1956">
          <cell r="A1956" t="str">
            <v>19-01955</v>
          </cell>
          <cell r="B1956" t="str">
            <v>ORKHON GROUP</v>
          </cell>
          <cell r="C1956" t="str">
            <v>A</v>
          </cell>
          <cell r="D1956" t="str">
            <v>N/A</v>
          </cell>
          <cell r="E1956" t="str">
            <v>S1403-04 ALTAMAR SOMBRERO</v>
          </cell>
          <cell r="F1956" t="str">
            <v>SOMBRERO</v>
          </cell>
          <cell r="G1956" t="str">
            <v>S1403-04</v>
          </cell>
          <cell r="H1956" t="str">
            <v>ALTAMAR</v>
          </cell>
          <cell r="I1956">
            <v>10</v>
          </cell>
        </row>
        <row r="1957">
          <cell r="A1957" t="str">
            <v>19-01956</v>
          </cell>
          <cell r="B1957" t="str">
            <v>ORKHON GROUP</v>
          </cell>
          <cell r="C1957" t="str">
            <v>A</v>
          </cell>
          <cell r="D1957" t="str">
            <v>N/A</v>
          </cell>
          <cell r="E1957" t="str">
            <v>S1403-12 ALTAMAR SOMBRERO</v>
          </cell>
          <cell r="F1957" t="str">
            <v>SOMBRERO</v>
          </cell>
          <cell r="G1957" t="str">
            <v>S1403-12</v>
          </cell>
          <cell r="H1957" t="str">
            <v>ALTAMAR</v>
          </cell>
          <cell r="I1957">
            <v>10</v>
          </cell>
        </row>
        <row r="1958">
          <cell r="A1958" t="str">
            <v>19-01957</v>
          </cell>
          <cell r="B1958" t="str">
            <v>ORKHON GROUP</v>
          </cell>
          <cell r="C1958" t="str">
            <v>A</v>
          </cell>
          <cell r="D1958" t="str">
            <v>N/A</v>
          </cell>
          <cell r="E1958" t="str">
            <v>S1403-22 ALTAMAR SOMBRERO</v>
          </cell>
          <cell r="F1958" t="str">
            <v>SOMBRERO</v>
          </cell>
          <cell r="G1958" t="str">
            <v>S1403-22</v>
          </cell>
          <cell r="H1958" t="str">
            <v>ALTAMAR</v>
          </cell>
          <cell r="I1958">
            <v>10</v>
          </cell>
        </row>
        <row r="1959">
          <cell r="A1959" t="str">
            <v>19-01958</v>
          </cell>
          <cell r="B1959" t="str">
            <v>ORKHON GROUP</v>
          </cell>
          <cell r="C1959" t="str">
            <v>A</v>
          </cell>
          <cell r="D1959" t="str">
            <v>N/A</v>
          </cell>
          <cell r="E1959" t="str">
            <v>S1403-28 ALTAMAR SOMBRERO</v>
          </cell>
          <cell r="F1959" t="str">
            <v>SOMBRERO</v>
          </cell>
          <cell r="G1959" t="str">
            <v>S1403-28</v>
          </cell>
          <cell r="H1959" t="str">
            <v>ALTAMAR</v>
          </cell>
          <cell r="I1959">
            <v>10</v>
          </cell>
        </row>
        <row r="1960">
          <cell r="A1960" t="str">
            <v>19-01959</v>
          </cell>
          <cell r="B1960" t="str">
            <v>ORKHON GROUP</v>
          </cell>
          <cell r="C1960" t="str">
            <v>A</v>
          </cell>
          <cell r="D1960" t="str">
            <v>N/A</v>
          </cell>
          <cell r="E1960" t="str">
            <v>S1403-33 ALTAMAR SOMBRERO</v>
          </cell>
          <cell r="F1960" t="str">
            <v>SOMBRERO</v>
          </cell>
          <cell r="G1960" t="str">
            <v>S1403-33</v>
          </cell>
          <cell r="H1960" t="str">
            <v>ALTAMAR</v>
          </cell>
          <cell r="I1960">
            <v>10</v>
          </cell>
        </row>
        <row r="1961">
          <cell r="A1961" t="str">
            <v>19-01960</v>
          </cell>
          <cell r="B1961" t="str">
            <v>ORKHON GROUP</v>
          </cell>
          <cell r="C1961" t="str">
            <v>A</v>
          </cell>
          <cell r="D1961" t="str">
            <v>N/A</v>
          </cell>
          <cell r="E1961" t="str">
            <v>104-BBH1168 ALTAMAR SOMBRERO</v>
          </cell>
          <cell r="F1961" t="str">
            <v>SOMBRERO</v>
          </cell>
          <cell r="G1961" t="str">
            <v>104-BBH1168</v>
          </cell>
          <cell r="H1961" t="str">
            <v>ALTAMAR</v>
          </cell>
          <cell r="I1961">
            <v>10.199999999999999</v>
          </cell>
        </row>
        <row r="1962">
          <cell r="A1962" t="str">
            <v>19-01961</v>
          </cell>
          <cell r="B1962" t="str">
            <v>ORKHON GROUP</v>
          </cell>
          <cell r="C1962" t="str">
            <v>A</v>
          </cell>
          <cell r="D1962" t="str">
            <v>N/A</v>
          </cell>
          <cell r="E1962" t="str">
            <v>S1403-37 ALTAMAR SOMBRERO</v>
          </cell>
          <cell r="F1962" t="str">
            <v>SOMBRERO</v>
          </cell>
          <cell r="G1962" t="str">
            <v>S1403-37</v>
          </cell>
          <cell r="H1962" t="str">
            <v>ALTAMAR</v>
          </cell>
          <cell r="I1962">
            <v>10.4</v>
          </cell>
        </row>
        <row r="1963">
          <cell r="A1963" t="str">
            <v>19-01962</v>
          </cell>
          <cell r="B1963" t="str">
            <v>ORKHON GROUP</v>
          </cell>
          <cell r="C1963" t="str">
            <v>A</v>
          </cell>
          <cell r="D1963" t="str">
            <v>N/A</v>
          </cell>
          <cell r="E1963" t="str">
            <v>S1403-30 ALTAMAR SOMBRERO</v>
          </cell>
          <cell r="F1963" t="str">
            <v>SOMBRERO</v>
          </cell>
          <cell r="G1963" t="str">
            <v>S1403-30</v>
          </cell>
          <cell r="H1963" t="str">
            <v>ALTAMAR</v>
          </cell>
          <cell r="I1963">
            <v>11</v>
          </cell>
        </row>
        <row r="1964">
          <cell r="A1964" t="str">
            <v>19-01963</v>
          </cell>
          <cell r="B1964" t="str">
            <v>ORKHON GROUP</v>
          </cell>
          <cell r="C1964" t="str">
            <v>A</v>
          </cell>
          <cell r="D1964" t="str">
            <v>N/A</v>
          </cell>
          <cell r="E1964" t="str">
            <v>117-SHT3055 ALTAMAR SOMBRERO</v>
          </cell>
          <cell r="F1964" t="str">
            <v>SOMBRERO</v>
          </cell>
          <cell r="G1964" t="str">
            <v>117-SHT3055</v>
          </cell>
          <cell r="H1964" t="str">
            <v>ALTAMAR</v>
          </cell>
          <cell r="I1964">
            <v>12</v>
          </cell>
        </row>
        <row r="1965">
          <cell r="A1965" t="str">
            <v>19-01964</v>
          </cell>
          <cell r="B1965" t="str">
            <v>ORKHON GROUP</v>
          </cell>
          <cell r="C1965" t="str">
            <v>A</v>
          </cell>
          <cell r="D1965" t="str">
            <v>N/A</v>
          </cell>
          <cell r="E1965" t="str">
            <v>117-SHT3058 ALTAMAR SOMBRERO</v>
          </cell>
          <cell r="F1965" t="str">
            <v>SOMBRERO</v>
          </cell>
          <cell r="G1965" t="str">
            <v>117-SHT3058</v>
          </cell>
          <cell r="H1965" t="str">
            <v>ALTAMAR</v>
          </cell>
          <cell r="I1965">
            <v>13</v>
          </cell>
        </row>
        <row r="1966">
          <cell r="A1966" t="str">
            <v>19-01965</v>
          </cell>
          <cell r="B1966" t="str">
            <v>ORKHON GROUP</v>
          </cell>
          <cell r="C1966" t="str">
            <v>A</v>
          </cell>
          <cell r="D1966" t="str">
            <v>N/A</v>
          </cell>
          <cell r="E1966" t="str">
            <v>117-HT2952 ALTAMAR SOMBRERO</v>
          </cell>
          <cell r="F1966" t="str">
            <v>SOMBRERO</v>
          </cell>
          <cell r="G1966" t="str">
            <v>117-HT2952</v>
          </cell>
          <cell r="H1966" t="str">
            <v>ALTAMAR</v>
          </cell>
          <cell r="I1966">
            <v>13</v>
          </cell>
        </row>
        <row r="1967">
          <cell r="A1967" t="str">
            <v>19-01966</v>
          </cell>
          <cell r="B1967" t="str">
            <v>ORKHON GROUP</v>
          </cell>
          <cell r="C1967" t="str">
            <v>A</v>
          </cell>
          <cell r="D1967" t="str">
            <v>N/A</v>
          </cell>
          <cell r="E1967" t="str">
            <v>S1403-13 ALTAMAR SOMBRERO</v>
          </cell>
          <cell r="F1967" t="str">
            <v>SOMBRERO</v>
          </cell>
          <cell r="G1967" t="str">
            <v>S1403-13</v>
          </cell>
          <cell r="H1967" t="str">
            <v>ALTAMAR</v>
          </cell>
          <cell r="I1967">
            <v>8</v>
          </cell>
        </row>
        <row r="1968">
          <cell r="A1968" t="str">
            <v>19-01967</v>
          </cell>
          <cell r="B1968" t="str">
            <v>WEFORT</v>
          </cell>
          <cell r="C1968" t="str">
            <v>D</v>
          </cell>
          <cell r="D1968" t="str">
            <v>N/A</v>
          </cell>
          <cell r="E1968" t="str">
            <v>2913-D WF WIRE DISPLAY TRAVEL PUZZLES DISCONTINUED</v>
          </cell>
          <cell r="F1968" t="str">
            <v>PUZZLE</v>
          </cell>
          <cell r="G1968" t="str">
            <v>2913-D</v>
          </cell>
          <cell r="H1968" t="str">
            <v>WE FORT</v>
          </cell>
          <cell r="I1968">
            <v>0</v>
          </cell>
        </row>
        <row r="1969">
          <cell r="A1969" t="str">
            <v>19-01968</v>
          </cell>
          <cell r="B1969" t="str">
            <v>WEFORT</v>
          </cell>
          <cell r="C1969" t="str">
            <v>D</v>
          </cell>
          <cell r="D1969" t="str">
            <v>N/A</v>
          </cell>
          <cell r="E1969" t="str">
            <v>2915-6 WF FAIRY TRAVEL POUCH PUZZLE DISCONTINUED</v>
          </cell>
          <cell r="F1969" t="str">
            <v>PUZZLE</v>
          </cell>
          <cell r="G1969" t="str">
            <v>2915-6</v>
          </cell>
          <cell r="H1969" t="str">
            <v>WE FORT</v>
          </cell>
          <cell r="I1969">
            <v>2.4460000000000002</v>
          </cell>
        </row>
        <row r="1970">
          <cell r="A1970" t="str">
            <v>19-01969</v>
          </cell>
          <cell r="B1970" t="str">
            <v>WEFORT</v>
          </cell>
          <cell r="C1970" t="str">
            <v>D</v>
          </cell>
          <cell r="D1970" t="str">
            <v>N/A</v>
          </cell>
          <cell r="E1970" t="str">
            <v>2915-7 WF MERMAIDS TRAVEL POUCH PUZZLE DISCONTINUED</v>
          </cell>
          <cell r="F1970" t="str">
            <v>PUZZLE</v>
          </cell>
          <cell r="G1970" t="str">
            <v>2915-7</v>
          </cell>
          <cell r="H1970" t="str">
            <v>WE FORT</v>
          </cell>
          <cell r="I1970">
            <v>2.4460000000000002</v>
          </cell>
        </row>
        <row r="1971">
          <cell r="A1971" t="str">
            <v>19-01970</v>
          </cell>
          <cell r="B1971" t="str">
            <v>WEFORT</v>
          </cell>
          <cell r="C1971" t="str">
            <v>D</v>
          </cell>
          <cell r="D1971" t="str">
            <v>N/A</v>
          </cell>
          <cell r="E1971" t="str">
            <v>2913-5 WF DANCE TRAVEL POUCH PUZZLE DISCONTINUED</v>
          </cell>
          <cell r="F1971" t="str">
            <v>PUZZLE</v>
          </cell>
          <cell r="G1971" t="str">
            <v>2913-5</v>
          </cell>
          <cell r="H1971" t="str">
            <v>WE FORT</v>
          </cell>
          <cell r="I1971">
            <v>2.4460000000000002</v>
          </cell>
        </row>
        <row r="1972">
          <cell r="A1972" t="str">
            <v>19-01971</v>
          </cell>
          <cell r="B1972" t="str">
            <v>WEFORT</v>
          </cell>
          <cell r="C1972" t="str">
            <v>D</v>
          </cell>
          <cell r="D1972" t="str">
            <v>N/A</v>
          </cell>
          <cell r="E1972" t="str">
            <v>2913-2 WF SPACE TRAVEL POUCH PUZZLE DISCONTINUED</v>
          </cell>
          <cell r="F1972" t="str">
            <v>PUZZLE</v>
          </cell>
          <cell r="G1972" t="str">
            <v>2913-2</v>
          </cell>
          <cell r="H1972" t="str">
            <v>WE FORT</v>
          </cell>
          <cell r="I1972">
            <v>2.4460000000000002</v>
          </cell>
        </row>
        <row r="1973">
          <cell r="A1973" t="str">
            <v>19-01972</v>
          </cell>
          <cell r="B1973" t="str">
            <v>WEFORT</v>
          </cell>
          <cell r="C1973" t="str">
            <v>D</v>
          </cell>
          <cell r="D1973" t="str">
            <v>N/A</v>
          </cell>
          <cell r="E1973" t="str">
            <v>2913-3 WF WORLD TRAVEL POUCH PUZZLE DISCONTINUED</v>
          </cell>
          <cell r="F1973" t="str">
            <v>PUZZLE</v>
          </cell>
          <cell r="G1973" t="str">
            <v>2913-3</v>
          </cell>
          <cell r="H1973" t="str">
            <v>WE FORT</v>
          </cell>
          <cell r="I1973">
            <v>2.4460000000000002</v>
          </cell>
        </row>
        <row r="1974">
          <cell r="A1974" t="str">
            <v>19-01973</v>
          </cell>
          <cell r="B1974" t="str">
            <v>WEFORT</v>
          </cell>
          <cell r="C1974" t="str">
            <v>D</v>
          </cell>
          <cell r="D1974" t="str">
            <v>N/A</v>
          </cell>
          <cell r="E1974" t="str">
            <v>2913-8 WF OCEAN TRAVEL POUCH PUZZLE DISCONTINUED</v>
          </cell>
          <cell r="F1974" t="str">
            <v>PUZZLE</v>
          </cell>
          <cell r="G1974" t="str">
            <v>2913-8</v>
          </cell>
          <cell r="H1974" t="str">
            <v>WE FORT</v>
          </cell>
          <cell r="I1974">
            <v>2.4460000000000002</v>
          </cell>
        </row>
        <row r="1975">
          <cell r="A1975" t="str">
            <v>19-01974</v>
          </cell>
          <cell r="B1975" t="str">
            <v>WEFORT</v>
          </cell>
          <cell r="C1975" t="str">
            <v>D</v>
          </cell>
          <cell r="D1975" t="str">
            <v>N/A</v>
          </cell>
          <cell r="E1975" t="str">
            <v>2915-5 WF ROBOTS TRAVEL POUCH PUZZLE DISCONTINUED</v>
          </cell>
          <cell r="F1975" t="str">
            <v>PUZZLE</v>
          </cell>
          <cell r="G1975" t="str">
            <v>2915-5</v>
          </cell>
          <cell r="H1975" t="str">
            <v>WE FORT</v>
          </cell>
          <cell r="I1975">
            <v>2.4460000000000002</v>
          </cell>
        </row>
        <row r="1976">
          <cell r="A1976" t="str">
            <v>19-01975</v>
          </cell>
          <cell r="B1976" t="str">
            <v>WEFORT</v>
          </cell>
          <cell r="C1976" t="str">
            <v>D</v>
          </cell>
          <cell r="D1976" t="str">
            <v>N/A</v>
          </cell>
          <cell r="E1976" t="str">
            <v>2914-8 WF RACING TRAVEL POUCH PUZZLE DISCONTINUED</v>
          </cell>
          <cell r="F1976" t="str">
            <v>PUZZLE</v>
          </cell>
          <cell r="G1976" t="str">
            <v>2914-8</v>
          </cell>
          <cell r="H1976" t="str">
            <v>WE FORT</v>
          </cell>
          <cell r="I1976">
            <v>2.4460000000000002</v>
          </cell>
        </row>
        <row r="1977">
          <cell r="A1977" t="str">
            <v>19-01976</v>
          </cell>
          <cell r="B1977" t="str">
            <v>WEFORT</v>
          </cell>
          <cell r="C1977" t="str">
            <v>D</v>
          </cell>
          <cell r="D1977" t="str">
            <v>N/A</v>
          </cell>
          <cell r="E1977" t="str">
            <v>2914-7 WF PIRATES TRAVEL POUCH PUZZLE DISCONTINUED</v>
          </cell>
          <cell r="F1977" t="str">
            <v>PUZZLE</v>
          </cell>
          <cell r="G1977" t="str">
            <v>2914-7</v>
          </cell>
          <cell r="H1977" t="str">
            <v>WE FORT</v>
          </cell>
          <cell r="I1977">
            <v>2.4460000000000002</v>
          </cell>
        </row>
        <row r="1978">
          <cell r="A1978" t="str">
            <v>19-01977</v>
          </cell>
          <cell r="B1978" t="str">
            <v>WEFORT</v>
          </cell>
          <cell r="C1978" t="str">
            <v>D</v>
          </cell>
          <cell r="D1978" t="str">
            <v>N/A</v>
          </cell>
          <cell r="E1978" t="str">
            <v>2963-1 WF TWO-SIDED DINOSAURS PUZZLE DISCONTINUED</v>
          </cell>
          <cell r="F1978" t="str">
            <v>PUZZLE</v>
          </cell>
          <cell r="G1978" t="str">
            <v>2963-1</v>
          </cell>
          <cell r="H1978" t="str">
            <v>WE FORT</v>
          </cell>
          <cell r="I1978">
            <v>1.746</v>
          </cell>
        </row>
        <row r="1979">
          <cell r="A1979" t="str">
            <v>19-01978</v>
          </cell>
          <cell r="B1979" t="str">
            <v>WEFORT</v>
          </cell>
          <cell r="C1979" t="str">
            <v>D</v>
          </cell>
          <cell r="D1979" t="str">
            <v>N/A</v>
          </cell>
          <cell r="E1979" t="str">
            <v>2963-3 WF TWO-SIDED SPACE PUZZLE DISCONTINUED</v>
          </cell>
          <cell r="F1979" t="str">
            <v>PUZZLE</v>
          </cell>
          <cell r="G1979" t="str">
            <v>2963-3</v>
          </cell>
          <cell r="H1979" t="str">
            <v>WE FORT</v>
          </cell>
          <cell r="I1979">
            <v>1.746</v>
          </cell>
        </row>
        <row r="1980">
          <cell r="A1980" t="str">
            <v>19-01979</v>
          </cell>
          <cell r="B1980" t="str">
            <v>WEFORT</v>
          </cell>
          <cell r="C1980" t="str">
            <v>D</v>
          </cell>
          <cell r="D1980" t="str">
            <v>N/A</v>
          </cell>
          <cell r="E1980" t="str">
            <v>2363-2 WF TWO-SIDED ROBOTS PUZZLE DISCONTINUED</v>
          </cell>
          <cell r="F1980" t="str">
            <v>PUZZLE</v>
          </cell>
          <cell r="G1980" t="str">
            <v>2363-2</v>
          </cell>
          <cell r="H1980" t="str">
            <v>WE FORT</v>
          </cell>
          <cell r="I1980">
            <v>1.746</v>
          </cell>
        </row>
        <row r="1981">
          <cell r="A1981" t="str">
            <v>19-01980</v>
          </cell>
          <cell r="B1981" t="str">
            <v>WEFORT</v>
          </cell>
          <cell r="C1981" t="str">
            <v>D</v>
          </cell>
          <cell r="D1981" t="str">
            <v>N/A</v>
          </cell>
          <cell r="E1981" t="str">
            <v>2964-3 WF TWO-SIDED PUZZLE FAIRYTALE DISCONTINUED</v>
          </cell>
          <cell r="F1981" t="str">
            <v>PUZZLE</v>
          </cell>
          <cell r="G1981" t="str">
            <v>2964-3</v>
          </cell>
          <cell r="H1981" t="str">
            <v>WE FORT</v>
          </cell>
          <cell r="I1981">
            <v>1.746</v>
          </cell>
        </row>
        <row r="1982">
          <cell r="A1982" t="str">
            <v>19-01981</v>
          </cell>
          <cell r="B1982" t="str">
            <v>WEFORT</v>
          </cell>
          <cell r="C1982" t="str">
            <v>D</v>
          </cell>
          <cell r="D1982" t="str">
            <v>N/A</v>
          </cell>
          <cell r="E1982" t="str">
            <v>2664-2 WF TWO-SIDED PUZZLE HORSE DISCONTINUED</v>
          </cell>
          <cell r="F1982" t="str">
            <v>PUZZLE</v>
          </cell>
          <cell r="G1982" t="str">
            <v>2664-2</v>
          </cell>
          <cell r="H1982" t="str">
            <v>WE FORT</v>
          </cell>
          <cell r="I1982">
            <v>1.746</v>
          </cell>
        </row>
        <row r="1983">
          <cell r="A1983" t="str">
            <v>19-01982</v>
          </cell>
          <cell r="B1983" t="str">
            <v>WEFORT</v>
          </cell>
          <cell r="C1983" t="str">
            <v>D</v>
          </cell>
          <cell r="D1983" t="str">
            <v>N/A</v>
          </cell>
          <cell r="E1983" t="str">
            <v>2964-1 WF TWO-SIDED PUZZLE GARDEN DISCONTINUED</v>
          </cell>
          <cell r="F1983" t="str">
            <v>PUZZLE</v>
          </cell>
          <cell r="G1983" t="str">
            <v>2964-1</v>
          </cell>
          <cell r="H1983" t="str">
            <v>WE FORT</v>
          </cell>
          <cell r="I1983">
            <v>1.746</v>
          </cell>
        </row>
        <row r="1984">
          <cell r="A1984" t="str">
            <v>19-01983</v>
          </cell>
          <cell r="B1984" t="str">
            <v>WEFORT</v>
          </cell>
          <cell r="C1984" t="str">
            <v>D</v>
          </cell>
          <cell r="D1984" t="str">
            <v>N/A</v>
          </cell>
          <cell r="E1984" t="str">
            <v>21216 WF MAGIC ALPHABET FLASH CARDS (27 CARDS) DISCONTINUED</v>
          </cell>
          <cell r="F1984" t="str">
            <v>PUZZLE</v>
          </cell>
          <cell r="G1984">
            <v>21216</v>
          </cell>
          <cell r="H1984" t="str">
            <v>WE FORT</v>
          </cell>
          <cell r="I1984">
            <v>5.5460000000000003</v>
          </cell>
        </row>
        <row r="1985">
          <cell r="A1985" t="str">
            <v>19-01984</v>
          </cell>
          <cell r="B1985" t="str">
            <v>WEFORT</v>
          </cell>
          <cell r="C1985" t="str">
            <v>D</v>
          </cell>
          <cell r="D1985" t="str">
            <v>N/A</v>
          </cell>
          <cell r="E1985" t="str">
            <v>22116 WF MAGIC NUMBERS FLASH CARDS (20 CARDS) DISCONTINUED</v>
          </cell>
          <cell r="F1985" t="str">
            <v>PUZZLE</v>
          </cell>
          <cell r="G1985">
            <v>22116</v>
          </cell>
          <cell r="H1985" t="str">
            <v>WE FORT</v>
          </cell>
          <cell r="I1985">
            <v>5.5460000000000003</v>
          </cell>
        </row>
        <row r="1986">
          <cell r="A1986" t="str">
            <v>19-01985</v>
          </cell>
          <cell r="B1986" t="str">
            <v>WEFORT</v>
          </cell>
          <cell r="C1986" t="str">
            <v>D</v>
          </cell>
          <cell r="D1986" t="str">
            <v>N/A</v>
          </cell>
          <cell r="E1986" t="str">
            <v>24216 WF MAGIC ANIMALS FLASH CARDS (20 CARDS) DISCONTINUED</v>
          </cell>
          <cell r="F1986" t="str">
            <v>PUZZLE</v>
          </cell>
          <cell r="G1986">
            <v>24216</v>
          </cell>
          <cell r="H1986" t="str">
            <v>WE FORT</v>
          </cell>
          <cell r="I1986">
            <v>5.5460000000000003</v>
          </cell>
        </row>
        <row r="1987">
          <cell r="A1987" t="str">
            <v>19-01986</v>
          </cell>
          <cell r="B1987" t="str">
            <v>WEFORT</v>
          </cell>
          <cell r="C1987" t="str">
            <v>D</v>
          </cell>
          <cell r="D1987" t="str">
            <v>N/A</v>
          </cell>
          <cell r="E1987" t="str">
            <v>24116 WF MAGIC OPPOSITES FLASH CARDS (20 CARDS) DISCONTINUED</v>
          </cell>
          <cell r="F1987" t="str">
            <v>PUZZLE</v>
          </cell>
          <cell r="G1987">
            <v>24116</v>
          </cell>
          <cell r="H1987" t="str">
            <v>WE FORT</v>
          </cell>
          <cell r="I1987">
            <v>5.5460000000000003</v>
          </cell>
        </row>
        <row r="1988">
          <cell r="A1988" t="str">
            <v>19-01987</v>
          </cell>
          <cell r="B1988" t="str">
            <v>MOTTA INT.</v>
          </cell>
          <cell r="C1988" t="str">
            <v>A</v>
          </cell>
          <cell r="D1988" t="str">
            <v>NO</v>
          </cell>
          <cell r="E1988" t="str">
            <v>A16122210 HASBRO NERF SOAKER FLASH BLAST DISCONTINUED</v>
          </cell>
          <cell r="F1988" t="str">
            <v>JUGUETES</v>
          </cell>
          <cell r="G1988" t="str">
            <v>A16122210</v>
          </cell>
          <cell r="H1988" t="str">
            <v>HASBRO</v>
          </cell>
          <cell r="I1988">
            <v>6.45</v>
          </cell>
        </row>
        <row r="1989">
          <cell r="A1989" t="str">
            <v>19-01988</v>
          </cell>
          <cell r="B1989" t="str">
            <v>MOTTA INT.</v>
          </cell>
          <cell r="C1989" t="str">
            <v>A</v>
          </cell>
          <cell r="D1989" t="str">
            <v>NO</v>
          </cell>
          <cell r="E1989" t="str">
            <v>A37482210 HASBRO TRANSFORMERS PRIME 12" ACTION FIGURE</v>
          </cell>
          <cell r="F1989" t="str">
            <v>JUGUETES</v>
          </cell>
          <cell r="G1989" t="str">
            <v>A37482210</v>
          </cell>
          <cell r="H1989" t="str">
            <v>HASBRO</v>
          </cell>
          <cell r="I1989">
            <v>6.2</v>
          </cell>
        </row>
        <row r="1990">
          <cell r="A1990" t="str">
            <v>19-01989</v>
          </cell>
          <cell r="B1990" t="str">
            <v>MOTTA INT.</v>
          </cell>
          <cell r="C1990" t="str">
            <v>A</v>
          </cell>
          <cell r="D1990" t="str">
            <v>NO</v>
          </cell>
          <cell r="E1990" t="str">
            <v>A38265730 HASBRO MY LITTLE PONY SO SOFT TIVKLE N GIGGLIN LILY</v>
          </cell>
          <cell r="F1990" t="str">
            <v>JUGUETES</v>
          </cell>
          <cell r="G1990" t="str">
            <v>A38265730</v>
          </cell>
          <cell r="H1990" t="str">
            <v>HASBRO</v>
          </cell>
          <cell r="I1990">
            <v>17</v>
          </cell>
        </row>
        <row r="1991">
          <cell r="A1991" t="str">
            <v>19-01990</v>
          </cell>
          <cell r="B1991" t="str">
            <v>MOTTA INT.</v>
          </cell>
          <cell r="C1991" t="str">
            <v>A</v>
          </cell>
          <cell r="D1991" t="str">
            <v>NO</v>
          </cell>
          <cell r="E1991" t="str">
            <v>A39492210 HASBRO IRON MAN 16" HERO SERIES</v>
          </cell>
          <cell r="F1991" t="str">
            <v>JUGUETES</v>
          </cell>
          <cell r="G1991" t="str">
            <v>A39492210</v>
          </cell>
          <cell r="H1991" t="str">
            <v>HASBRO</v>
          </cell>
          <cell r="I1991">
            <v>13.8</v>
          </cell>
        </row>
        <row r="1992">
          <cell r="A1992" t="str">
            <v>19-01991</v>
          </cell>
          <cell r="B1992" t="str">
            <v>MOTTA INT.</v>
          </cell>
          <cell r="C1992" t="str">
            <v>A</v>
          </cell>
          <cell r="D1992" t="str">
            <v>NO</v>
          </cell>
          <cell r="E1992" t="str">
            <v>A39952211 HASBRO MY LITTLE PONY EQUESTRIA GIRLS WITH PONY</v>
          </cell>
          <cell r="F1992" t="str">
            <v>JUGUETES</v>
          </cell>
          <cell r="G1992" t="str">
            <v>A39952211</v>
          </cell>
          <cell r="H1992" t="str">
            <v>HASBRO</v>
          </cell>
          <cell r="I1992">
            <v>16.55</v>
          </cell>
        </row>
        <row r="1993">
          <cell r="A1993" t="str">
            <v>19-01992</v>
          </cell>
          <cell r="B1993" t="str">
            <v>MOTTA INT.</v>
          </cell>
          <cell r="C1993" t="str">
            <v>A</v>
          </cell>
          <cell r="D1993" t="str">
            <v>NO</v>
          </cell>
          <cell r="E1993" t="str">
            <v>A48362210 HASBRO NERF SOAKER TRI STRIKE CROSSBOW</v>
          </cell>
          <cell r="F1993" t="str">
            <v>JUGUETES</v>
          </cell>
          <cell r="G1993" t="str">
            <v>A48362210</v>
          </cell>
          <cell r="H1993" t="str">
            <v>HASBRO</v>
          </cell>
          <cell r="I1993">
            <v>19.25</v>
          </cell>
        </row>
        <row r="1994">
          <cell r="A1994" t="str">
            <v>19-01993</v>
          </cell>
          <cell r="B1994" t="str">
            <v>MOTTA INT.</v>
          </cell>
          <cell r="C1994" t="str">
            <v>A</v>
          </cell>
          <cell r="D1994" t="str">
            <v>NO</v>
          </cell>
          <cell r="E1994" t="str">
            <v>A48372210 HASBRO NERF SOAKER BARRAGE</v>
          </cell>
          <cell r="F1994" t="str">
            <v>JUGUETES</v>
          </cell>
          <cell r="G1994" t="str">
            <v>A48372210</v>
          </cell>
          <cell r="H1994" t="str">
            <v>HASBRO</v>
          </cell>
          <cell r="I1994">
            <v>15.5</v>
          </cell>
        </row>
        <row r="1995">
          <cell r="A1995" t="str">
            <v>19-01994</v>
          </cell>
          <cell r="B1995" t="str">
            <v>MOTTA INT.</v>
          </cell>
          <cell r="C1995" t="str">
            <v>A</v>
          </cell>
          <cell r="D1995" t="str">
            <v>NO</v>
          </cell>
          <cell r="E1995" t="str">
            <v>A48382210 HASBRO NERF SOAKER FREEZEFIRE</v>
          </cell>
          <cell r="F1995" t="str">
            <v>JUGUETES</v>
          </cell>
          <cell r="G1995" t="str">
            <v>A48382210</v>
          </cell>
          <cell r="H1995" t="str">
            <v>HASBRO</v>
          </cell>
          <cell r="I1995">
            <v>8</v>
          </cell>
        </row>
        <row r="1996">
          <cell r="A1996" t="str">
            <v>19-01995</v>
          </cell>
          <cell r="B1996" t="str">
            <v>MOTTA INT.</v>
          </cell>
          <cell r="C1996" t="str">
            <v>A</v>
          </cell>
          <cell r="D1996" t="str">
            <v>NO</v>
          </cell>
          <cell r="E1996" t="str">
            <v>A48402230 HASBRO NERF SOAKER DOUBLE DRENCH</v>
          </cell>
          <cell r="F1996" t="str">
            <v>JUGUETES</v>
          </cell>
          <cell r="G1996" t="str">
            <v>A48402230</v>
          </cell>
          <cell r="H1996" t="str">
            <v>HASBRO</v>
          </cell>
          <cell r="I1996">
            <v>10.15</v>
          </cell>
        </row>
        <row r="1997">
          <cell r="A1997" t="str">
            <v>19-01996</v>
          </cell>
          <cell r="B1997" t="str">
            <v>MOTTA INT.</v>
          </cell>
          <cell r="C1997" t="str">
            <v>A</v>
          </cell>
          <cell r="D1997" t="str">
            <v>NO</v>
          </cell>
          <cell r="E1997" t="str">
            <v>A49402210 HASBRO THOR 12" TITAN HERO FIGURE</v>
          </cell>
          <cell r="F1997" t="str">
            <v>JUGUETES</v>
          </cell>
          <cell r="G1997" t="str">
            <v>A49402210</v>
          </cell>
          <cell r="H1997" t="str">
            <v>HASBRO</v>
          </cell>
          <cell r="I1997">
            <v>6.5</v>
          </cell>
        </row>
        <row r="1998">
          <cell r="A1998" t="str">
            <v>19-01997</v>
          </cell>
          <cell r="B1998" t="str">
            <v>MOTTA INT.</v>
          </cell>
          <cell r="C1998" t="str">
            <v>A</v>
          </cell>
          <cell r="D1998" t="str">
            <v>NO</v>
          </cell>
          <cell r="E1998" t="str">
            <v>A51175730 HASBRO TRANSFORMERS PRIME BEAST HUNTER</v>
          </cell>
          <cell r="F1998" t="str">
            <v>JUGUETES</v>
          </cell>
          <cell r="G1998" t="str">
            <v>A51175730</v>
          </cell>
          <cell r="H1998" t="str">
            <v>HASBRO</v>
          </cell>
          <cell r="I1998">
            <v>32.15</v>
          </cell>
        </row>
        <row r="1999">
          <cell r="A1999" t="str">
            <v>19-01998</v>
          </cell>
          <cell r="B1999" t="str">
            <v>MOTTA INT.</v>
          </cell>
          <cell r="C1999" t="str">
            <v>A</v>
          </cell>
          <cell r="D1999" t="str">
            <v>NO</v>
          </cell>
          <cell r="E1999" t="str">
            <v>A57142210 HASBRO SPIDERMAN TRIPLE ATTACK FIGURE</v>
          </cell>
          <cell r="F1999" t="str">
            <v>JUGUETES</v>
          </cell>
          <cell r="G1999" t="str">
            <v>A57142210</v>
          </cell>
          <cell r="H1999" t="str">
            <v>HASBRO</v>
          </cell>
          <cell r="I1999">
            <v>17.100000000000001</v>
          </cell>
        </row>
        <row r="2000">
          <cell r="A2000" t="str">
            <v>19-01999</v>
          </cell>
          <cell r="B2000" t="str">
            <v>MOTTA INT.</v>
          </cell>
          <cell r="C2000" t="str">
            <v>A</v>
          </cell>
          <cell r="D2000" t="str">
            <v>NO</v>
          </cell>
          <cell r="E2000" t="str">
            <v>A61492210 HASBRO TRANSFORMERS MOVIE 4 CONSTRUCT DINOBOT WARRIORS</v>
          </cell>
          <cell r="F2000" t="str">
            <v>JUGUETES</v>
          </cell>
          <cell r="G2000" t="str">
            <v>A61492210</v>
          </cell>
          <cell r="H2000" t="str">
            <v>HASBRO</v>
          </cell>
          <cell r="I2000">
            <v>16.7</v>
          </cell>
        </row>
        <row r="2001">
          <cell r="A2001" t="str">
            <v>19-02000</v>
          </cell>
          <cell r="B2001" t="str">
            <v>MOTTA INT.</v>
          </cell>
          <cell r="C2001" t="str">
            <v>A</v>
          </cell>
          <cell r="D2001" t="str">
            <v>NO</v>
          </cell>
          <cell r="E2001" t="str">
            <v>A65082210 HASBRO TRANSFORMERS MOVIE 4 GENERATIONS DELUXE</v>
          </cell>
          <cell r="F2001" t="str">
            <v>JUGUETES</v>
          </cell>
          <cell r="G2001" t="str">
            <v>A65082210</v>
          </cell>
          <cell r="H2001" t="str">
            <v>HASBRO</v>
          </cell>
          <cell r="I2001">
            <v>11.15</v>
          </cell>
        </row>
        <row r="2002">
          <cell r="A2002" t="str">
            <v>19-02001</v>
          </cell>
          <cell r="B2002" t="str">
            <v>MOTTA INT.</v>
          </cell>
          <cell r="C2002" t="str">
            <v>A</v>
          </cell>
          <cell r="D2002" t="str">
            <v>NO</v>
          </cell>
          <cell r="E2002" t="str">
            <v>A65132210 HASBRO TRANSFORMERS MOVIE 4 GENERATIONS VOYAGER</v>
          </cell>
          <cell r="F2002" t="str">
            <v>JUGUETES</v>
          </cell>
          <cell r="G2002" t="str">
            <v>A65132210</v>
          </cell>
          <cell r="H2002" t="str">
            <v>HASBRO</v>
          </cell>
          <cell r="I2002">
            <v>19.100000000000001</v>
          </cell>
        </row>
        <row r="2003">
          <cell r="A2003" t="str">
            <v>19-02002</v>
          </cell>
          <cell r="B2003" t="str">
            <v>MOTTA INT.</v>
          </cell>
          <cell r="C2003" t="str">
            <v>A</v>
          </cell>
          <cell r="D2003" t="str">
            <v>NO</v>
          </cell>
          <cell r="E2003" t="str">
            <v>A66832210 HASBRO MY LITTLE PONY EQUESTRIA GIRLS DOLL THAT ROCKS</v>
          </cell>
          <cell r="F2003" t="str">
            <v>JUGUETES</v>
          </cell>
          <cell r="G2003" t="str">
            <v>A66832210</v>
          </cell>
          <cell r="H2003" t="str">
            <v>HASBRO</v>
          </cell>
          <cell r="I2003">
            <v>17.55</v>
          </cell>
        </row>
        <row r="2004">
          <cell r="A2004" t="str">
            <v>19-02003</v>
          </cell>
          <cell r="B2004" t="str">
            <v>MOTTA INT.</v>
          </cell>
          <cell r="C2004" t="str">
            <v>A</v>
          </cell>
          <cell r="D2004" t="str">
            <v>NO</v>
          </cell>
          <cell r="E2004" t="str">
            <v>A74072210 HASBRO SPIDERMAN SPIDER FORCE WEB BLASTER</v>
          </cell>
          <cell r="F2004" t="str">
            <v>JUGUETES</v>
          </cell>
          <cell r="G2004" t="str">
            <v>A74072210</v>
          </cell>
          <cell r="H2004" t="str">
            <v>HASBRO</v>
          </cell>
          <cell r="I2004">
            <v>16.7</v>
          </cell>
        </row>
        <row r="2005">
          <cell r="A2005" t="str">
            <v>19-02004</v>
          </cell>
          <cell r="B2005" t="str">
            <v>MOTTA INT.</v>
          </cell>
          <cell r="C2005" t="str">
            <v>A</v>
          </cell>
          <cell r="D2005" t="str">
            <v>NO</v>
          </cell>
          <cell r="E2005" t="str">
            <v>398295730 HASBRO TONKA CHUCK &amp; FRIENDS TUMBLING CHUCK</v>
          </cell>
          <cell r="F2005" t="str">
            <v>JUGUETES</v>
          </cell>
          <cell r="G2005">
            <v>398295730</v>
          </cell>
          <cell r="H2005" t="str">
            <v>HASBRO</v>
          </cell>
          <cell r="I2005">
            <v>35.299999999999997</v>
          </cell>
        </row>
        <row r="2006">
          <cell r="A2006" t="str">
            <v>19-02005</v>
          </cell>
          <cell r="B2006" t="str">
            <v>MOTTA INT.</v>
          </cell>
          <cell r="C2006" t="str">
            <v>A</v>
          </cell>
          <cell r="D2006" t="str">
            <v>NO</v>
          </cell>
          <cell r="E2006" t="str">
            <v>988585731 HASBRO BABY ALIVE ALL GONE WITH ROOTED HAIR</v>
          </cell>
          <cell r="F2006" t="str">
            <v>JUGUETES</v>
          </cell>
          <cell r="G2006">
            <v>988585731</v>
          </cell>
          <cell r="H2006" t="str">
            <v>HASBRO</v>
          </cell>
          <cell r="I2006">
            <v>26.8</v>
          </cell>
        </row>
        <row r="2007">
          <cell r="A2007" t="str">
            <v>19-02006</v>
          </cell>
          <cell r="B2007" t="str">
            <v>MOTTA INT.</v>
          </cell>
          <cell r="C2007" t="str">
            <v>D</v>
          </cell>
          <cell r="D2007" t="str">
            <v>N/A</v>
          </cell>
          <cell r="E2007" t="str">
            <v>ILEG10673 LEGO JUNIORS RACE CAR RALLY V39 DISCONTINUED</v>
          </cell>
          <cell r="F2007" t="str">
            <v>JUGUETES</v>
          </cell>
          <cell r="G2007" t="str">
            <v>ILEG10673</v>
          </cell>
          <cell r="H2007" t="str">
            <v>LEGO</v>
          </cell>
          <cell r="I2007">
            <v>29.7</v>
          </cell>
        </row>
        <row r="2008">
          <cell r="A2008" t="str">
            <v>19-02007</v>
          </cell>
          <cell r="B2008" t="str">
            <v>MOTTA INT.</v>
          </cell>
          <cell r="C2008" t="str">
            <v>D</v>
          </cell>
          <cell r="D2008" t="str">
            <v>N/A</v>
          </cell>
          <cell r="E2008" t="str">
            <v>ILEG31007 LEGO CREATOR POWER MECH V29 DISCONTINUED</v>
          </cell>
          <cell r="F2008" t="str">
            <v>JUGUETES</v>
          </cell>
          <cell r="G2008" t="str">
            <v>ILEG31007</v>
          </cell>
          <cell r="H2008" t="str">
            <v>LEGO</v>
          </cell>
          <cell r="I2008">
            <v>22</v>
          </cell>
        </row>
        <row r="2009">
          <cell r="A2009" t="str">
            <v>19-02008</v>
          </cell>
          <cell r="B2009" t="str">
            <v>MOTTA INT.</v>
          </cell>
          <cell r="C2009" t="str">
            <v>D</v>
          </cell>
          <cell r="D2009" t="str">
            <v>N/A</v>
          </cell>
          <cell r="E2009" t="str">
            <v>ILEG31008 LEGO CREATOR THUNDER WINGS V29 DISCONTINUED</v>
          </cell>
          <cell r="F2009" t="str">
            <v>JUGUETES</v>
          </cell>
          <cell r="G2009" t="str">
            <v>ILEG31008</v>
          </cell>
          <cell r="H2009" t="str">
            <v>LEGO</v>
          </cell>
          <cell r="I2009">
            <v>16</v>
          </cell>
        </row>
        <row r="2010">
          <cell r="A2010" t="str">
            <v>19-02009</v>
          </cell>
          <cell r="B2010" t="str">
            <v>MOTTA INT.</v>
          </cell>
          <cell r="C2010" t="str">
            <v>D</v>
          </cell>
          <cell r="D2010" t="str">
            <v>N/A</v>
          </cell>
          <cell r="E2010" t="str">
            <v>ILEG31017 LEGO CREATOR SUNSET SPEEDER DISCONTINUED</v>
          </cell>
          <cell r="F2010" t="str">
            <v>JUGUETES</v>
          </cell>
          <cell r="G2010" t="str">
            <v>ILEG31017</v>
          </cell>
          <cell r="H2010" t="str">
            <v>LEGO</v>
          </cell>
          <cell r="I2010">
            <v>12.3</v>
          </cell>
        </row>
        <row r="2011">
          <cell r="A2011" t="str">
            <v>19-02010</v>
          </cell>
          <cell r="B2011" t="str">
            <v>MOTTA INT.</v>
          </cell>
          <cell r="C2011" t="str">
            <v>D</v>
          </cell>
          <cell r="D2011" t="str">
            <v>N/A</v>
          </cell>
          <cell r="E2011" t="str">
            <v>ILEG31018 LEGO CREATOR HIGHWAY CRUISER DISCONTINUED</v>
          </cell>
          <cell r="F2011" t="str">
            <v>JUGUETES</v>
          </cell>
          <cell r="G2011" t="str">
            <v>ILEG31018</v>
          </cell>
          <cell r="H2011" t="str">
            <v>LEGO</v>
          </cell>
          <cell r="I2011">
            <v>12.1</v>
          </cell>
        </row>
        <row r="2012">
          <cell r="A2012" t="str">
            <v>19-02011</v>
          </cell>
          <cell r="B2012" t="str">
            <v>MOTTA INT.</v>
          </cell>
          <cell r="C2012" t="str">
            <v>D</v>
          </cell>
          <cell r="D2012" t="str">
            <v>N/A</v>
          </cell>
          <cell r="E2012" t="str">
            <v>ILEG31022 LEGO CREATOR TURBO QUAD DISCONTINUED</v>
          </cell>
          <cell r="F2012" t="str">
            <v>JUGUETES</v>
          </cell>
          <cell r="G2012" t="str">
            <v>ILEG31022</v>
          </cell>
          <cell r="H2012" t="str">
            <v>LEGO</v>
          </cell>
          <cell r="I2012">
            <v>23.7</v>
          </cell>
        </row>
        <row r="2013">
          <cell r="A2013" t="str">
            <v>19-02012</v>
          </cell>
          <cell r="B2013" t="str">
            <v>MOTTA INT.</v>
          </cell>
          <cell r="C2013" t="str">
            <v>D</v>
          </cell>
          <cell r="D2013" t="str">
            <v>N/A</v>
          </cell>
          <cell r="E2013" t="str">
            <v>ILEG41013 LEGO FRIENDS EMMA'S SPORT CAR DISCONTINUED</v>
          </cell>
          <cell r="F2013" t="str">
            <v>JUGUETES</v>
          </cell>
          <cell r="G2013" t="str">
            <v>ILEG41013</v>
          </cell>
          <cell r="H2013" t="str">
            <v>LEGO</v>
          </cell>
          <cell r="I2013">
            <v>14.85</v>
          </cell>
        </row>
        <row r="2014">
          <cell r="A2014" t="str">
            <v>19-02013</v>
          </cell>
          <cell r="B2014" t="str">
            <v>MOTTA INT.</v>
          </cell>
          <cell r="C2014" t="str">
            <v>D</v>
          </cell>
          <cell r="D2014" t="str">
            <v>N/A</v>
          </cell>
          <cell r="E2014" t="str">
            <v>ILEG41035 LEGO FRIENDS HEARTLAKE JUICE BAR DISCONTINUED</v>
          </cell>
          <cell r="F2014" t="str">
            <v>JUGUETES</v>
          </cell>
          <cell r="G2014" t="str">
            <v>ILEG41035</v>
          </cell>
          <cell r="H2014" t="str">
            <v>LEGO</v>
          </cell>
          <cell r="I2014">
            <v>29.8</v>
          </cell>
        </row>
        <row r="2015">
          <cell r="A2015" t="str">
            <v>19-02014</v>
          </cell>
          <cell r="B2015" t="str">
            <v>MOTTA INT.</v>
          </cell>
          <cell r="C2015" t="str">
            <v>D</v>
          </cell>
          <cell r="D2015" t="str">
            <v>N/A</v>
          </cell>
          <cell r="E2015" t="str">
            <v>ILEG42025 LEGO TECHNIC CARGO PLANE DISCONTINUED</v>
          </cell>
          <cell r="F2015" t="str">
            <v>JUGUETES</v>
          </cell>
          <cell r="G2015" t="str">
            <v>ILEG42025</v>
          </cell>
          <cell r="H2015" t="str">
            <v>LEGO</v>
          </cell>
          <cell r="I2015">
            <v>130.69999999999999</v>
          </cell>
        </row>
        <row r="2016">
          <cell r="A2016" t="str">
            <v>19-02015</v>
          </cell>
          <cell r="B2016" t="str">
            <v>MOTTA INT.</v>
          </cell>
          <cell r="C2016" t="str">
            <v>D</v>
          </cell>
          <cell r="D2016" t="str">
            <v>N/A</v>
          </cell>
          <cell r="E2016" t="str">
            <v>ILEG60022 LEGO CITY CARGO TERMINAL V29 DISCONTINUED</v>
          </cell>
          <cell r="F2016" t="str">
            <v>JUGUETES</v>
          </cell>
          <cell r="G2016" t="str">
            <v>ILEG60022</v>
          </cell>
          <cell r="H2016" t="str">
            <v>LEGO</v>
          </cell>
          <cell r="I2016">
            <v>85</v>
          </cell>
        </row>
        <row r="2017">
          <cell r="A2017" t="str">
            <v>19-02016</v>
          </cell>
          <cell r="B2017" t="str">
            <v>MOTTA INT.</v>
          </cell>
          <cell r="C2017" t="str">
            <v>D</v>
          </cell>
          <cell r="D2017" t="str">
            <v>N/A</v>
          </cell>
          <cell r="E2017" t="str">
            <v>ILEG60025 LEGO CITY GRAND PRIX TRUCK DISCONTINUED</v>
          </cell>
          <cell r="F2017" t="str">
            <v>JUGUETES</v>
          </cell>
          <cell r="G2017" t="str">
            <v>ILEG60025</v>
          </cell>
          <cell r="H2017" t="str">
            <v>LEGO</v>
          </cell>
          <cell r="I2017">
            <v>29.75</v>
          </cell>
        </row>
        <row r="2018">
          <cell r="A2018" t="str">
            <v>19-02017</v>
          </cell>
          <cell r="B2018" t="str">
            <v>MOTTA INT.</v>
          </cell>
          <cell r="C2018" t="str">
            <v>D</v>
          </cell>
          <cell r="D2018" t="str">
            <v>N/A</v>
          </cell>
          <cell r="E2018" t="str">
            <v>ILEG60056 LEGO CITY TOW TRUCK DISCONTINUED</v>
          </cell>
          <cell r="F2018" t="str">
            <v>JUGUETES</v>
          </cell>
          <cell r="G2018" t="str">
            <v>ILEG60056</v>
          </cell>
          <cell r="H2018" t="str">
            <v>LEGO</v>
          </cell>
          <cell r="I2018">
            <v>20.8</v>
          </cell>
        </row>
        <row r="2019">
          <cell r="A2019" t="str">
            <v>19-02018</v>
          </cell>
          <cell r="B2019" t="str">
            <v>MOTTA INT.</v>
          </cell>
          <cell r="C2019" t="str">
            <v>D</v>
          </cell>
          <cell r="D2019" t="str">
            <v>N/A</v>
          </cell>
          <cell r="E2019" t="str">
            <v>ILEG60060 LEGO CITY AUTO TRANSPORTER DISCONTINUED</v>
          </cell>
          <cell r="F2019" t="str">
            <v>JUGUETES</v>
          </cell>
          <cell r="G2019" t="str">
            <v>ILEG60060</v>
          </cell>
          <cell r="H2019" t="str">
            <v>LEGO</v>
          </cell>
          <cell r="I2019">
            <v>29.8</v>
          </cell>
        </row>
        <row r="2020">
          <cell r="A2020" t="str">
            <v>19-02019</v>
          </cell>
          <cell r="B2020" t="str">
            <v>MOTTA INT.</v>
          </cell>
          <cell r="C2020" t="str">
            <v>D</v>
          </cell>
          <cell r="D2020" t="str">
            <v>N/A</v>
          </cell>
          <cell r="E2020" t="str">
            <v>ILEG60061 LEGO CITY AIRPORT FIRE TRUCK DISCONTINUED</v>
          </cell>
          <cell r="F2020" t="str">
            <v>JUGUETES</v>
          </cell>
          <cell r="G2020" t="str">
            <v>ILEG60061</v>
          </cell>
          <cell r="H2020" t="str">
            <v>LEGO</v>
          </cell>
          <cell r="I2020">
            <v>18.55</v>
          </cell>
        </row>
        <row r="2021">
          <cell r="A2021" t="str">
            <v>19-02020</v>
          </cell>
          <cell r="B2021" t="str">
            <v>MOTTA INT.</v>
          </cell>
          <cell r="C2021" t="str">
            <v>D</v>
          </cell>
          <cell r="D2021" t="str">
            <v>N/A</v>
          </cell>
          <cell r="E2021" t="str">
            <v>ILEG6059272 LEGO MINIFIGURES SERIE M V29 DISCONTINUED</v>
          </cell>
          <cell r="F2021" t="str">
            <v>JUGUETES</v>
          </cell>
          <cell r="G2021" t="str">
            <v>ILEG6059272</v>
          </cell>
          <cell r="H2021" t="str">
            <v>LEGO</v>
          </cell>
          <cell r="I2021">
            <v>2.35</v>
          </cell>
        </row>
        <row r="2022">
          <cell r="A2022" t="str">
            <v>19-02021</v>
          </cell>
          <cell r="B2022" t="str">
            <v>MOTTA INT.</v>
          </cell>
          <cell r="C2022" t="str">
            <v>D</v>
          </cell>
          <cell r="D2022" t="str">
            <v>N/A</v>
          </cell>
          <cell r="E2022" t="str">
            <v>ILEG70005 LEGO CHIMA LAVAL'S ROYAL FIGHTER DISCONTINUED</v>
          </cell>
          <cell r="F2022" t="str">
            <v>JUGUETES</v>
          </cell>
          <cell r="G2022" t="str">
            <v>ILEG70005</v>
          </cell>
          <cell r="H2022" t="str">
            <v>LEGO</v>
          </cell>
          <cell r="I2022">
            <v>25</v>
          </cell>
        </row>
        <row r="2023">
          <cell r="A2023" t="str">
            <v>19-02022</v>
          </cell>
          <cell r="B2023" t="str">
            <v>MOTTA INT.</v>
          </cell>
          <cell r="C2023" t="str">
            <v>D</v>
          </cell>
          <cell r="D2023" t="str">
            <v>N/A</v>
          </cell>
          <cell r="E2023" t="str">
            <v>ILEG70129 LEGO CHIMA LAVERTURS TWIN BLADE DISCONTINUED</v>
          </cell>
          <cell r="F2023" t="str">
            <v>JUGUETES</v>
          </cell>
          <cell r="G2023" t="str">
            <v>ILEG70129</v>
          </cell>
          <cell r="H2023" t="str">
            <v>LEGO</v>
          </cell>
          <cell r="I2023">
            <v>19</v>
          </cell>
        </row>
        <row r="2024">
          <cell r="A2024" t="str">
            <v>19-02023</v>
          </cell>
          <cell r="B2024" t="str">
            <v>MOTTA INT.</v>
          </cell>
          <cell r="C2024" t="str">
            <v>D</v>
          </cell>
          <cell r="D2024" t="str">
            <v>N/A</v>
          </cell>
          <cell r="E2024" t="str">
            <v>ILEG70130 LEGO CHIMA SPARRATUS SPIDER STALKER DISCONTINUED</v>
          </cell>
          <cell r="F2024" t="str">
            <v>JUGUETES</v>
          </cell>
          <cell r="G2024" t="str">
            <v>ILEG70130</v>
          </cell>
          <cell r="H2024" t="str">
            <v>LEGO</v>
          </cell>
          <cell r="I2024">
            <v>26</v>
          </cell>
        </row>
        <row r="2025">
          <cell r="A2025" t="str">
            <v>19-02024</v>
          </cell>
          <cell r="B2025" t="str">
            <v>MOTTA INT.</v>
          </cell>
          <cell r="C2025" t="str">
            <v>D</v>
          </cell>
          <cell r="D2025" t="str">
            <v>N/A</v>
          </cell>
          <cell r="E2025" t="str">
            <v>ILEG70131 LEGO CHIMA ROGONS ROCK FINGER DISCONTINUED</v>
          </cell>
          <cell r="F2025" t="str">
            <v>JUGUETES</v>
          </cell>
          <cell r="G2025" t="str">
            <v>ILEG70131</v>
          </cell>
          <cell r="H2025" t="str">
            <v>LEGO</v>
          </cell>
          <cell r="I2025">
            <v>31.2</v>
          </cell>
        </row>
        <row r="2026">
          <cell r="A2026" t="str">
            <v>19-02025</v>
          </cell>
          <cell r="B2026" t="str">
            <v>MOTTA INT.</v>
          </cell>
          <cell r="C2026" t="str">
            <v>D</v>
          </cell>
          <cell r="D2026" t="str">
            <v>N/A</v>
          </cell>
          <cell r="E2026" t="str">
            <v>ILEG70132 LEGO CHIMA SCORMS SCORPIONS STINGER DISCONTINUED</v>
          </cell>
          <cell r="F2026" t="str">
            <v>JUGUETES</v>
          </cell>
          <cell r="G2026" t="str">
            <v>ILEG70132</v>
          </cell>
          <cell r="H2026" t="str">
            <v>LEGO</v>
          </cell>
          <cell r="I2026">
            <v>41.6</v>
          </cell>
        </row>
        <row r="2027">
          <cell r="A2027" t="str">
            <v>19-02026</v>
          </cell>
          <cell r="B2027" t="str">
            <v>MOTTA INT.</v>
          </cell>
          <cell r="C2027" t="str">
            <v>D</v>
          </cell>
          <cell r="D2027" t="str">
            <v>N/A</v>
          </cell>
          <cell r="E2027" t="str">
            <v>ILEG70502 LEGO CHIMA COLE'S EARTH DRILLER V29 DISCONTINUED</v>
          </cell>
          <cell r="F2027" t="str">
            <v>JUGUETES</v>
          </cell>
          <cell r="G2027" t="str">
            <v>ILEG70502</v>
          </cell>
          <cell r="H2027" t="str">
            <v>LEGO</v>
          </cell>
          <cell r="I2027">
            <v>19.2</v>
          </cell>
        </row>
        <row r="2028">
          <cell r="A2028" t="str">
            <v>19-02027</v>
          </cell>
          <cell r="B2028" t="str">
            <v>MOTTA INT.</v>
          </cell>
          <cell r="C2028" t="str">
            <v>D</v>
          </cell>
          <cell r="D2028" t="str">
            <v>N/A</v>
          </cell>
          <cell r="E2028" t="str">
            <v>ILEG70503 LEGO NINJAGO THE GOLDEN DRAGON DISCONTINUED</v>
          </cell>
          <cell r="F2028" t="str">
            <v>JUGUETES</v>
          </cell>
          <cell r="G2028" t="str">
            <v>ILEG70503</v>
          </cell>
          <cell r="H2028" t="str">
            <v>LEGO</v>
          </cell>
          <cell r="I2028">
            <v>29.35</v>
          </cell>
        </row>
        <row r="2029">
          <cell r="A2029" t="str">
            <v>19-02028</v>
          </cell>
          <cell r="B2029" t="str">
            <v>MOTTA INT.</v>
          </cell>
          <cell r="C2029" t="str">
            <v>D</v>
          </cell>
          <cell r="D2029" t="str">
            <v>N/A</v>
          </cell>
          <cell r="E2029" t="str">
            <v>ILEG70504 LEGO CHIMA GARMATRON V29 DISCONTINUED</v>
          </cell>
          <cell r="F2029" t="str">
            <v>JUGUETES</v>
          </cell>
          <cell r="G2029" t="str">
            <v>ILEG70504</v>
          </cell>
          <cell r="H2029" t="str">
            <v>LEGO</v>
          </cell>
          <cell r="I2029">
            <v>41.6</v>
          </cell>
        </row>
        <row r="2030">
          <cell r="A2030" t="str">
            <v>19-02029</v>
          </cell>
          <cell r="B2030" t="str">
            <v>MOTTA INT.</v>
          </cell>
          <cell r="C2030" t="str">
            <v>D</v>
          </cell>
          <cell r="D2030" t="str">
            <v>N/A</v>
          </cell>
          <cell r="E2030" t="str">
            <v>ILEG70721 LEGO NINJAGO KAI FIGHTER DISCONTINUED</v>
          </cell>
          <cell r="F2030" t="str">
            <v>JUGUETES</v>
          </cell>
          <cell r="G2030" t="str">
            <v>ILEG70721</v>
          </cell>
          <cell r="H2030" t="str">
            <v>LEGO</v>
          </cell>
          <cell r="I2030">
            <v>18.350000000000001</v>
          </cell>
        </row>
        <row r="2031">
          <cell r="A2031" t="str">
            <v>19-02030</v>
          </cell>
          <cell r="B2031" t="str">
            <v>MOTTA INT.</v>
          </cell>
          <cell r="C2031" t="str">
            <v>D</v>
          </cell>
          <cell r="D2031" t="str">
            <v>N/A</v>
          </cell>
          <cell r="E2031" t="str">
            <v>ILEG70805 LEGO THE LEGO MOVIE TRASH CHOMPER DISCONTINUED</v>
          </cell>
          <cell r="F2031" t="str">
            <v>JUGUETES</v>
          </cell>
          <cell r="G2031" t="str">
            <v>ILEG70805</v>
          </cell>
          <cell r="H2031" t="str">
            <v>LEGO</v>
          </cell>
          <cell r="I2031">
            <v>21.5</v>
          </cell>
        </row>
        <row r="2032">
          <cell r="A2032" t="str">
            <v>19-02031</v>
          </cell>
          <cell r="B2032" t="str">
            <v>MOTTA INT.</v>
          </cell>
          <cell r="C2032" t="str">
            <v>D</v>
          </cell>
          <cell r="D2032" t="str">
            <v>N/A</v>
          </cell>
          <cell r="E2032" t="str">
            <v>ILEG75002 LEGO STAR WARS AT-RT (TM) DISCONTINUED</v>
          </cell>
          <cell r="F2032" t="str">
            <v>JUGUETES</v>
          </cell>
          <cell r="G2032" t="str">
            <v>ILEG75002</v>
          </cell>
          <cell r="H2032" t="str">
            <v>LEGO</v>
          </cell>
          <cell r="I2032">
            <v>19.25</v>
          </cell>
        </row>
        <row r="2033">
          <cell r="A2033" t="str">
            <v>19-02032</v>
          </cell>
          <cell r="B2033" t="str">
            <v>MOTTA INT.</v>
          </cell>
          <cell r="C2033" t="str">
            <v>D</v>
          </cell>
          <cell r="D2033" t="str">
            <v>N/A</v>
          </cell>
          <cell r="E2033" t="str">
            <v>ILEG75030 LEGO STAR WARS MILLENIUN FALCON V39 DISCONTINUED</v>
          </cell>
          <cell r="F2033" t="str">
            <v>JUGUETES</v>
          </cell>
          <cell r="G2033" t="str">
            <v>ILEG75030</v>
          </cell>
          <cell r="H2033" t="str">
            <v>LEGO</v>
          </cell>
          <cell r="I2033">
            <v>9.4499999999999993</v>
          </cell>
        </row>
        <row r="2034">
          <cell r="A2034" t="str">
            <v>19-02033</v>
          </cell>
          <cell r="B2034" t="str">
            <v>MOTTA INT.</v>
          </cell>
          <cell r="C2034" t="str">
            <v>D</v>
          </cell>
          <cell r="D2034" t="str">
            <v>N/A</v>
          </cell>
          <cell r="E2034" t="str">
            <v>ILEG75031 LEGO STAR WARS TIE INTERCEPTOR DISCONTINUED</v>
          </cell>
          <cell r="F2034" t="str">
            <v>JUGUETES</v>
          </cell>
          <cell r="G2034" t="str">
            <v>ILEG75031</v>
          </cell>
          <cell r="H2034" t="str">
            <v>LEGO</v>
          </cell>
          <cell r="I2034">
            <v>9.4499999999999993</v>
          </cell>
        </row>
        <row r="2035">
          <cell r="A2035" t="str">
            <v>19-02034</v>
          </cell>
          <cell r="B2035" t="str">
            <v>MOTTA INT.</v>
          </cell>
          <cell r="C2035" t="str">
            <v>D</v>
          </cell>
          <cell r="D2035" t="str">
            <v>N/A</v>
          </cell>
          <cell r="E2035" t="str">
            <v>ILEG75032 LEGO STAR WARS X-WING FIGHTER V39 DISCONTINUED</v>
          </cell>
          <cell r="F2035" t="str">
            <v>JUGUETES</v>
          </cell>
          <cell r="G2035" t="str">
            <v>ILEG75032</v>
          </cell>
          <cell r="H2035" t="str">
            <v>LEGO</v>
          </cell>
          <cell r="I2035">
            <v>10.55</v>
          </cell>
        </row>
        <row r="2036">
          <cell r="A2036" t="str">
            <v>19-02035</v>
          </cell>
          <cell r="B2036" t="str">
            <v>MOTTA INT.</v>
          </cell>
          <cell r="C2036" t="str">
            <v>D</v>
          </cell>
          <cell r="D2036" t="str">
            <v>N/A</v>
          </cell>
          <cell r="E2036" t="str">
            <v>ILEG75033 LEGO STAR WARS STAR DESTROYER DISCONTINUED</v>
          </cell>
          <cell r="F2036" t="str">
            <v>JUGUETES</v>
          </cell>
          <cell r="G2036" t="str">
            <v>ILEG75033</v>
          </cell>
          <cell r="H2036" t="str">
            <v>LEGO</v>
          </cell>
          <cell r="I2036">
            <v>9.4499999999999993</v>
          </cell>
        </row>
        <row r="2037">
          <cell r="A2037" t="str">
            <v>19-02036</v>
          </cell>
          <cell r="B2037" t="str">
            <v>MOTTA INT.</v>
          </cell>
          <cell r="C2037" t="str">
            <v>D</v>
          </cell>
          <cell r="D2037" t="str">
            <v>N/A</v>
          </cell>
          <cell r="E2037" t="str">
            <v>ILEG75040 LEGO STAR WARS GENERAL GRIEVOUS WHEEL BIKE DISCONTINUED</v>
          </cell>
          <cell r="F2037" t="str">
            <v>JUGUETES</v>
          </cell>
          <cell r="G2037" t="str">
            <v>ILEG75040</v>
          </cell>
          <cell r="H2037" t="str">
            <v>LEGO</v>
          </cell>
          <cell r="I2037">
            <v>26.35</v>
          </cell>
        </row>
        <row r="2038">
          <cell r="A2038" t="str">
            <v>19-02037</v>
          </cell>
          <cell r="B2038" t="str">
            <v>MOTTA INT.</v>
          </cell>
          <cell r="C2038" t="str">
            <v>D</v>
          </cell>
          <cell r="D2038" t="str">
            <v>N/A</v>
          </cell>
          <cell r="E2038" t="str">
            <v>ILEG75041 LEGO STAR WARS VULTURE DROID DISCONTINUED</v>
          </cell>
          <cell r="F2038" t="str">
            <v>JUGUETES</v>
          </cell>
          <cell r="G2038" t="str">
            <v>ILEG75041</v>
          </cell>
          <cell r="H2038" t="str">
            <v>LEGO</v>
          </cell>
          <cell r="I2038">
            <v>20</v>
          </cell>
        </row>
        <row r="2039">
          <cell r="A2039" t="str">
            <v>19-02038</v>
          </cell>
          <cell r="B2039" t="str">
            <v>MOTTA INT.</v>
          </cell>
          <cell r="C2039" t="str">
            <v>D</v>
          </cell>
          <cell r="D2039" t="str">
            <v>N/A</v>
          </cell>
          <cell r="E2039" t="str">
            <v>ILEG76012 LEGO SUPER HEROES BATMAN THE RIDDLER CHASE DISCONTINUED</v>
          </cell>
          <cell r="F2039" t="str">
            <v>JUGUETES</v>
          </cell>
          <cell r="G2039" t="str">
            <v>ILEG76012</v>
          </cell>
          <cell r="H2039" t="str">
            <v>LEGO</v>
          </cell>
          <cell r="I2039">
            <v>25</v>
          </cell>
        </row>
        <row r="2040">
          <cell r="A2040" t="str">
            <v>19-02039</v>
          </cell>
          <cell r="B2040" t="str">
            <v>MOTTA INT.</v>
          </cell>
          <cell r="C2040" t="str">
            <v>D</v>
          </cell>
          <cell r="D2040" t="str">
            <v>N/A</v>
          </cell>
          <cell r="E2040" t="str">
            <v>ILEG76015 LEGO SUPER HEROES DOCK OCK TRUCK HEIST DISCONTINUED</v>
          </cell>
          <cell r="F2040" t="str">
            <v>JUGUETES</v>
          </cell>
          <cell r="G2040" t="str">
            <v>ILEG76015</v>
          </cell>
          <cell r="H2040" t="str">
            <v>LEGO</v>
          </cell>
          <cell r="I2040">
            <v>20.100000000000001</v>
          </cell>
        </row>
        <row r="2041">
          <cell r="A2041" t="str">
            <v>19-02040</v>
          </cell>
          <cell r="B2041" t="str">
            <v>MOTTA INT.</v>
          </cell>
          <cell r="C2041" t="str">
            <v>D</v>
          </cell>
          <cell r="D2041" t="str">
            <v>N/A</v>
          </cell>
          <cell r="E2041" t="str">
            <v>ILEG76017 LEGO SUPER HEROES CAPTAIN AMERICA VS HYDRA DISCONTINUED</v>
          </cell>
          <cell r="F2041" t="str">
            <v>JUGUETES</v>
          </cell>
          <cell r="G2041" t="str">
            <v>ILEG76017</v>
          </cell>
          <cell r="H2041" t="str">
            <v>LEGO</v>
          </cell>
          <cell r="I2041">
            <v>21.1</v>
          </cell>
        </row>
        <row r="2042">
          <cell r="A2042" t="str">
            <v>19-02041</v>
          </cell>
          <cell r="B2042" t="str">
            <v>MOTTA INT.</v>
          </cell>
          <cell r="C2042" t="str">
            <v>D</v>
          </cell>
          <cell r="D2042" t="str">
            <v>N/A</v>
          </cell>
          <cell r="E2042" t="str">
            <v>ILEG79100 LEGO NINJA TURTLE KRAANG LAB ESCAPE DISCONTINUED</v>
          </cell>
          <cell r="F2042" t="str">
            <v>JUGUETES</v>
          </cell>
          <cell r="G2042" t="str">
            <v>ILEG79100</v>
          </cell>
          <cell r="H2042" t="str">
            <v>LEGO</v>
          </cell>
          <cell r="I2042">
            <v>13.7</v>
          </cell>
        </row>
        <row r="2043">
          <cell r="A2043" t="str">
            <v>19-02042</v>
          </cell>
          <cell r="B2043" t="str">
            <v>MOTTA INT.</v>
          </cell>
          <cell r="C2043" t="str">
            <v>D</v>
          </cell>
          <cell r="D2043" t="str">
            <v>N/A</v>
          </cell>
          <cell r="E2043" t="str">
            <v>ILEG79120 LEGO NINJA TURTLE T-RAWKET SKY STIKE V39 DISCONTINUED</v>
          </cell>
          <cell r="F2043" t="str">
            <v>JUGUETES</v>
          </cell>
          <cell r="G2043" t="str">
            <v>ILEG79120</v>
          </cell>
          <cell r="H2043" t="str">
            <v>LEGO</v>
          </cell>
          <cell r="I2043">
            <v>32.9</v>
          </cell>
        </row>
        <row r="2044">
          <cell r="A2044" t="str">
            <v>19-02043</v>
          </cell>
          <cell r="B2044" t="str">
            <v>WORLD WISHES</v>
          </cell>
          <cell r="C2044" t="str">
            <v>D</v>
          </cell>
          <cell r="D2044" t="str">
            <v>N/A</v>
          </cell>
          <cell r="E2044" t="str">
            <v>95-1039 CRAYOLA DIGITOOLS PAINT PACK DISCONTINUED</v>
          </cell>
          <cell r="F2044" t="str">
            <v>SCHOOL SUPPLIES</v>
          </cell>
          <cell r="G2044" t="str">
            <v>95-1039</v>
          </cell>
          <cell r="H2044" t="str">
            <v>CRAYOLA</v>
          </cell>
          <cell r="I2044">
            <v>16</v>
          </cell>
        </row>
        <row r="2045">
          <cell r="A2045" t="str">
            <v>19-02044</v>
          </cell>
          <cell r="B2045" t="str">
            <v>WORLD WISHES</v>
          </cell>
          <cell r="C2045" t="str">
            <v>P</v>
          </cell>
          <cell r="D2045" t="str">
            <v>N/A</v>
          </cell>
          <cell r="E2045" t="str">
            <v>04-1917 CRAYOLA VIRTUAL DESING PRO FASHION COLLECTION</v>
          </cell>
          <cell r="F2045" t="str">
            <v>SCHOOL SUPPLIES</v>
          </cell>
          <cell r="G2045">
            <v>6301</v>
          </cell>
          <cell r="H2045" t="str">
            <v>CRAYOLA</v>
          </cell>
          <cell r="I2045">
            <v>19.5</v>
          </cell>
        </row>
        <row r="2046">
          <cell r="A2046" t="str">
            <v>19-02045</v>
          </cell>
          <cell r="B2046" t="str">
            <v>WORLD WISHES</v>
          </cell>
          <cell r="C2046" t="str">
            <v>D</v>
          </cell>
          <cell r="D2046" t="str">
            <v>N/A</v>
          </cell>
          <cell r="E2046" t="str">
            <v>04-1918 CRAYOLA VIRTUAL DESING PRO CAR COLLECTION DISCONTINUED</v>
          </cell>
          <cell r="F2046" t="str">
            <v>SCHOOL SUPPLIES</v>
          </cell>
          <cell r="G2046">
            <v>6666</v>
          </cell>
          <cell r="H2046" t="str">
            <v>CRAYOLA</v>
          </cell>
          <cell r="I2046">
            <v>19.5</v>
          </cell>
        </row>
        <row r="2047">
          <cell r="A2047" t="str">
            <v>19-02046</v>
          </cell>
          <cell r="B2047" t="str">
            <v>WORLD WISHES</v>
          </cell>
          <cell r="C2047" t="str">
            <v>D</v>
          </cell>
          <cell r="D2047" t="str">
            <v>N/A</v>
          </cell>
          <cell r="E2047" t="str">
            <v>04-1620 CRAYOLA MY VIRTUAL FASHION SHOW DISCONTINUED</v>
          </cell>
          <cell r="F2047" t="str">
            <v>SCHOOL SUPPLIES</v>
          </cell>
          <cell r="G2047" t="str">
            <v>04-1620</v>
          </cell>
          <cell r="H2047" t="str">
            <v>CRAYOLA</v>
          </cell>
          <cell r="I2047">
            <v>12</v>
          </cell>
        </row>
        <row r="2048">
          <cell r="A2048" t="str">
            <v>19-02047</v>
          </cell>
          <cell r="B2048" t="str">
            <v>ORKHON GROUP</v>
          </cell>
          <cell r="C2048" t="str">
            <v>A</v>
          </cell>
          <cell r="D2048" t="str">
            <v>N/A</v>
          </cell>
          <cell r="E2048" t="str">
            <v>2D-5009/A1308-167 ALTAMAR PULSERA CLOE</v>
          </cell>
          <cell r="F2048" t="str">
            <v>PULSERA</v>
          </cell>
          <cell r="G2048" t="str">
            <v>2D-5009/A1308-167</v>
          </cell>
          <cell r="H2048" t="str">
            <v>ALTAMAR</v>
          </cell>
          <cell r="I2048">
            <v>1.05</v>
          </cell>
        </row>
        <row r="2049">
          <cell r="A2049" t="str">
            <v>19-02048</v>
          </cell>
          <cell r="B2049" t="str">
            <v>ORKHON GROUP</v>
          </cell>
          <cell r="C2049" t="str">
            <v>A</v>
          </cell>
          <cell r="D2049" t="str">
            <v>N/A</v>
          </cell>
          <cell r="E2049" t="str">
            <v>2D-5009/A1308-168 ALTAMAR PULSERA CLOE</v>
          </cell>
          <cell r="F2049" t="str">
            <v>PULSERA</v>
          </cell>
          <cell r="G2049" t="str">
            <v>2D-5009/A1308-168</v>
          </cell>
          <cell r="H2049" t="str">
            <v>ALTAMAR</v>
          </cell>
          <cell r="I2049">
            <v>1.26</v>
          </cell>
        </row>
        <row r="2050">
          <cell r="A2050" t="str">
            <v>19-02049</v>
          </cell>
          <cell r="B2050" t="str">
            <v>ORKHON GROUP</v>
          </cell>
          <cell r="C2050" t="str">
            <v>A</v>
          </cell>
          <cell r="D2050" t="str">
            <v>N/A</v>
          </cell>
          <cell r="E2050" t="str">
            <v>2D-5009/A1308-169 ALTAMAR PULSERA CLOE</v>
          </cell>
          <cell r="F2050" t="str">
            <v>PULSERA</v>
          </cell>
          <cell r="G2050" t="str">
            <v>A000899</v>
          </cell>
          <cell r="H2050" t="str">
            <v>ALTAMAR</v>
          </cell>
          <cell r="I2050">
            <v>1.17</v>
          </cell>
        </row>
        <row r="2051">
          <cell r="A2051" t="str">
            <v>19-02050</v>
          </cell>
          <cell r="B2051" t="str">
            <v>ORKHON GROUP</v>
          </cell>
          <cell r="C2051" t="str">
            <v>A</v>
          </cell>
          <cell r="D2051" t="str">
            <v>N/A</v>
          </cell>
          <cell r="E2051" t="str">
            <v>C1403-28 ALTAMAR CESTA</v>
          </cell>
          <cell r="F2051" t="str">
            <v>BOLSO</v>
          </cell>
          <cell r="G2051" t="str">
            <v>A005462</v>
          </cell>
          <cell r="H2051" t="str">
            <v>ALTAMAR</v>
          </cell>
          <cell r="I2051">
            <v>4.3</v>
          </cell>
        </row>
        <row r="2052">
          <cell r="A2052" t="str">
            <v>19-02051</v>
          </cell>
          <cell r="B2052" t="str">
            <v>ORKHON GROUP</v>
          </cell>
          <cell r="C2052" t="str">
            <v>A</v>
          </cell>
          <cell r="D2052" t="str">
            <v>SI</v>
          </cell>
          <cell r="E2052" t="str">
            <v>19-02051 SOFT COMFORT KIDS NECK PILLOW ASSORTED COLORS</v>
          </cell>
          <cell r="F2052" t="str">
            <v>ALMOHADA</v>
          </cell>
          <cell r="G2052" t="str">
            <v>19-02051</v>
          </cell>
          <cell r="H2052" t="str">
            <v>SOFT COMFORT</v>
          </cell>
          <cell r="I2052">
            <v>2.5</v>
          </cell>
        </row>
        <row r="2053">
          <cell r="A2053" t="str">
            <v>19-02052</v>
          </cell>
          <cell r="B2053" t="str">
            <v>ORKHON GROUP</v>
          </cell>
          <cell r="C2053" t="str">
            <v>A</v>
          </cell>
          <cell r="D2053" t="str">
            <v>SI</v>
          </cell>
          <cell r="E2053" t="str">
            <v>19-02052 SOFT COMFORT KIDS CHARACTERS NECK PILLOWS</v>
          </cell>
          <cell r="F2053" t="str">
            <v>ALMOHADA</v>
          </cell>
          <cell r="G2053" t="str">
            <v>19-02052</v>
          </cell>
          <cell r="H2053" t="str">
            <v>SOFT COMFORT</v>
          </cell>
          <cell r="I2053">
            <v>2.65</v>
          </cell>
        </row>
        <row r="2054">
          <cell r="A2054" t="str">
            <v>19-02053</v>
          </cell>
          <cell r="B2054" t="str">
            <v>ORKHON GROUP</v>
          </cell>
          <cell r="C2054" t="str">
            <v>A</v>
          </cell>
          <cell r="D2054" t="str">
            <v>SI</v>
          </cell>
          <cell r="E2054" t="str">
            <v>19-02053 SOFT COMFORT KIDS BACK PACK WITH NECK PILLOW</v>
          </cell>
          <cell r="F2054" t="str">
            <v>ALMOHADA</v>
          </cell>
          <cell r="G2054" t="str">
            <v>19-02053</v>
          </cell>
          <cell r="H2054" t="str">
            <v>SOFT COMFORT</v>
          </cell>
          <cell r="I2054">
            <v>7.43</v>
          </cell>
        </row>
        <row r="2055">
          <cell r="A2055" t="str">
            <v>19-02054</v>
          </cell>
          <cell r="B2055" t="str">
            <v>ORKHON GROUP</v>
          </cell>
          <cell r="C2055" t="str">
            <v>A</v>
          </cell>
          <cell r="D2055" t="str">
            <v>SI</v>
          </cell>
          <cell r="E2055" t="str">
            <v>19-02054 SOFT COMFORT KIDS BACK PACK WITH NECK PILLOW</v>
          </cell>
          <cell r="F2055" t="str">
            <v>ALMOHADA</v>
          </cell>
          <cell r="G2055" t="str">
            <v>19-02054</v>
          </cell>
          <cell r="H2055" t="str">
            <v>SOFT COMFORT</v>
          </cell>
          <cell r="I2055">
            <v>6.6</v>
          </cell>
        </row>
        <row r="2056">
          <cell r="A2056" t="str">
            <v>19-02055</v>
          </cell>
          <cell r="B2056" t="str">
            <v>ORKHON GROUP</v>
          </cell>
          <cell r="C2056" t="str">
            <v>A</v>
          </cell>
          <cell r="D2056" t="str">
            <v>SI</v>
          </cell>
          <cell r="E2056" t="str">
            <v>19-02055 SOFT COMFORT BACK PACK VACA</v>
          </cell>
          <cell r="F2056" t="str">
            <v>BAG</v>
          </cell>
          <cell r="G2056" t="str">
            <v>19-02055</v>
          </cell>
          <cell r="H2056" t="str">
            <v>SOFT COMFORT</v>
          </cell>
          <cell r="I2056">
            <v>8.24</v>
          </cell>
        </row>
        <row r="2057">
          <cell r="A2057" t="str">
            <v>19-02056</v>
          </cell>
          <cell r="B2057" t="str">
            <v>ORKHON GROUP</v>
          </cell>
          <cell r="C2057" t="str">
            <v>A</v>
          </cell>
          <cell r="D2057" t="str">
            <v>NO</v>
          </cell>
          <cell r="E2057" t="str">
            <v>19-02056 SOFT COMFORT BACK PACK OVEJA</v>
          </cell>
          <cell r="F2057" t="str">
            <v>BAG</v>
          </cell>
          <cell r="G2057" t="str">
            <v>19-02056</v>
          </cell>
          <cell r="H2057" t="str">
            <v>SOFT COMFORT</v>
          </cell>
          <cell r="I2057">
            <v>8.66</v>
          </cell>
        </row>
        <row r="2058">
          <cell r="A2058" t="str">
            <v>19-02057</v>
          </cell>
          <cell r="B2058" t="str">
            <v>ORKHON GROUP</v>
          </cell>
          <cell r="C2058" t="str">
            <v>A</v>
          </cell>
          <cell r="D2058" t="str">
            <v>SI</v>
          </cell>
          <cell r="E2058" t="str">
            <v>19-02057 SOFT COMFORT BACK PACK PATO</v>
          </cell>
          <cell r="F2058" t="str">
            <v>BAG</v>
          </cell>
          <cell r="G2058" t="str">
            <v>19-02057</v>
          </cell>
          <cell r="H2058" t="str">
            <v>SOFT COMFORT</v>
          </cell>
          <cell r="I2058">
            <v>7.91</v>
          </cell>
        </row>
        <row r="2059">
          <cell r="A2059" t="str">
            <v>19-02058</v>
          </cell>
          <cell r="B2059" t="str">
            <v>TDL</v>
          </cell>
          <cell r="C2059" t="str">
            <v>A</v>
          </cell>
          <cell r="D2059" t="str">
            <v>N/A</v>
          </cell>
          <cell r="E2059" t="str">
            <v>A70577 AG SPF 15 CONT. SP. W/BRONZER 6oz</v>
          </cell>
          <cell r="F2059" t="str">
            <v>SUN BLOCK</v>
          </cell>
          <cell r="G2059" t="str">
            <v>A70577</v>
          </cell>
          <cell r="H2059" t="str">
            <v>AUSTRALIAN GOLD</v>
          </cell>
          <cell r="I2059">
            <v>6.25</v>
          </cell>
        </row>
        <row r="2060">
          <cell r="A2060" t="str">
            <v>19-02059</v>
          </cell>
          <cell r="B2060" t="str">
            <v xml:space="preserve">GLOBAL INVESTMENTS </v>
          </cell>
          <cell r="C2060" t="str">
            <v>D</v>
          </cell>
          <cell r="D2060" t="str">
            <v>N/A</v>
          </cell>
          <cell r="E2060" t="str">
            <v>A70594 AG SPF 15 CONTINUOUS SPRAY CLEAR DISCONTINUED</v>
          </cell>
          <cell r="F2060" t="str">
            <v>SUN BLOCK</v>
          </cell>
          <cell r="G2060" t="str">
            <v>A70594</v>
          </cell>
          <cell r="H2060" t="str">
            <v>AUSTRALIAN GOLD</v>
          </cell>
          <cell r="I2060">
            <v>6.5</v>
          </cell>
        </row>
        <row r="2061">
          <cell r="A2061" t="str">
            <v>19-02060</v>
          </cell>
          <cell r="B2061" t="str">
            <v xml:space="preserve">GLOBAL INVESTMENTS </v>
          </cell>
          <cell r="C2061" t="str">
            <v>D</v>
          </cell>
          <cell r="D2061" t="str">
            <v>N/A</v>
          </cell>
          <cell r="E2061" t="str">
            <v>A70578 AG SPF 30+ CONTINUOUS SPRAY CLEAR DISCONTINUED</v>
          </cell>
          <cell r="F2061" t="str">
            <v>SUN BLOCK</v>
          </cell>
          <cell r="G2061" t="str">
            <v>A70578</v>
          </cell>
          <cell r="H2061" t="str">
            <v>AUSTRALIAN GOLD</v>
          </cell>
          <cell r="I2061">
            <v>6.5</v>
          </cell>
        </row>
        <row r="2062">
          <cell r="A2062" t="str">
            <v>19-02061</v>
          </cell>
          <cell r="B2062" t="str">
            <v>TDL</v>
          </cell>
          <cell r="C2062" t="str">
            <v>A</v>
          </cell>
          <cell r="D2062" t="str">
            <v>N/A</v>
          </cell>
          <cell r="E2062" t="str">
            <v>A70580 AG SPF 50+ CONT SPRAY SPORT 6OZ</v>
          </cell>
          <cell r="F2062" t="str">
            <v>SUN BLOCK</v>
          </cell>
          <cell r="G2062" t="str">
            <v>A70580</v>
          </cell>
          <cell r="H2062" t="str">
            <v>AUSTRALIAN GOLD</v>
          </cell>
          <cell r="I2062">
            <v>6.25</v>
          </cell>
        </row>
        <row r="2063">
          <cell r="A2063" t="str">
            <v>19-02062</v>
          </cell>
          <cell r="B2063" t="str">
            <v>ORKHON GROUP</v>
          </cell>
          <cell r="C2063" t="str">
            <v>A</v>
          </cell>
          <cell r="D2063" t="str">
            <v>N/A</v>
          </cell>
          <cell r="E2063" t="str">
            <v>S1407-08 ALTAMAR SOMBRERO</v>
          </cell>
          <cell r="F2063" t="str">
            <v>SOMBRERO</v>
          </cell>
          <cell r="G2063" t="str">
            <v>A005758</v>
          </cell>
          <cell r="H2063" t="str">
            <v>ALTAMAR</v>
          </cell>
          <cell r="I2063">
            <v>8</v>
          </cell>
        </row>
        <row r="2064">
          <cell r="A2064" t="str">
            <v>19-02063</v>
          </cell>
          <cell r="B2064" t="str">
            <v>ORKHON GROUP</v>
          </cell>
          <cell r="C2064" t="str">
            <v>A</v>
          </cell>
          <cell r="D2064" t="str">
            <v>N/A</v>
          </cell>
          <cell r="E2064" t="str">
            <v>S1407-03 ALTAMAR SOMBRERO</v>
          </cell>
          <cell r="F2064" t="str">
            <v>SOMBRERO</v>
          </cell>
          <cell r="G2064" t="str">
            <v>A005759</v>
          </cell>
          <cell r="H2064" t="str">
            <v>ALTAMAR</v>
          </cell>
          <cell r="I2064">
            <v>7</v>
          </cell>
        </row>
        <row r="2065">
          <cell r="A2065" t="str">
            <v>19-02064</v>
          </cell>
          <cell r="B2065" t="str">
            <v>ORKHON GROUP</v>
          </cell>
          <cell r="C2065" t="str">
            <v>A</v>
          </cell>
          <cell r="D2065" t="str">
            <v>N/A</v>
          </cell>
          <cell r="E2065" t="str">
            <v>S1407-12 ALTAMAR SOMBRERO</v>
          </cell>
          <cell r="F2065" t="str">
            <v>SOMBRERO</v>
          </cell>
          <cell r="G2065" t="str">
            <v>A005760</v>
          </cell>
          <cell r="H2065" t="str">
            <v>ALTAMAR</v>
          </cell>
          <cell r="I2065">
            <v>9</v>
          </cell>
        </row>
        <row r="2066">
          <cell r="A2066" t="str">
            <v>19-02065</v>
          </cell>
          <cell r="B2066" t="str">
            <v>ORKHON GROUP</v>
          </cell>
          <cell r="C2066" t="str">
            <v>A</v>
          </cell>
          <cell r="D2066" t="str">
            <v>N/A</v>
          </cell>
          <cell r="E2066" t="str">
            <v>S1407-04 ALTAMAR SOMBRERO</v>
          </cell>
          <cell r="F2066" t="str">
            <v>SOMBRERO</v>
          </cell>
          <cell r="G2066" t="str">
            <v>A005761</v>
          </cell>
          <cell r="H2066" t="str">
            <v>ALTAMAR</v>
          </cell>
          <cell r="I2066">
            <v>8</v>
          </cell>
        </row>
        <row r="2067">
          <cell r="A2067" t="str">
            <v>19-02066</v>
          </cell>
          <cell r="B2067" t="str">
            <v>ORKHON GROUP</v>
          </cell>
          <cell r="C2067" t="str">
            <v>A</v>
          </cell>
          <cell r="D2067" t="str">
            <v>N/A</v>
          </cell>
          <cell r="E2067" t="str">
            <v>S1407-16 ALTAMAR SOMBRERO A/A</v>
          </cell>
          <cell r="F2067" t="str">
            <v>SOMBRERO</v>
          </cell>
          <cell r="G2067" t="str">
            <v>A005762</v>
          </cell>
          <cell r="H2067" t="str">
            <v>ALTAMAR</v>
          </cell>
          <cell r="I2067">
            <v>12</v>
          </cell>
        </row>
        <row r="2068">
          <cell r="A2068" t="str">
            <v>19-02067</v>
          </cell>
          <cell r="B2068" t="str">
            <v>ORKHON GROUP</v>
          </cell>
          <cell r="C2068" t="str">
            <v>A</v>
          </cell>
          <cell r="D2068" t="str">
            <v>N/A</v>
          </cell>
          <cell r="E2068" t="str">
            <v>S1407-14 ALTAMAR SOMBRERO A/A</v>
          </cell>
          <cell r="F2068" t="str">
            <v>SOMBRERO</v>
          </cell>
          <cell r="G2068" t="str">
            <v>A005763</v>
          </cell>
          <cell r="H2068" t="str">
            <v>ALTAMAR</v>
          </cell>
          <cell r="I2068">
            <v>12</v>
          </cell>
        </row>
        <row r="2069">
          <cell r="A2069" t="str">
            <v>19-02068</v>
          </cell>
          <cell r="B2069" t="str">
            <v>ORKHON GROUP</v>
          </cell>
          <cell r="C2069" t="str">
            <v>A</v>
          </cell>
          <cell r="D2069" t="str">
            <v>N/A</v>
          </cell>
          <cell r="E2069" t="str">
            <v>S1407-21 ALTAMAR SOMBRERO</v>
          </cell>
          <cell r="F2069" t="str">
            <v>SOMBRERO</v>
          </cell>
          <cell r="G2069" t="str">
            <v>A005764</v>
          </cell>
          <cell r="H2069" t="str">
            <v>ALTAMAR</v>
          </cell>
          <cell r="I2069">
            <v>10</v>
          </cell>
        </row>
        <row r="2070">
          <cell r="A2070" t="str">
            <v>19-02069</v>
          </cell>
          <cell r="B2070" t="str">
            <v>ORKHON GROUP</v>
          </cell>
          <cell r="C2070" t="str">
            <v>A</v>
          </cell>
          <cell r="D2070" t="str">
            <v>N/A</v>
          </cell>
          <cell r="E2070" t="str">
            <v>S1407-22 ALTAMAR SOMBRERO</v>
          </cell>
          <cell r="F2070" t="str">
            <v>SOMBRERO</v>
          </cell>
          <cell r="G2070" t="str">
            <v>A005765</v>
          </cell>
          <cell r="H2070" t="str">
            <v>ALTAMAR</v>
          </cell>
          <cell r="I2070">
            <v>10</v>
          </cell>
        </row>
        <row r="2071">
          <cell r="A2071" t="str">
            <v>19-02070</v>
          </cell>
          <cell r="B2071" t="str">
            <v>ORKHON GROUP</v>
          </cell>
          <cell r="C2071" t="str">
            <v>A</v>
          </cell>
          <cell r="D2071" t="str">
            <v>N/A</v>
          </cell>
          <cell r="E2071" t="str">
            <v>S1407-25 ALTAMAR SOMBRERO</v>
          </cell>
          <cell r="F2071" t="str">
            <v>SOMBRERO</v>
          </cell>
          <cell r="G2071" t="str">
            <v>A005766</v>
          </cell>
          <cell r="H2071" t="str">
            <v>ALTAMAR</v>
          </cell>
          <cell r="I2071">
            <v>9</v>
          </cell>
        </row>
        <row r="2072">
          <cell r="A2072" t="str">
            <v>19-02071</v>
          </cell>
          <cell r="B2072" t="str">
            <v>ORKHON GROUP</v>
          </cell>
          <cell r="C2072" t="str">
            <v>A</v>
          </cell>
          <cell r="D2072" t="str">
            <v>N/A</v>
          </cell>
          <cell r="E2072" t="str">
            <v>S1407-27 ALTAMAR SOMBRERO</v>
          </cell>
          <cell r="F2072" t="str">
            <v>SOMBRERO</v>
          </cell>
          <cell r="G2072" t="str">
            <v>A005767</v>
          </cell>
          <cell r="H2072" t="str">
            <v>ALTAMAR</v>
          </cell>
          <cell r="I2072">
            <v>9</v>
          </cell>
        </row>
        <row r="2073">
          <cell r="A2073" t="str">
            <v>19-02072</v>
          </cell>
          <cell r="B2073" t="str">
            <v>ORKHON GROUP</v>
          </cell>
          <cell r="C2073" t="str">
            <v>A</v>
          </cell>
          <cell r="D2073" t="str">
            <v>N/A</v>
          </cell>
          <cell r="E2073" t="str">
            <v>S1407-26 ALTAMAR SOMBRERO</v>
          </cell>
          <cell r="F2073" t="str">
            <v>SOMBRERO</v>
          </cell>
          <cell r="G2073" t="str">
            <v>A005768</v>
          </cell>
          <cell r="H2073" t="str">
            <v>ALTAMAR</v>
          </cell>
          <cell r="I2073">
            <v>8</v>
          </cell>
        </row>
        <row r="2074">
          <cell r="A2074" t="str">
            <v>19-02073</v>
          </cell>
          <cell r="B2074" t="str">
            <v>ORKHON GROUP</v>
          </cell>
          <cell r="C2074" t="str">
            <v>A</v>
          </cell>
          <cell r="D2074" t="str">
            <v>N/A</v>
          </cell>
          <cell r="E2074" t="str">
            <v>117-FHT3040 ALTAMAR SOMBRERO</v>
          </cell>
          <cell r="F2074" t="str">
            <v>SOMBRERO</v>
          </cell>
          <cell r="G2074" t="str">
            <v>117-FHT3040</v>
          </cell>
          <cell r="H2074" t="str">
            <v>ALTAMAR</v>
          </cell>
          <cell r="I2074">
            <v>10.199999999999999</v>
          </cell>
        </row>
        <row r="2075">
          <cell r="A2075" t="str">
            <v>19-02074</v>
          </cell>
          <cell r="B2075" t="str">
            <v>ORKHON GROUP</v>
          </cell>
          <cell r="C2075" t="str">
            <v>A</v>
          </cell>
          <cell r="D2075" t="str">
            <v>N/A</v>
          </cell>
          <cell r="E2075" t="str">
            <v>S1407-38 ALTAMAR SOMBRERO</v>
          </cell>
          <cell r="F2075" t="str">
            <v>SOMBRERO</v>
          </cell>
          <cell r="G2075" t="str">
            <v>A005783</v>
          </cell>
          <cell r="H2075" t="str">
            <v>ALTAMAR</v>
          </cell>
          <cell r="I2075">
            <v>9</v>
          </cell>
        </row>
        <row r="2076">
          <cell r="A2076" t="str">
            <v>19-02075</v>
          </cell>
          <cell r="B2076" t="str">
            <v>ORKHON GROUP</v>
          </cell>
          <cell r="C2076" t="str">
            <v>A</v>
          </cell>
          <cell r="D2076" t="str">
            <v>N/A</v>
          </cell>
          <cell r="E2076" t="str">
            <v>S1407-45 ALTAMAR SOMBRERO A/A</v>
          </cell>
          <cell r="F2076" t="str">
            <v>SOMBRERO</v>
          </cell>
          <cell r="G2076" t="str">
            <v>A005784</v>
          </cell>
          <cell r="H2076" t="str">
            <v>ALTAMAR</v>
          </cell>
          <cell r="I2076">
            <v>10</v>
          </cell>
        </row>
        <row r="2077">
          <cell r="A2077" t="str">
            <v>19-02076</v>
          </cell>
          <cell r="B2077" t="str">
            <v>ORKHON GROUP</v>
          </cell>
          <cell r="C2077" t="str">
            <v>A</v>
          </cell>
          <cell r="D2077" t="str">
            <v>N/A</v>
          </cell>
          <cell r="E2077" t="str">
            <v>S1407-40 ALTAMAR SOMBRERO A/A</v>
          </cell>
          <cell r="F2077" t="str">
            <v>SOMBRERO</v>
          </cell>
          <cell r="G2077" t="str">
            <v>A005785</v>
          </cell>
          <cell r="H2077" t="str">
            <v>ALTAMAR</v>
          </cell>
          <cell r="I2077">
            <v>9</v>
          </cell>
        </row>
        <row r="2078">
          <cell r="A2078" t="str">
            <v>19-02077</v>
          </cell>
          <cell r="B2078" t="str">
            <v>ORKHON GROUP</v>
          </cell>
          <cell r="C2078" t="str">
            <v>A</v>
          </cell>
          <cell r="D2078" t="str">
            <v>N/A</v>
          </cell>
          <cell r="E2078" t="str">
            <v>S1407-34 ALTAMAR SOMBRERO</v>
          </cell>
          <cell r="F2078" t="str">
            <v>SOMBRERO</v>
          </cell>
          <cell r="G2078" t="str">
            <v>A005786</v>
          </cell>
          <cell r="H2078" t="str">
            <v>ALTAMAR</v>
          </cell>
          <cell r="I2078">
            <v>9</v>
          </cell>
        </row>
        <row r="2079">
          <cell r="A2079" t="str">
            <v>19-02078</v>
          </cell>
          <cell r="B2079" t="str">
            <v>ORKHON GROUP</v>
          </cell>
          <cell r="C2079" t="str">
            <v>A</v>
          </cell>
          <cell r="D2079" t="str">
            <v>N/A</v>
          </cell>
          <cell r="E2079" t="str">
            <v>S1407-47 ALTAMAR SOMBRERO A/A</v>
          </cell>
          <cell r="F2079" t="str">
            <v>SOMBRERO</v>
          </cell>
          <cell r="G2079" t="str">
            <v>A005787</v>
          </cell>
          <cell r="H2079" t="str">
            <v>ALTAMAR</v>
          </cell>
          <cell r="I2079">
            <v>10</v>
          </cell>
        </row>
        <row r="2080">
          <cell r="A2080" t="str">
            <v>19-02079</v>
          </cell>
          <cell r="B2080" t="str">
            <v>ORKHON GROUP</v>
          </cell>
          <cell r="C2080" t="str">
            <v>A</v>
          </cell>
          <cell r="D2080" t="str">
            <v>N/A</v>
          </cell>
          <cell r="E2080" t="str">
            <v>S1407-43 ALTAMAR SOMBRERO A/A</v>
          </cell>
          <cell r="F2080" t="str">
            <v>SOMBRERO</v>
          </cell>
          <cell r="G2080" t="str">
            <v>A005788</v>
          </cell>
          <cell r="H2080" t="str">
            <v>ALTAMAR</v>
          </cell>
          <cell r="I2080">
            <v>10</v>
          </cell>
        </row>
        <row r="2081">
          <cell r="A2081" t="str">
            <v>19-02080</v>
          </cell>
          <cell r="B2081" t="str">
            <v>ORKHON GROUP</v>
          </cell>
          <cell r="C2081" t="str">
            <v>A</v>
          </cell>
          <cell r="D2081" t="str">
            <v>N/A</v>
          </cell>
          <cell r="E2081" t="str">
            <v>S1407-19 ALTAMAR SOMBRERO</v>
          </cell>
          <cell r="F2081" t="str">
            <v>SOMBRERO</v>
          </cell>
          <cell r="G2081" t="str">
            <v>A005910</v>
          </cell>
          <cell r="H2081" t="str">
            <v>ALTAMAR</v>
          </cell>
          <cell r="I2081">
            <v>6</v>
          </cell>
        </row>
        <row r="2082">
          <cell r="A2082" t="str">
            <v>19-02081</v>
          </cell>
          <cell r="B2082" t="str">
            <v>ORKHON GROUP</v>
          </cell>
          <cell r="C2082" t="str">
            <v>A</v>
          </cell>
          <cell r="D2082" t="str">
            <v>N/A</v>
          </cell>
          <cell r="E2082" t="str">
            <v>S1407-37 ALTAMAR SOMBRERO</v>
          </cell>
          <cell r="F2082" t="str">
            <v>SOMBRERO</v>
          </cell>
          <cell r="G2082" t="str">
            <v>A005941</v>
          </cell>
          <cell r="H2082" t="str">
            <v>ALTAMAR</v>
          </cell>
          <cell r="I2082">
            <v>9</v>
          </cell>
        </row>
        <row r="2083">
          <cell r="A2083" t="str">
            <v>19-02082</v>
          </cell>
          <cell r="B2083" t="str">
            <v>ORKHON GROUP</v>
          </cell>
          <cell r="C2083" t="str">
            <v>A</v>
          </cell>
          <cell r="D2083" t="str">
            <v>N/A</v>
          </cell>
          <cell r="E2083" t="str">
            <v>A1403-03 ALTAMAR VINCHAS</v>
          </cell>
          <cell r="F2083" t="str">
            <v>SOMBRERO</v>
          </cell>
          <cell r="G2083" t="str">
            <v>A1403-03</v>
          </cell>
          <cell r="H2083" t="str">
            <v>ALTAMAR</v>
          </cell>
          <cell r="I2083">
            <v>4</v>
          </cell>
        </row>
        <row r="2084">
          <cell r="A2084" t="str">
            <v>19-02083</v>
          </cell>
          <cell r="B2084" t="str">
            <v>ORKHON GROUP</v>
          </cell>
          <cell r="C2084" t="str">
            <v>A</v>
          </cell>
          <cell r="D2084" t="str">
            <v>N/A</v>
          </cell>
          <cell r="E2084" t="str">
            <v>A1403-05 ALTAMAR VINCHAS</v>
          </cell>
          <cell r="F2084" t="str">
            <v>SOMBRERO</v>
          </cell>
          <cell r="G2084" t="str">
            <v>A1403-05</v>
          </cell>
          <cell r="H2084" t="str">
            <v>ALTAMAR</v>
          </cell>
          <cell r="I2084">
            <v>4</v>
          </cell>
        </row>
        <row r="2085">
          <cell r="A2085" t="str">
            <v>19-02084</v>
          </cell>
          <cell r="B2085" t="str">
            <v>ORKHON GROUP</v>
          </cell>
          <cell r="C2085" t="str">
            <v>A</v>
          </cell>
          <cell r="D2085" t="str">
            <v>N/A</v>
          </cell>
          <cell r="E2085" t="str">
            <v>A1403-07 ALTAMAR VINCHAS</v>
          </cell>
          <cell r="F2085" t="str">
            <v>SOMBRERO</v>
          </cell>
          <cell r="G2085" t="str">
            <v>A1403-07</v>
          </cell>
          <cell r="H2085" t="str">
            <v>ALTAMAR</v>
          </cell>
          <cell r="I2085">
            <v>4</v>
          </cell>
        </row>
        <row r="2086">
          <cell r="A2086" t="str">
            <v>19-02085</v>
          </cell>
          <cell r="B2086" t="str">
            <v>ORKHON GROUP</v>
          </cell>
          <cell r="C2086" t="str">
            <v>A</v>
          </cell>
          <cell r="D2086" t="str">
            <v>N/A</v>
          </cell>
          <cell r="E2086" t="str">
            <v>A1403-62A ALTAMAR PULSERA</v>
          </cell>
          <cell r="F2086" t="str">
            <v>BRAZALETE</v>
          </cell>
          <cell r="G2086" t="str">
            <v>A1403-62A</v>
          </cell>
          <cell r="H2086" t="str">
            <v>ALTAMAR</v>
          </cell>
          <cell r="I2086">
            <v>1.5</v>
          </cell>
        </row>
        <row r="2087">
          <cell r="A2087" t="str">
            <v>19-02086</v>
          </cell>
          <cell r="B2087" t="str">
            <v>ORKHON GROUP</v>
          </cell>
          <cell r="C2087" t="str">
            <v>A</v>
          </cell>
          <cell r="D2087" t="str">
            <v>N/A</v>
          </cell>
          <cell r="E2087" t="str">
            <v>A1403-62B ALTAMAR PULSERA</v>
          </cell>
          <cell r="F2087" t="str">
            <v>BRAZALETE</v>
          </cell>
          <cell r="G2087" t="str">
            <v>A1403-62B</v>
          </cell>
          <cell r="H2087" t="str">
            <v>ALTAMAR</v>
          </cell>
          <cell r="I2087">
            <v>1.5</v>
          </cell>
        </row>
        <row r="2088">
          <cell r="A2088" t="str">
            <v>19-02087</v>
          </cell>
          <cell r="B2088" t="str">
            <v>ORKHON GROUP</v>
          </cell>
          <cell r="C2088" t="str">
            <v>A</v>
          </cell>
          <cell r="D2088" t="str">
            <v>N/A</v>
          </cell>
          <cell r="E2088" t="str">
            <v>A1403-96 ALTAMAR PULSERA</v>
          </cell>
          <cell r="F2088" t="str">
            <v>BRAZALETE</v>
          </cell>
          <cell r="G2088" t="str">
            <v>A1403-96</v>
          </cell>
          <cell r="H2088" t="str">
            <v>ALTAMAR</v>
          </cell>
          <cell r="I2088">
            <v>2.6</v>
          </cell>
        </row>
        <row r="2089">
          <cell r="A2089" t="str">
            <v>19-02088</v>
          </cell>
          <cell r="B2089" t="str">
            <v>ORKHON GROUP</v>
          </cell>
          <cell r="C2089" t="str">
            <v>A</v>
          </cell>
          <cell r="D2089" t="str">
            <v>N/A</v>
          </cell>
          <cell r="E2089" t="str">
            <v>A1403-98 ALTAMAR PULSERA</v>
          </cell>
          <cell r="F2089" t="str">
            <v>BRAZALETE</v>
          </cell>
          <cell r="G2089" t="str">
            <v>A1403-98</v>
          </cell>
          <cell r="H2089" t="str">
            <v>ALTAMAR</v>
          </cell>
          <cell r="I2089">
            <v>2</v>
          </cell>
        </row>
        <row r="2090">
          <cell r="A2090" t="str">
            <v>19-02089</v>
          </cell>
          <cell r="B2090" t="str">
            <v>ORKHON GROUP</v>
          </cell>
          <cell r="C2090" t="str">
            <v>A</v>
          </cell>
          <cell r="D2090" t="str">
            <v>N/A</v>
          </cell>
          <cell r="E2090" t="str">
            <v>C1403-20 ALTAMAR BOLSOS</v>
          </cell>
          <cell r="F2090" t="str">
            <v>BOLSO PLAYA</v>
          </cell>
          <cell r="G2090" t="str">
            <v>C1403-20</v>
          </cell>
          <cell r="H2090" t="str">
            <v>ALTAMAR</v>
          </cell>
          <cell r="I2090">
            <v>37.950000000000003</v>
          </cell>
        </row>
        <row r="2091">
          <cell r="A2091" t="str">
            <v>19-02090</v>
          </cell>
          <cell r="B2091" t="str">
            <v>ORKHON GROUP</v>
          </cell>
          <cell r="C2091" t="str">
            <v>A</v>
          </cell>
          <cell r="D2091" t="str">
            <v>N/A</v>
          </cell>
          <cell r="E2091" t="str">
            <v>C1403-21 ALTAMAR BOLSOS DE DAMA</v>
          </cell>
          <cell r="F2091" t="str">
            <v>BOLSO</v>
          </cell>
          <cell r="G2091" t="str">
            <v>C1403-21</v>
          </cell>
          <cell r="H2091" t="str">
            <v>ALTAMAR</v>
          </cell>
          <cell r="I2091">
            <v>37.950000000000003</v>
          </cell>
        </row>
        <row r="2092">
          <cell r="A2092" t="str">
            <v>19-02091</v>
          </cell>
          <cell r="B2092" t="str">
            <v>ORKHON GROUP</v>
          </cell>
          <cell r="C2092" t="str">
            <v>A</v>
          </cell>
          <cell r="D2092" t="str">
            <v>N/A</v>
          </cell>
          <cell r="E2092" t="str">
            <v>A1403-09 ALTAMAR VINCHAS</v>
          </cell>
          <cell r="F2092" t="str">
            <v>SOMBRERO</v>
          </cell>
          <cell r="G2092" t="str">
            <v>A1403-09</v>
          </cell>
          <cell r="H2092" t="str">
            <v>ALTAMAR</v>
          </cell>
          <cell r="I2092">
            <v>4.5</v>
          </cell>
        </row>
        <row r="2093">
          <cell r="A2093" t="str">
            <v>19-02092</v>
          </cell>
          <cell r="B2093" t="str">
            <v>MOTTA INT.</v>
          </cell>
          <cell r="C2093" t="str">
            <v>A</v>
          </cell>
          <cell r="D2093" t="str">
            <v>NO</v>
          </cell>
          <cell r="E2093" t="str">
            <v>IHASA1744E241 HASBRO STAR WARS ELECTRONIC LIGHTSABERS</v>
          </cell>
          <cell r="F2093" t="str">
            <v>JUGUETES</v>
          </cell>
          <cell r="G2093" t="str">
            <v>IHASA1744E241</v>
          </cell>
          <cell r="H2093" t="str">
            <v>HASBRO</v>
          </cell>
          <cell r="I2093">
            <v>14</v>
          </cell>
        </row>
        <row r="2094">
          <cell r="A2094" t="str">
            <v>19-02093</v>
          </cell>
          <cell r="B2094" t="str">
            <v>MOTTA INT.</v>
          </cell>
          <cell r="C2094" t="str">
            <v>A</v>
          </cell>
          <cell r="D2094" t="str">
            <v>NO</v>
          </cell>
          <cell r="E2094" t="str">
            <v>IHASA18220006 HASBRO AVENGERS MIGHTY BATTLERS ASSORTMENT</v>
          </cell>
          <cell r="F2094" t="str">
            <v>JUGUETES</v>
          </cell>
          <cell r="G2094" t="str">
            <v>IHASA18220006</v>
          </cell>
          <cell r="H2094" t="str">
            <v>HASBRO</v>
          </cell>
          <cell r="I2094">
            <v>10.1</v>
          </cell>
        </row>
        <row r="2095">
          <cell r="A2095" t="str">
            <v>19-02094</v>
          </cell>
          <cell r="B2095" t="str">
            <v>MOTTA INT.</v>
          </cell>
          <cell r="C2095" t="str">
            <v>A</v>
          </cell>
          <cell r="D2095" t="str">
            <v>NO</v>
          </cell>
          <cell r="E2095" t="str">
            <v>IHASA20040002 HASBRO MY LITTLE PONY PRINCESS PACK ASSORTMENT WAVE 1</v>
          </cell>
          <cell r="F2095" t="str">
            <v>JUGUETES</v>
          </cell>
          <cell r="G2095" t="str">
            <v>IHASA20040002</v>
          </cell>
          <cell r="H2095" t="str">
            <v>HASBRO</v>
          </cell>
          <cell r="I2095">
            <v>6</v>
          </cell>
        </row>
        <row r="2096">
          <cell r="A2096" t="str">
            <v>19-02095</v>
          </cell>
          <cell r="B2096" t="str">
            <v>MOTTA INT.</v>
          </cell>
          <cell r="C2096" t="str">
            <v>A</v>
          </cell>
          <cell r="D2096" t="str">
            <v>NO</v>
          </cell>
          <cell r="E2096" t="str">
            <v>IHASA39942216 HASBRO MY LITTLE PONY EQUESTRIA GIRLS AST</v>
          </cell>
          <cell r="F2096" t="str">
            <v>JUGUETES</v>
          </cell>
          <cell r="G2096" t="str">
            <v>IHASA39942216</v>
          </cell>
          <cell r="H2096" t="str">
            <v>HASBRO</v>
          </cell>
          <cell r="I2096">
            <v>10.25</v>
          </cell>
        </row>
        <row r="2097">
          <cell r="A2097" t="str">
            <v>19-02096</v>
          </cell>
          <cell r="B2097" t="str">
            <v>MOTTA INT.</v>
          </cell>
          <cell r="C2097" t="str">
            <v>A</v>
          </cell>
          <cell r="D2097" t="str">
            <v>NO</v>
          </cell>
          <cell r="E2097" t="str">
            <v>IHASA39952212 HASBRO MY LITTLE PONY EQUESTRIA GIRLS WITH ACCESSORIES</v>
          </cell>
          <cell r="F2097" t="str">
            <v>JUGUETES</v>
          </cell>
          <cell r="G2097" t="str">
            <v>IHASA39952212</v>
          </cell>
          <cell r="H2097" t="str">
            <v>HASBRO</v>
          </cell>
          <cell r="I2097">
            <v>14.6</v>
          </cell>
        </row>
        <row r="2098">
          <cell r="A2098" t="str">
            <v>19-02097</v>
          </cell>
          <cell r="B2098" t="str">
            <v>MOTTA INT.</v>
          </cell>
          <cell r="C2098" t="str">
            <v>A</v>
          </cell>
          <cell r="D2098" t="str">
            <v>NO</v>
          </cell>
          <cell r="E2098" t="str">
            <v>IHASA41782210 HASBRO SPIDERMAN ACTION GEAR BASICS ASSORTMENT</v>
          </cell>
          <cell r="F2098" t="str">
            <v>JUGUETES</v>
          </cell>
          <cell r="G2098" t="str">
            <v>IHASA41782210</v>
          </cell>
          <cell r="H2098" t="str">
            <v>HASBRO</v>
          </cell>
          <cell r="I2098">
            <v>3.45</v>
          </cell>
        </row>
        <row r="2099">
          <cell r="A2099" t="str">
            <v>19-02098</v>
          </cell>
          <cell r="B2099" t="str">
            <v>MOTTA INT.</v>
          </cell>
          <cell r="C2099" t="str">
            <v>A</v>
          </cell>
          <cell r="D2099" t="str">
            <v>NO</v>
          </cell>
          <cell r="E2099" t="str">
            <v>IHASA49572211 HASBRO LITTLE PET SHOP BLYTHE AND PET PACK</v>
          </cell>
          <cell r="F2099" t="str">
            <v>JUGUETES</v>
          </cell>
          <cell r="G2099" t="str">
            <v>IHASA49572211</v>
          </cell>
          <cell r="H2099" t="str">
            <v>HASBRO</v>
          </cell>
          <cell r="I2099">
            <v>7.8</v>
          </cell>
        </row>
        <row r="2100">
          <cell r="A2100" t="str">
            <v>19-02099</v>
          </cell>
          <cell r="B2100" t="str">
            <v>MOTTA INT.</v>
          </cell>
          <cell r="C2100" t="str">
            <v>A</v>
          </cell>
          <cell r="D2100" t="str">
            <v>NO</v>
          </cell>
          <cell r="E2100" t="str">
            <v>IHASA57002210 HASBRO SPIDERMAN SPIDER STRIKE 3.5" FIGURE</v>
          </cell>
          <cell r="F2100" t="str">
            <v>JUGUETES</v>
          </cell>
          <cell r="G2100" t="str">
            <v>IHASA57002210</v>
          </cell>
          <cell r="H2100" t="str">
            <v>HASBRO</v>
          </cell>
          <cell r="I2100">
            <v>4.5</v>
          </cell>
        </row>
        <row r="2101">
          <cell r="A2101" t="str">
            <v>19-02100</v>
          </cell>
          <cell r="B2101" t="str">
            <v>MOTTA INT.</v>
          </cell>
          <cell r="C2101" t="str">
            <v>A</v>
          </cell>
          <cell r="D2101" t="str">
            <v>NO</v>
          </cell>
          <cell r="E2101" t="str">
            <v>IHASA57062210 HASBRO SPIDERMAN SPIDER STRIKE 3.5" FIGURE</v>
          </cell>
          <cell r="F2101" t="str">
            <v>JUGUETES</v>
          </cell>
          <cell r="G2101" t="str">
            <v>IHASA57062210</v>
          </cell>
          <cell r="H2101" t="str">
            <v>HASBRO</v>
          </cell>
          <cell r="I2101">
            <v>9.5</v>
          </cell>
        </row>
        <row r="2102">
          <cell r="A2102" t="str">
            <v>19-02101</v>
          </cell>
          <cell r="B2102" t="str">
            <v>MOTTA INT.</v>
          </cell>
          <cell r="C2102" t="str">
            <v>A</v>
          </cell>
          <cell r="D2102" t="str">
            <v>NO</v>
          </cell>
          <cell r="E2102" t="str">
            <v>IHASA60742210 HASBRO PLAY DOH COLOR STICKS MAKEABLES</v>
          </cell>
          <cell r="F2102" t="str">
            <v>JUGUETES</v>
          </cell>
          <cell r="G2102" t="str">
            <v>IHASA60742210</v>
          </cell>
          <cell r="H2102" t="str">
            <v>HASBRO</v>
          </cell>
          <cell r="I2102">
            <v>1.9</v>
          </cell>
        </row>
        <row r="2103">
          <cell r="A2103" t="str">
            <v>19-02102</v>
          </cell>
          <cell r="B2103" t="str">
            <v>MOTTA INT.</v>
          </cell>
          <cell r="C2103" t="str">
            <v>A</v>
          </cell>
          <cell r="D2103" t="str">
            <v>NO</v>
          </cell>
          <cell r="E2103" t="str">
            <v>IHASA61472210 HASBRO TRANSFORMERS MOVIE 4 POWER BATTLERS WAVE 1</v>
          </cell>
          <cell r="F2103" t="str">
            <v>JUGUETES</v>
          </cell>
          <cell r="G2103" t="str">
            <v>IHASA61472210</v>
          </cell>
          <cell r="H2103" t="str">
            <v>HASBRO</v>
          </cell>
          <cell r="I2103">
            <v>8.9</v>
          </cell>
        </row>
        <row r="2104">
          <cell r="A2104" t="str">
            <v>19-02103</v>
          </cell>
          <cell r="B2104" t="str">
            <v>MOTTA INT.</v>
          </cell>
          <cell r="C2104" t="str">
            <v>A</v>
          </cell>
          <cell r="D2104" t="str">
            <v>NO</v>
          </cell>
          <cell r="E2104" t="str">
            <v>IHASA61482210 HASBRO TRANSFORMERS MOVIE 4 CONSTRUCT BOT DINOBOT</v>
          </cell>
          <cell r="F2104" t="str">
            <v>JUGUETES</v>
          </cell>
          <cell r="G2104" t="str">
            <v>IHASA61482210</v>
          </cell>
          <cell r="H2104" t="str">
            <v>HASBRO</v>
          </cell>
          <cell r="I2104">
            <v>5</v>
          </cell>
        </row>
        <row r="2105">
          <cell r="A2105" t="str">
            <v>19-02104</v>
          </cell>
          <cell r="B2105" t="str">
            <v>MOTTA INT.</v>
          </cell>
          <cell r="C2105" t="str">
            <v>A</v>
          </cell>
          <cell r="D2105" t="str">
            <v>NO</v>
          </cell>
          <cell r="E2105" t="str">
            <v>IHASA6272E240 HASBRO LITTLE PET SHOP DECO PET ASSORTMENT</v>
          </cell>
          <cell r="F2105" t="str">
            <v>JUGUETES</v>
          </cell>
          <cell r="G2105" t="str">
            <v>IHASA6272E240</v>
          </cell>
          <cell r="H2105" t="str">
            <v>HASBRO</v>
          </cell>
          <cell r="I2105">
            <v>5</v>
          </cell>
        </row>
        <row r="2106">
          <cell r="A2106" t="str">
            <v>19-02105</v>
          </cell>
          <cell r="B2106" t="str">
            <v>MOTTA INT.</v>
          </cell>
          <cell r="C2106" t="str">
            <v>A</v>
          </cell>
          <cell r="D2106" t="str">
            <v>NO</v>
          </cell>
          <cell r="E2106" t="str">
            <v>IHASA62832210 HASBRO SPIDERMAN TRIPLE STRIKE CRUISER</v>
          </cell>
          <cell r="F2106" t="str">
            <v>JUGUETES</v>
          </cell>
          <cell r="G2106" t="str">
            <v>IHASA62832210</v>
          </cell>
          <cell r="H2106" t="str">
            <v>HASBRO</v>
          </cell>
          <cell r="I2106">
            <v>14</v>
          </cell>
        </row>
        <row r="2107">
          <cell r="A2107" t="str">
            <v>19-02106</v>
          </cell>
          <cell r="B2107" t="str">
            <v>MOTTA INT.</v>
          </cell>
          <cell r="C2107" t="str">
            <v>A</v>
          </cell>
          <cell r="D2107" t="str">
            <v>NO</v>
          </cell>
          <cell r="E2107" t="str">
            <v>IHASA66644680 HASBRO TRANSFORMERS BATTLEMASTERS 2</v>
          </cell>
          <cell r="F2107" t="str">
            <v>JUGUETES</v>
          </cell>
          <cell r="G2107" t="str">
            <v>IHASA66644680</v>
          </cell>
          <cell r="H2107" t="str">
            <v>HASBRO</v>
          </cell>
          <cell r="I2107">
            <v>12</v>
          </cell>
        </row>
        <row r="2108">
          <cell r="A2108" t="str">
            <v>19-02107</v>
          </cell>
          <cell r="B2108" t="str">
            <v>MOTTA INT.</v>
          </cell>
          <cell r="C2108" t="str">
            <v>A</v>
          </cell>
          <cell r="D2108" t="str">
            <v>NO</v>
          </cell>
          <cell r="E2108" t="str">
            <v>IHASA68332211 HASBRO AVENGERS SUPER HM BATTLE UPGRADE FIGURE</v>
          </cell>
          <cell r="F2108" t="str">
            <v>JUGUETES</v>
          </cell>
          <cell r="G2108" t="str">
            <v>IHASA68332211</v>
          </cell>
          <cell r="H2108" t="str">
            <v>HASBRO</v>
          </cell>
          <cell r="I2108">
            <v>12.4</v>
          </cell>
        </row>
        <row r="2109">
          <cell r="A2109" t="str">
            <v>19-02108</v>
          </cell>
          <cell r="B2109" t="str">
            <v>MOTTA INT.</v>
          </cell>
          <cell r="C2109" t="str">
            <v>A</v>
          </cell>
          <cell r="D2109" t="str">
            <v>NO</v>
          </cell>
          <cell r="E2109" t="str">
            <v>IHASA74352251 HASBRO TRANSFORMERS MINI DINO AST</v>
          </cell>
          <cell r="F2109" t="str">
            <v>JUGUETES</v>
          </cell>
          <cell r="G2109" t="str">
            <v>IHASA74352251</v>
          </cell>
          <cell r="H2109" t="str">
            <v>HASBRO</v>
          </cell>
          <cell r="I2109">
            <v>2.8</v>
          </cell>
        </row>
        <row r="2110">
          <cell r="A2110" t="str">
            <v>19-02109</v>
          </cell>
          <cell r="B2110" t="str">
            <v>MOTTA INT.</v>
          </cell>
          <cell r="C2110" t="str">
            <v>A</v>
          </cell>
          <cell r="D2110" t="str">
            <v>NO</v>
          </cell>
          <cell r="E2110" t="str">
            <v>IHASA77992210 HASBRO TRANSFORMERS MOVIE 4 MEGA ONE STEP BUMBLEBEE</v>
          </cell>
          <cell r="F2110" t="str">
            <v>JUGUETES</v>
          </cell>
          <cell r="G2110" t="str">
            <v>IHASA77992210</v>
          </cell>
          <cell r="H2110" t="str">
            <v>HASBRO</v>
          </cell>
          <cell r="I2110">
            <v>25.85</v>
          </cell>
        </row>
        <row r="2111">
          <cell r="A2111" t="str">
            <v>19-02110</v>
          </cell>
          <cell r="B2111" t="str">
            <v>MOTTA INT.</v>
          </cell>
          <cell r="C2111" t="str">
            <v>A</v>
          </cell>
          <cell r="D2111" t="str">
            <v>NO</v>
          </cell>
          <cell r="E2111" t="str">
            <v>IHASA8303T300 HASBRO TRANSFORMERS EPIC SERIES FIGURE ASSORTMENT</v>
          </cell>
          <cell r="F2111" t="str">
            <v>JUGUETES</v>
          </cell>
          <cell r="G2111" t="str">
            <v>IHASA8303T300</v>
          </cell>
          <cell r="H2111" t="str">
            <v>HASBRO</v>
          </cell>
          <cell r="I2111">
            <v>6.6</v>
          </cell>
        </row>
        <row r="2112">
          <cell r="A2112" t="str">
            <v>19-02111</v>
          </cell>
          <cell r="B2112" t="str">
            <v>MOTTA INT.</v>
          </cell>
          <cell r="C2112" t="str">
            <v>A</v>
          </cell>
          <cell r="D2112" t="str">
            <v>NO</v>
          </cell>
          <cell r="E2112" t="str">
            <v>IHAS399720000 HASBRO PLAYSKOOL POPPING PARK TUMBLE TOP</v>
          </cell>
          <cell r="F2112" t="str">
            <v>JUGUETES</v>
          </cell>
          <cell r="G2112" t="str">
            <v>IHAS399720000</v>
          </cell>
          <cell r="H2112" t="str">
            <v>HASBRO</v>
          </cell>
          <cell r="I2112">
            <v>7</v>
          </cell>
        </row>
        <row r="2113">
          <cell r="A2113" t="str">
            <v>19-02112</v>
          </cell>
          <cell r="B2113" t="str">
            <v>MOTTA INT.</v>
          </cell>
          <cell r="C2113" t="str">
            <v>D</v>
          </cell>
          <cell r="D2113" t="str">
            <v>N/A</v>
          </cell>
          <cell r="E2113" t="str">
            <v>IMATP2675-0 MATTEL LAUGH N LEARN CD PLAYER - LAAM DISCONTINUED</v>
          </cell>
          <cell r="F2113" t="str">
            <v>JUGUETES</v>
          </cell>
          <cell r="G2113" t="str">
            <v>IMATP2675-0</v>
          </cell>
          <cell r="H2113" t="str">
            <v>MATTEL</v>
          </cell>
          <cell r="I2113">
            <v>18.649999999999999</v>
          </cell>
        </row>
        <row r="2114">
          <cell r="A2114" t="str">
            <v>19-02113</v>
          </cell>
          <cell r="B2114" t="str">
            <v>MOTTA INT.</v>
          </cell>
          <cell r="C2114" t="str">
            <v>D</v>
          </cell>
          <cell r="D2114" t="str">
            <v>N/A</v>
          </cell>
          <cell r="E2114" t="str">
            <v>ILEG31019 LEGO CREATOR FOREST ANIMALS DISCONTINUED</v>
          </cell>
          <cell r="F2114" t="str">
            <v>JUGUETES</v>
          </cell>
          <cell r="G2114" t="str">
            <v>ILEG31019</v>
          </cell>
          <cell r="H2114" t="str">
            <v>LEGO</v>
          </cell>
          <cell r="I2114">
            <v>15.65</v>
          </cell>
        </row>
        <row r="2115">
          <cell r="A2115" t="str">
            <v>19-02114</v>
          </cell>
          <cell r="B2115" t="str">
            <v>MOTTA INT.</v>
          </cell>
          <cell r="C2115" t="str">
            <v>D</v>
          </cell>
          <cell r="D2115" t="str">
            <v>N/A</v>
          </cell>
          <cell r="E2115" t="str">
            <v>ILEG31023 LEGO YELLOW RACER DISCONTINUED</v>
          </cell>
          <cell r="F2115" t="str">
            <v>JUGUETES</v>
          </cell>
          <cell r="G2115" t="str">
            <v>ILEG31023</v>
          </cell>
          <cell r="H2115" t="str">
            <v>LEGO</v>
          </cell>
          <cell r="I2115">
            <v>23.65</v>
          </cell>
        </row>
        <row r="2116">
          <cell r="A2116" t="str">
            <v>19-02115</v>
          </cell>
          <cell r="B2116" t="str">
            <v>MOTTA INT.</v>
          </cell>
          <cell r="C2116" t="str">
            <v>D</v>
          </cell>
          <cell r="D2116" t="str">
            <v>N/A</v>
          </cell>
          <cell r="E2116" t="str">
            <v>ILEG31024 LEGO ROARING POWER DISCONTINUED</v>
          </cell>
          <cell r="F2116" t="str">
            <v>JUGUETES</v>
          </cell>
          <cell r="G2116" t="str">
            <v>ILEG31024</v>
          </cell>
          <cell r="H2116" t="str">
            <v>LEGO</v>
          </cell>
          <cell r="I2116">
            <v>28.4</v>
          </cell>
        </row>
        <row r="2117">
          <cell r="A2117" t="str">
            <v>19-02116</v>
          </cell>
          <cell r="B2117" t="str">
            <v>MOTTA INT.</v>
          </cell>
          <cell r="C2117" t="str">
            <v>D</v>
          </cell>
          <cell r="D2117" t="str">
            <v>N/A</v>
          </cell>
          <cell r="E2117" t="str">
            <v>ILEG41026 LEGO SUNSHINE HARVEST V39 DISCONTINUED</v>
          </cell>
          <cell r="F2117" t="str">
            <v>JUGUETES</v>
          </cell>
          <cell r="G2117" t="str">
            <v>ILEG41026</v>
          </cell>
          <cell r="H2117" t="str">
            <v>LEGO</v>
          </cell>
          <cell r="I2117">
            <v>18.100000000000001</v>
          </cell>
        </row>
        <row r="2118">
          <cell r="A2118" t="str">
            <v>19-02117</v>
          </cell>
          <cell r="B2118" t="str">
            <v>MOTTA INT.</v>
          </cell>
          <cell r="C2118" t="str">
            <v>D</v>
          </cell>
          <cell r="D2118" t="str">
            <v>N/A</v>
          </cell>
          <cell r="E2118" t="str">
            <v>ILEG41028 LEGO FRIENDS EMMA'S LIFEGUARD POST DISCONTINUED</v>
          </cell>
          <cell r="F2118" t="str">
            <v>JUGUETES</v>
          </cell>
          <cell r="G2118" t="str">
            <v>ILEG41028</v>
          </cell>
          <cell r="H2118" t="str">
            <v>LEGO</v>
          </cell>
          <cell r="I2118">
            <v>9.1</v>
          </cell>
        </row>
        <row r="2119">
          <cell r="A2119" t="str">
            <v>19-02118</v>
          </cell>
          <cell r="B2119" t="str">
            <v>MOTTA INT.</v>
          </cell>
          <cell r="C2119" t="str">
            <v>D</v>
          </cell>
          <cell r="D2119" t="str">
            <v>N/A</v>
          </cell>
          <cell r="E2119" t="str">
            <v>ILEG41032 LEGO FIRST AID JUNGLE BIKE DISCONTINUED</v>
          </cell>
          <cell r="F2119" t="str">
            <v>JUGUETES</v>
          </cell>
          <cell r="G2119" t="str">
            <v>ILEG41032</v>
          </cell>
          <cell r="H2119" t="str">
            <v>LEGO</v>
          </cell>
          <cell r="I2119">
            <v>13.95</v>
          </cell>
        </row>
        <row r="2120">
          <cell r="A2120" t="str">
            <v>19-02119</v>
          </cell>
          <cell r="B2120" t="str">
            <v>MOTTA INT.</v>
          </cell>
          <cell r="C2120" t="str">
            <v>D</v>
          </cell>
          <cell r="D2120" t="str">
            <v>N/A</v>
          </cell>
          <cell r="E2120" t="str">
            <v>ILEG41034 LEGO SUMMER CARAVAN DISCONTINUED</v>
          </cell>
          <cell r="F2120" t="str">
            <v>JUGUETES</v>
          </cell>
          <cell r="G2120" t="str">
            <v>ILEG41034</v>
          </cell>
          <cell r="H2120" t="str">
            <v>LEGO</v>
          </cell>
          <cell r="I2120">
            <v>28.4</v>
          </cell>
        </row>
        <row r="2121">
          <cell r="A2121" t="str">
            <v>19-02120</v>
          </cell>
          <cell r="B2121" t="str">
            <v>MOTTA INT.</v>
          </cell>
          <cell r="C2121" t="str">
            <v>D</v>
          </cell>
          <cell r="D2121" t="str">
            <v>N/A</v>
          </cell>
          <cell r="E2121" t="str">
            <v>ILEG60042 LEGO CITY HOGH SPEED POLICE CHASE DISCONTINUED</v>
          </cell>
          <cell r="F2121" t="str">
            <v>JUGUETES</v>
          </cell>
          <cell r="G2121" t="str">
            <v>ILEG60042</v>
          </cell>
          <cell r="H2121" t="str">
            <v>LEGO</v>
          </cell>
          <cell r="I2121">
            <v>18.55</v>
          </cell>
        </row>
        <row r="2122">
          <cell r="A2122" t="str">
            <v>19-02121</v>
          </cell>
          <cell r="B2122" t="str">
            <v>MOTTA INT.</v>
          </cell>
          <cell r="C2122" t="str">
            <v>D</v>
          </cell>
          <cell r="D2122" t="str">
            <v>N/A</v>
          </cell>
          <cell r="E2122" t="str">
            <v>ILEG60058 LEGO SUV WITH WATERCRAFT V39 DISCONTINUED</v>
          </cell>
          <cell r="F2122" t="str">
            <v>JUGUETES</v>
          </cell>
          <cell r="G2122" t="str">
            <v>ILEG60058</v>
          </cell>
          <cell r="H2122" t="str">
            <v>LEGO</v>
          </cell>
          <cell r="I2122">
            <v>12.3</v>
          </cell>
        </row>
        <row r="2123">
          <cell r="A2123" t="str">
            <v>19-02122</v>
          </cell>
          <cell r="B2123" t="str">
            <v>MOTTA INT.</v>
          </cell>
          <cell r="C2123" t="str">
            <v>D</v>
          </cell>
          <cell r="D2123" t="str">
            <v>N/A</v>
          </cell>
          <cell r="E2123" t="str">
            <v>ILEG70128 LEGO CHIMA BRAPTORS WING STRIKER DISCONTINUED</v>
          </cell>
          <cell r="F2123" t="str">
            <v>JUGUETES</v>
          </cell>
          <cell r="G2123" t="str">
            <v>ILEG70128</v>
          </cell>
          <cell r="H2123" t="str">
            <v>LEGO</v>
          </cell>
          <cell r="I2123">
            <v>14.7</v>
          </cell>
        </row>
        <row r="2124">
          <cell r="A2124" t="str">
            <v>19-02123</v>
          </cell>
          <cell r="B2124" t="str">
            <v>MOTTA INT.</v>
          </cell>
          <cell r="C2124" t="str">
            <v>D</v>
          </cell>
          <cell r="D2124" t="str">
            <v>N/A</v>
          </cell>
          <cell r="E2124" t="str">
            <v>ILEG70141 LEGO VARDY ICE VULTURE GLIDER DISCONTINUED</v>
          </cell>
          <cell r="F2124" t="str">
            <v>JUGUETES</v>
          </cell>
          <cell r="G2124" t="str">
            <v>ILEG70141</v>
          </cell>
          <cell r="H2124" t="str">
            <v>LEGO</v>
          </cell>
          <cell r="I2124">
            <v>19.5</v>
          </cell>
        </row>
        <row r="2125">
          <cell r="A2125" t="str">
            <v>19-02124</v>
          </cell>
          <cell r="B2125" t="str">
            <v>MOTTA INT.</v>
          </cell>
          <cell r="C2125" t="str">
            <v>D</v>
          </cell>
          <cell r="D2125" t="str">
            <v>N/A</v>
          </cell>
          <cell r="E2125" t="str">
            <v>ILEG70142 LEGO ERIS FIRE EAGLE FLYER DISCONTINUED</v>
          </cell>
          <cell r="F2125" t="str">
            <v>JUGUETES</v>
          </cell>
          <cell r="G2125" t="str">
            <v>ILEG70142</v>
          </cell>
          <cell r="H2125" t="str">
            <v>LEGO</v>
          </cell>
          <cell r="I2125">
            <v>29.25</v>
          </cell>
        </row>
        <row r="2126">
          <cell r="A2126" t="str">
            <v>19-02125</v>
          </cell>
          <cell r="B2126" t="str">
            <v>MOTTA INT.</v>
          </cell>
          <cell r="C2126" t="str">
            <v>D</v>
          </cell>
          <cell r="D2126" t="str">
            <v>N/A</v>
          </cell>
          <cell r="E2126" t="str">
            <v>ILEG75039 LEGO V WINGS STARFIGTHER DISCONTINUED</v>
          </cell>
          <cell r="F2126" t="str">
            <v>JUGUETES</v>
          </cell>
          <cell r="G2126" t="str">
            <v>ILEG75039</v>
          </cell>
          <cell r="H2126" t="str">
            <v>LEGO</v>
          </cell>
          <cell r="I2126">
            <v>23.5</v>
          </cell>
        </row>
        <row r="2127">
          <cell r="A2127" t="str">
            <v>19-02126</v>
          </cell>
          <cell r="B2127" t="str">
            <v>MOTTA INT.</v>
          </cell>
          <cell r="C2127" t="str">
            <v>D</v>
          </cell>
          <cell r="D2127" t="str">
            <v>N/A</v>
          </cell>
          <cell r="E2127" t="str">
            <v>ILEG75040 LEGO STAR WARS GENERAL GRIEVOUS WHEEL BIKE</v>
          </cell>
          <cell r="F2127" t="str">
            <v>JUGUETES</v>
          </cell>
          <cell r="G2127" t="str">
            <v>ILEG75040</v>
          </cell>
          <cell r="H2127" t="str">
            <v>LEGO</v>
          </cell>
          <cell r="I2127">
            <v>0</v>
          </cell>
        </row>
        <row r="2128">
          <cell r="A2128" t="str">
            <v>19-02127</v>
          </cell>
          <cell r="B2128" t="str">
            <v>MOTTA INT.</v>
          </cell>
          <cell r="C2128" t="str">
            <v>D</v>
          </cell>
          <cell r="D2128" t="str">
            <v>N/A</v>
          </cell>
          <cell r="E2128" t="str">
            <v>ILEG75048 LEGO THE PHANTOM DISCONTINUED</v>
          </cell>
          <cell r="F2128" t="str">
            <v>JUGUETES</v>
          </cell>
          <cell r="G2128" t="str">
            <v>ILEG75048</v>
          </cell>
          <cell r="H2128" t="str">
            <v>LEGO</v>
          </cell>
          <cell r="I2128">
            <v>18.8</v>
          </cell>
        </row>
        <row r="2129">
          <cell r="A2129" t="str">
            <v>19-02128</v>
          </cell>
          <cell r="B2129" t="str">
            <v>MOTTA INT.</v>
          </cell>
          <cell r="C2129" t="str">
            <v>D</v>
          </cell>
          <cell r="D2129" t="str">
            <v>N/A</v>
          </cell>
          <cell r="E2129" t="str">
            <v>ILEG75049 LEGO SNOWSPEEDER DISCONTINUED</v>
          </cell>
          <cell r="F2129" t="str">
            <v>JUGUETES</v>
          </cell>
          <cell r="G2129" t="str">
            <v>ILEG75049</v>
          </cell>
          <cell r="H2129" t="str">
            <v>LEGO</v>
          </cell>
          <cell r="I2129">
            <v>31.5</v>
          </cell>
        </row>
        <row r="2130">
          <cell r="A2130" t="str">
            <v>19-02129</v>
          </cell>
          <cell r="B2130" t="str">
            <v>MOTTA INT.</v>
          </cell>
          <cell r="C2130" t="str">
            <v>A</v>
          </cell>
          <cell r="D2130" t="str">
            <v>NO</v>
          </cell>
          <cell r="E2130" t="str">
            <v>IHASA74072210 HASBRO SPIDERMAN SPIDER FORCE WEB BLASTER</v>
          </cell>
          <cell r="F2130" t="str">
            <v>JUGUETES</v>
          </cell>
          <cell r="G2130" t="str">
            <v>IHASA74072210</v>
          </cell>
          <cell r="H2130" t="str">
            <v>HASBRO</v>
          </cell>
          <cell r="I2130">
            <v>14.9</v>
          </cell>
        </row>
        <row r="2131">
          <cell r="A2131" t="str">
            <v>19-02130</v>
          </cell>
          <cell r="B2131" t="str">
            <v>MOTTA INT.</v>
          </cell>
          <cell r="C2131" t="str">
            <v>A</v>
          </cell>
          <cell r="D2131" t="str">
            <v>NO</v>
          </cell>
          <cell r="E2131" t="str">
            <v>IHASA27442210 HASBRO PLAY DOH BOX COLOR TOOLS</v>
          </cell>
          <cell r="F2131" t="str">
            <v>JUGUETES</v>
          </cell>
          <cell r="G2131" t="str">
            <v>IHASA27442210</v>
          </cell>
          <cell r="H2131" t="str">
            <v>HASBRO</v>
          </cell>
          <cell r="I2131">
            <v>3.15</v>
          </cell>
        </row>
        <row r="2132">
          <cell r="A2132" t="str">
            <v>19-02131</v>
          </cell>
          <cell r="B2132" t="str">
            <v>MOTTA INT.</v>
          </cell>
          <cell r="C2132" t="str">
            <v>A</v>
          </cell>
          <cell r="D2132" t="str">
            <v>NO</v>
          </cell>
          <cell r="E2132" t="str">
            <v>IHASA68132210 HASBRO CAPTAIN AMERICA 3.5" SOLDIER GEAR FIGURE</v>
          </cell>
          <cell r="F2132" t="str">
            <v>JUGUETES</v>
          </cell>
          <cell r="G2132" t="str">
            <v>IHASA68132210</v>
          </cell>
          <cell r="H2132" t="str">
            <v>HASBRO</v>
          </cell>
          <cell r="I2132">
            <v>4.75</v>
          </cell>
        </row>
        <row r="2133">
          <cell r="A2133" t="str">
            <v>19-02132</v>
          </cell>
          <cell r="B2133" t="str">
            <v>MOTTA INT.</v>
          </cell>
          <cell r="C2133" t="str">
            <v>A</v>
          </cell>
          <cell r="D2133" t="str">
            <v>NO</v>
          </cell>
          <cell r="E2133" t="str">
            <v>A76412210 HASBRO LITTLES PET SHOP SCENE STYLE SETS ASSORTMENT</v>
          </cell>
          <cell r="F2133" t="str">
            <v>JUGUETES</v>
          </cell>
          <cell r="G2133" t="str">
            <v>IHASA76412210</v>
          </cell>
          <cell r="H2133" t="str">
            <v>HASBRO</v>
          </cell>
          <cell r="I2133">
            <v>8</v>
          </cell>
        </row>
        <row r="2134">
          <cell r="A2134" t="str">
            <v>19-02133</v>
          </cell>
          <cell r="B2134" t="str">
            <v>MOTTA INT.</v>
          </cell>
          <cell r="C2134" t="str">
            <v>A</v>
          </cell>
          <cell r="D2134" t="str">
            <v>NO</v>
          </cell>
          <cell r="E2134" t="str">
            <v>IHASA82044680 HASBRO MY LITTLE PONY PONY ASSORTMENT</v>
          </cell>
          <cell r="F2134" t="str">
            <v>JUGUETES</v>
          </cell>
          <cell r="G2134" t="str">
            <v>IHASA82044680</v>
          </cell>
          <cell r="H2134" t="str">
            <v>HASBRO</v>
          </cell>
          <cell r="I2134">
            <v>11.3</v>
          </cell>
        </row>
        <row r="2135">
          <cell r="A2135" t="str">
            <v>19-02134</v>
          </cell>
          <cell r="B2135" t="str">
            <v>MOTTA INT.</v>
          </cell>
          <cell r="C2135" t="str">
            <v>A</v>
          </cell>
          <cell r="D2135" t="str">
            <v>NO</v>
          </cell>
          <cell r="E2135" t="str">
            <v>IHASA82062210 HASBRO MY LITTLE PONY POP STORY PACK ASSORTMENT</v>
          </cell>
          <cell r="F2135" t="str">
            <v>JUGUETES</v>
          </cell>
          <cell r="G2135" t="str">
            <v>IHASA82062210</v>
          </cell>
          <cell r="H2135" t="str">
            <v>HASBRO</v>
          </cell>
          <cell r="I2135">
            <v>3.9</v>
          </cell>
        </row>
        <row r="2136">
          <cell r="A2136" t="str">
            <v>19-02135</v>
          </cell>
          <cell r="B2136" t="str">
            <v>MOTTA INT.</v>
          </cell>
          <cell r="C2136" t="str">
            <v>D</v>
          </cell>
          <cell r="D2136" t="str">
            <v>N/A</v>
          </cell>
          <cell r="E2136" t="str">
            <v>IMATL8838-0 MATTEL LAAM SPANISH ROLL ALONG A DISCONTINUED</v>
          </cell>
          <cell r="F2136" t="str">
            <v>JUGUETES</v>
          </cell>
          <cell r="G2136" t="str">
            <v>IMATL8838-0</v>
          </cell>
          <cell r="H2136" t="str">
            <v>MATTEL</v>
          </cell>
          <cell r="I2136">
            <v>13.35</v>
          </cell>
        </row>
        <row r="2137">
          <cell r="A2137" t="str">
            <v>19-02136</v>
          </cell>
          <cell r="B2137" t="str">
            <v>MOTTA INT.</v>
          </cell>
          <cell r="C2137" t="str">
            <v>D</v>
          </cell>
          <cell r="D2137" t="str">
            <v>N/A</v>
          </cell>
          <cell r="E2137" t="str">
            <v>ILEG31010 LEGO CREATOR TREE HOUSE V29 DISCONTINUED</v>
          </cell>
          <cell r="F2137" t="str">
            <v>JUGUETES</v>
          </cell>
          <cell r="G2137" t="str">
            <v>ILEG31010</v>
          </cell>
          <cell r="H2137" t="str">
            <v>LEGO</v>
          </cell>
          <cell r="I2137">
            <v>28</v>
          </cell>
        </row>
        <row r="2138">
          <cell r="A2138" t="str">
            <v>19-02137</v>
          </cell>
          <cell r="B2138" t="str">
            <v>MOTTA INT.</v>
          </cell>
          <cell r="C2138" t="str">
            <v>D</v>
          </cell>
          <cell r="D2138" t="str">
            <v>N/A</v>
          </cell>
          <cell r="E2138" t="str">
            <v>ILEG31014 LEGO CREATOR POWER DIGGER DISCONTINUED</v>
          </cell>
          <cell r="F2138" t="str">
            <v>JUGUETES</v>
          </cell>
          <cell r="G2138" t="str">
            <v>ILEG31014</v>
          </cell>
          <cell r="H2138" t="str">
            <v>LEGO</v>
          </cell>
          <cell r="I2138">
            <v>4.6500000000000004</v>
          </cell>
        </row>
        <row r="2139">
          <cell r="A2139" t="str">
            <v>19-02138</v>
          </cell>
          <cell r="B2139" t="str">
            <v>MOTTA INT.</v>
          </cell>
          <cell r="C2139" t="str">
            <v>D</v>
          </cell>
          <cell r="D2139" t="str">
            <v>N/A</v>
          </cell>
          <cell r="E2139" t="str">
            <v>ILEG31015 LEGO CREATOR EMERALD EXPRESS DISCONTINUED</v>
          </cell>
          <cell r="F2139" t="str">
            <v>JUGUETES</v>
          </cell>
          <cell r="G2139" t="str">
            <v>ILEG31015</v>
          </cell>
          <cell r="H2139" t="str">
            <v>LEGO</v>
          </cell>
          <cell r="I2139">
            <v>4.6500000000000004</v>
          </cell>
        </row>
        <row r="2140">
          <cell r="A2140" t="str">
            <v>19-02139</v>
          </cell>
          <cell r="B2140" t="str">
            <v>MOTTA INT.</v>
          </cell>
          <cell r="C2140" t="str">
            <v>D</v>
          </cell>
          <cell r="D2140" t="str">
            <v>N/A</v>
          </cell>
          <cell r="E2140" t="str">
            <v>ILEG31021 LEGO CREATOR FURRY CREATURES DISCONTINUED</v>
          </cell>
          <cell r="F2140" t="str">
            <v>JUGUETES</v>
          </cell>
          <cell r="G2140" t="str">
            <v>ILEG31021</v>
          </cell>
          <cell r="H2140" t="str">
            <v>LEGO</v>
          </cell>
          <cell r="I2140">
            <v>18.600000000000001</v>
          </cell>
        </row>
        <row r="2141">
          <cell r="A2141" t="str">
            <v>19-02140</v>
          </cell>
          <cell r="B2141" t="str">
            <v>MOTTA INT.</v>
          </cell>
          <cell r="C2141" t="str">
            <v>D</v>
          </cell>
          <cell r="D2141" t="str">
            <v>N/A</v>
          </cell>
          <cell r="E2141" t="str">
            <v>ILEG41033 LEGO JUNGLE FALLS RESCUE DISCONTINUED</v>
          </cell>
          <cell r="F2141" t="str">
            <v>JUGUETES</v>
          </cell>
          <cell r="G2141" t="str">
            <v>ILEG41033</v>
          </cell>
          <cell r="H2141" t="str">
            <v>LEGO</v>
          </cell>
          <cell r="I2141">
            <v>18.600000000000001</v>
          </cell>
        </row>
        <row r="2142">
          <cell r="A2142" t="str">
            <v>19-02141</v>
          </cell>
          <cell r="B2142" t="str">
            <v>MOTTA INT.</v>
          </cell>
          <cell r="C2142" t="str">
            <v>D</v>
          </cell>
          <cell r="D2142" t="str">
            <v>N/A</v>
          </cell>
          <cell r="E2142" t="str">
            <v>ILEG42026 LEGO TECHNIC BLACK CHAMPION RACER DISCONTINUED</v>
          </cell>
          <cell r="F2142" t="str">
            <v>JUGUETES</v>
          </cell>
          <cell r="G2142" t="str">
            <v>ILEG42026</v>
          </cell>
          <cell r="H2142" t="str">
            <v>LEGO</v>
          </cell>
          <cell r="I2142">
            <v>18.600000000000001</v>
          </cell>
        </row>
        <row r="2143">
          <cell r="A2143" t="str">
            <v>19-02142</v>
          </cell>
          <cell r="B2143" t="str">
            <v>MOTTA INT.</v>
          </cell>
          <cell r="C2143" t="str">
            <v>D</v>
          </cell>
          <cell r="D2143" t="str">
            <v>N/A</v>
          </cell>
          <cell r="E2143" t="str">
            <v>ILEG42027 LEGO TECHNIC DESSERT RACER DISCONTINUED</v>
          </cell>
          <cell r="F2143" t="str">
            <v>JUGUETES</v>
          </cell>
          <cell r="G2143" t="str">
            <v>ILEG42027</v>
          </cell>
          <cell r="H2143" t="str">
            <v>LEGO</v>
          </cell>
          <cell r="I2143">
            <v>18.600000000000001</v>
          </cell>
        </row>
        <row r="2144">
          <cell r="A2144" t="str">
            <v>19-02143</v>
          </cell>
          <cell r="B2144" t="str">
            <v>MOTTA INT.</v>
          </cell>
          <cell r="C2144" t="str">
            <v>D</v>
          </cell>
          <cell r="D2144" t="str">
            <v>N/A</v>
          </cell>
          <cell r="E2144" t="str">
            <v>ILEG6059283 LEGO MINIFIGURES SERIE S DISCONTINUED</v>
          </cell>
          <cell r="F2144" t="str">
            <v>JUGUETES</v>
          </cell>
          <cell r="G2144" t="str">
            <v>ILEG6059283</v>
          </cell>
          <cell r="H2144" t="str">
            <v>LEGO</v>
          </cell>
          <cell r="I2144">
            <v>2.35</v>
          </cell>
        </row>
        <row r="2145">
          <cell r="A2145" t="str">
            <v>19-02144</v>
          </cell>
          <cell r="B2145" t="str">
            <v>MOTTA INT.</v>
          </cell>
          <cell r="C2145" t="str">
            <v>D</v>
          </cell>
          <cell r="D2145" t="str">
            <v>N/A</v>
          </cell>
          <cell r="E2145" t="str">
            <v>ILEG70143 LEGO SIR FANGAR SABER TOOTH WALKER DISCONTINUED</v>
          </cell>
          <cell r="F2145" t="str">
            <v>JUGUETES</v>
          </cell>
          <cell r="G2145" t="str">
            <v>ILEG70143</v>
          </cell>
          <cell r="H2145" t="str">
            <v>LEGO</v>
          </cell>
          <cell r="I2145">
            <v>39</v>
          </cell>
        </row>
        <row r="2146">
          <cell r="A2146" t="str">
            <v>19-02145</v>
          </cell>
          <cell r="B2146" t="str">
            <v>MOTTA INT.</v>
          </cell>
          <cell r="C2146" t="str">
            <v>D</v>
          </cell>
          <cell r="D2146" t="str">
            <v>N/A</v>
          </cell>
          <cell r="E2146" t="str">
            <v>ILEG70800 LEGO THE LEGO MOVIE GETAWAY GILDER DISCONTINUED</v>
          </cell>
          <cell r="F2146" t="str">
            <v>JUGUETES</v>
          </cell>
          <cell r="G2146" t="str">
            <v>ILEG70800</v>
          </cell>
          <cell r="H2146" t="str">
            <v>LEGO</v>
          </cell>
          <cell r="I2146">
            <v>9.35</v>
          </cell>
        </row>
        <row r="2147">
          <cell r="A2147" t="str">
            <v>19-02146</v>
          </cell>
          <cell r="B2147" t="str">
            <v>MOTTA INT.</v>
          </cell>
          <cell r="C2147" t="str">
            <v>D</v>
          </cell>
          <cell r="D2147" t="str">
            <v>N/A</v>
          </cell>
          <cell r="E2147" t="str">
            <v>ILEG70803 LEGO THE LEGO MOVIE CUCKOO PALACE DISCONTINUED</v>
          </cell>
          <cell r="F2147" t="str">
            <v>JUGUETES</v>
          </cell>
          <cell r="G2147" t="str">
            <v>ILEG70803</v>
          </cell>
          <cell r="H2147" t="str">
            <v>LEGO</v>
          </cell>
          <cell r="I2147">
            <v>14.3</v>
          </cell>
        </row>
        <row r="2148">
          <cell r="A2148" t="str">
            <v>19-02147</v>
          </cell>
          <cell r="B2148" t="str">
            <v>MOTTA INT.</v>
          </cell>
          <cell r="C2148" t="str">
            <v>D</v>
          </cell>
          <cell r="D2148" t="str">
            <v>N/A</v>
          </cell>
          <cell r="E2148" t="str">
            <v>ILEG75001 LEGO STAR WARS REPUBLIC TROPPERS VS SIT V29 DISCONTINUED</v>
          </cell>
          <cell r="F2148" t="str">
            <v>JUGUETES</v>
          </cell>
          <cell r="G2148" t="str">
            <v>ILEG75001</v>
          </cell>
          <cell r="H2148" t="str">
            <v>LEGO</v>
          </cell>
          <cell r="I2148">
            <v>14</v>
          </cell>
        </row>
        <row r="2149">
          <cell r="A2149" t="str">
            <v>19-02148</v>
          </cell>
          <cell r="B2149" t="str">
            <v>MOTTA INT.</v>
          </cell>
          <cell r="C2149" t="str">
            <v>D</v>
          </cell>
          <cell r="D2149" t="str">
            <v>N/A</v>
          </cell>
          <cell r="E2149" t="str">
            <v>ILEG75028 LEGO STAR WARS CLONE TURBO TANK DISCONTINUED</v>
          </cell>
          <cell r="F2149" t="str">
            <v>JUGUETES</v>
          </cell>
          <cell r="G2149" t="str">
            <v>ILEG75028</v>
          </cell>
          <cell r="H2149" t="str">
            <v>LEGO</v>
          </cell>
          <cell r="I2149">
            <v>9.4</v>
          </cell>
        </row>
        <row r="2150">
          <cell r="A2150" t="str">
            <v>19-02149</v>
          </cell>
          <cell r="B2150" t="str">
            <v>MOTTA INT.</v>
          </cell>
          <cell r="C2150" t="str">
            <v>D</v>
          </cell>
          <cell r="D2150" t="str">
            <v>N/A</v>
          </cell>
          <cell r="E2150" t="str">
            <v>ILEG79115 LEGO NINJA TURTLE TURTLE VAN TAKEDOWN DISCONTINUED</v>
          </cell>
          <cell r="F2150" t="str">
            <v>JUGUETES</v>
          </cell>
          <cell r="G2150" t="str">
            <v>ILEG79115</v>
          </cell>
          <cell r="H2150" t="str">
            <v>LEGO</v>
          </cell>
          <cell r="I2150">
            <v>37.6</v>
          </cell>
        </row>
        <row r="2151">
          <cell r="A2151" t="str">
            <v>19-02150</v>
          </cell>
          <cell r="B2151" t="str">
            <v>MOTTA INT.</v>
          </cell>
          <cell r="C2151" t="str">
            <v>D</v>
          </cell>
          <cell r="D2151" t="str">
            <v>N/A</v>
          </cell>
          <cell r="E2151" t="str">
            <v>ILEG79119 LEGO NINJA TURTLE MUTUATION CHAMBER UNLEASHED DISCONTINUED</v>
          </cell>
          <cell r="F2151" t="str">
            <v>JUGUETES</v>
          </cell>
          <cell r="G2151" t="str">
            <v>ILEG79119</v>
          </cell>
          <cell r="H2151" t="str">
            <v>LEGO</v>
          </cell>
          <cell r="I2151">
            <v>26.3</v>
          </cell>
        </row>
        <row r="2152">
          <cell r="A2152" t="str">
            <v>19-02151</v>
          </cell>
          <cell r="B2152" t="str">
            <v>MOTTA INT.</v>
          </cell>
          <cell r="C2152" t="str">
            <v>A</v>
          </cell>
          <cell r="D2152" t="str">
            <v>NO</v>
          </cell>
          <cell r="E2152" t="str">
            <v>A76422210 HASBRO LITTLES PET SHOP STYLE PACKS ASSORTMENT</v>
          </cell>
          <cell r="F2152" t="str">
            <v>JUGUETES</v>
          </cell>
          <cell r="G2152" t="str">
            <v>IHASA76422210</v>
          </cell>
          <cell r="H2152" t="str">
            <v>HASBRO</v>
          </cell>
          <cell r="I2152">
            <v>8</v>
          </cell>
        </row>
        <row r="2153">
          <cell r="A2153" t="str">
            <v>19-02152</v>
          </cell>
          <cell r="B2153" t="str">
            <v>MOTTA INT.</v>
          </cell>
          <cell r="C2153" t="str">
            <v>A</v>
          </cell>
          <cell r="D2153" t="str">
            <v>NO</v>
          </cell>
          <cell r="E2153" t="str">
            <v>IHASA82112230 HASBRO MY LITTLE PONY FASHION PONY</v>
          </cell>
          <cell r="F2153" t="str">
            <v>JUGUETES</v>
          </cell>
          <cell r="G2153" t="str">
            <v>IHASA82112230</v>
          </cell>
          <cell r="H2153" t="str">
            <v>HASBRO</v>
          </cell>
          <cell r="I2153">
            <v>14.55</v>
          </cell>
        </row>
        <row r="2154">
          <cell r="A2154" t="str">
            <v>19-02153</v>
          </cell>
          <cell r="B2154" t="str">
            <v>MOTTA INT.</v>
          </cell>
          <cell r="C2154" t="str">
            <v>D</v>
          </cell>
          <cell r="D2154" t="str">
            <v>N/A</v>
          </cell>
          <cell r="E2154" t="str">
            <v>IHAS276562218 HASBRO PLAYSKOOLL MR &amp; MRS POTATO HEAD ASSORTMENT</v>
          </cell>
          <cell r="F2154" t="str">
            <v>JUGUETES</v>
          </cell>
          <cell r="G2154" t="str">
            <v>IHAS276562218</v>
          </cell>
          <cell r="H2154" t="str">
            <v>HASBRO</v>
          </cell>
          <cell r="I2154">
            <v>5.85</v>
          </cell>
        </row>
        <row r="2155">
          <cell r="A2155" t="str">
            <v>19-02154</v>
          </cell>
          <cell r="B2155" t="str">
            <v>MOTTA INT.</v>
          </cell>
          <cell r="C2155" t="str">
            <v>D</v>
          </cell>
          <cell r="D2155" t="str">
            <v>N/A</v>
          </cell>
          <cell r="E2155" t="str">
            <v>ILEG41030 LEGO OLIVIAS ICE CREAM BIKE DISCONTINUED</v>
          </cell>
          <cell r="F2155" t="str">
            <v>JUGUETES</v>
          </cell>
          <cell r="G2155" t="str">
            <v>ILEG41030</v>
          </cell>
          <cell r="H2155" t="str">
            <v>LEGO</v>
          </cell>
          <cell r="I2155">
            <v>9.1</v>
          </cell>
        </row>
        <row r="2156">
          <cell r="A2156" t="str">
            <v>19-02155</v>
          </cell>
          <cell r="B2156" t="str">
            <v>MOTTA INT.</v>
          </cell>
          <cell r="C2156" t="str">
            <v>D</v>
          </cell>
          <cell r="D2156" t="str">
            <v>N/A</v>
          </cell>
          <cell r="E2156" t="str">
            <v>ILEG41031 LEGO ANDREAS MOUNTAIN DISCONTINUED</v>
          </cell>
          <cell r="F2156" t="str">
            <v>JUGUETES</v>
          </cell>
          <cell r="G2156" t="str">
            <v>ILEG41031</v>
          </cell>
          <cell r="H2156" t="str">
            <v>LEGO</v>
          </cell>
          <cell r="I2156">
            <v>9.3000000000000007</v>
          </cell>
        </row>
        <row r="2157">
          <cell r="A2157" t="str">
            <v>19-02156</v>
          </cell>
          <cell r="B2157" t="str">
            <v>MOTTA INT.</v>
          </cell>
          <cell r="C2157" t="str">
            <v>D</v>
          </cell>
          <cell r="D2157" t="str">
            <v>N/A</v>
          </cell>
          <cell r="E2157" t="str">
            <v>ILEG41036 LEGO JUNGLE BRIDGE RESCUE DISCONTINUED</v>
          </cell>
          <cell r="F2157" t="str">
            <v>JUGUETES</v>
          </cell>
          <cell r="G2157" t="str">
            <v>ILEG41036</v>
          </cell>
          <cell r="H2157" t="str">
            <v>LEGO</v>
          </cell>
          <cell r="I2157">
            <v>29.25</v>
          </cell>
        </row>
        <row r="2158">
          <cell r="A2158" t="str">
            <v>19-02157</v>
          </cell>
          <cell r="B2158" t="str">
            <v>MOTTA INT.</v>
          </cell>
          <cell r="C2158" t="str">
            <v>D</v>
          </cell>
          <cell r="D2158" t="str">
            <v>N/A</v>
          </cell>
          <cell r="E2158" t="str">
            <v>ILEG70114 LEGO CHIMA SKY JOUST DISCONTINUED</v>
          </cell>
          <cell r="F2158" t="str">
            <v>JUGUETES</v>
          </cell>
          <cell r="G2158" t="str">
            <v>ILEG70114</v>
          </cell>
          <cell r="H2158" t="str">
            <v>LEGO</v>
          </cell>
          <cell r="I2158">
            <v>13</v>
          </cell>
        </row>
        <row r="2159">
          <cell r="A2159" t="str">
            <v>19-02158</v>
          </cell>
          <cell r="B2159" t="str">
            <v>MOTTA INT.</v>
          </cell>
          <cell r="C2159" t="str">
            <v>D</v>
          </cell>
          <cell r="D2159" t="str">
            <v>N/A</v>
          </cell>
          <cell r="E2159" t="str">
            <v>ILEG75034 LEGO STAR WARS DEATH STAR TROOPERS DISCONTINUED</v>
          </cell>
          <cell r="F2159" t="str">
            <v>JUGUETES</v>
          </cell>
          <cell r="G2159" t="str">
            <v>ILEG75034</v>
          </cell>
          <cell r="H2159" t="str">
            <v>LEGO</v>
          </cell>
          <cell r="I2159">
            <v>13.1</v>
          </cell>
        </row>
        <row r="2160">
          <cell r="A2160" t="str">
            <v>19-02159</v>
          </cell>
          <cell r="B2160" t="str">
            <v>MOTTA INT.</v>
          </cell>
          <cell r="C2160" t="str">
            <v>D</v>
          </cell>
          <cell r="D2160" t="str">
            <v>N/A</v>
          </cell>
          <cell r="E2160" t="str">
            <v>ILEG75037 LEGO STAR WARS BATTLE ON SALEUCAMI DISCONTINUED</v>
          </cell>
          <cell r="F2160" t="str">
            <v>JUGUETES</v>
          </cell>
          <cell r="G2160" t="str">
            <v>ILEG75037</v>
          </cell>
          <cell r="H2160" t="str">
            <v>LEGO</v>
          </cell>
          <cell r="I2160">
            <v>15.75</v>
          </cell>
        </row>
        <row r="2161">
          <cell r="A2161" t="str">
            <v>19-02160</v>
          </cell>
          <cell r="B2161" t="str">
            <v>MOTTA INT.</v>
          </cell>
          <cell r="C2161" t="str">
            <v>D</v>
          </cell>
          <cell r="D2161" t="str">
            <v>N/A</v>
          </cell>
          <cell r="E2161" t="str">
            <v>ILEG76020 LEGO KNOWHERE ESCAPE MISSION DISCONTINUED</v>
          </cell>
          <cell r="F2161" t="str">
            <v>JUGUETES</v>
          </cell>
          <cell r="G2161" t="str">
            <v>ILEG76020</v>
          </cell>
          <cell r="H2161" t="str">
            <v>LEGO</v>
          </cell>
          <cell r="I2161">
            <v>31.5</v>
          </cell>
        </row>
        <row r="2162">
          <cell r="A2162" t="str">
            <v>19-02161</v>
          </cell>
          <cell r="B2162" t="str">
            <v>ORKHON GROUP</v>
          </cell>
          <cell r="C2162" t="str">
            <v>A</v>
          </cell>
          <cell r="D2162" t="str">
            <v>N/A</v>
          </cell>
          <cell r="E2162" t="str">
            <v>93S1212 ALTAMAR BLACK COLLAR.</v>
          </cell>
          <cell r="F2162" t="str">
            <v>COLLAR</v>
          </cell>
          <cell r="G2162" t="str">
            <v>93S1212</v>
          </cell>
          <cell r="H2162" t="str">
            <v>ALTAMAR</v>
          </cell>
          <cell r="I2162">
            <v>8.65</v>
          </cell>
        </row>
        <row r="2163">
          <cell r="A2163" t="str">
            <v>19-02162</v>
          </cell>
          <cell r="B2163" t="str">
            <v>ORKHON GROUP</v>
          </cell>
          <cell r="C2163" t="str">
            <v>A</v>
          </cell>
          <cell r="D2163" t="str">
            <v>N/A</v>
          </cell>
          <cell r="E2163" t="str">
            <v>117-FHT2320 ALTAMAR SOMBRERO.</v>
          </cell>
          <cell r="F2163" t="str">
            <v>SOMBRERO</v>
          </cell>
          <cell r="G2163" t="str">
            <v>117-FHT2320</v>
          </cell>
          <cell r="H2163" t="str">
            <v>ALTAMAR</v>
          </cell>
          <cell r="I2163">
            <v>7.24</v>
          </cell>
        </row>
        <row r="2164">
          <cell r="A2164" t="str">
            <v>19-02163</v>
          </cell>
          <cell r="B2164" t="str">
            <v>ORKHON GROUP</v>
          </cell>
          <cell r="C2164" t="str">
            <v>A</v>
          </cell>
          <cell r="D2164" t="str">
            <v>N/A</v>
          </cell>
          <cell r="E2164" t="str">
            <v>2E-5669/A1304-223 ALTAMAR PULSERA CLOE.</v>
          </cell>
          <cell r="F2164" t="str">
            <v>PULSERA</v>
          </cell>
          <cell r="G2164" t="str">
            <v>2E-5669/A1304-223</v>
          </cell>
          <cell r="H2164" t="str">
            <v>ALTAMAR</v>
          </cell>
          <cell r="I2164">
            <v>1.4</v>
          </cell>
        </row>
        <row r="2165">
          <cell r="A2165" t="str">
            <v>19-02164</v>
          </cell>
          <cell r="B2165" t="str">
            <v>ORKHON GROUP</v>
          </cell>
          <cell r="C2165" t="str">
            <v>A</v>
          </cell>
          <cell r="D2165" t="str">
            <v>N/A</v>
          </cell>
          <cell r="E2165" t="str">
            <v>A1308-263 ALTAMAR ARETES.</v>
          </cell>
          <cell r="F2165" t="str">
            <v>PENDIENTE</v>
          </cell>
          <cell r="G2165" t="str">
            <v>A1308-263</v>
          </cell>
          <cell r="H2165" t="str">
            <v>ALTAMAR</v>
          </cell>
          <cell r="I2165">
            <v>5.3</v>
          </cell>
        </row>
        <row r="2166">
          <cell r="A2166" t="str">
            <v>19-02165</v>
          </cell>
          <cell r="B2166" t="str">
            <v>ORKHON GROUP</v>
          </cell>
          <cell r="C2166" t="str">
            <v>A</v>
          </cell>
          <cell r="D2166" t="str">
            <v>N/A</v>
          </cell>
          <cell r="E2166" t="str">
            <v>A1308-267 ALTAMAR ARETES.</v>
          </cell>
          <cell r="F2166" t="str">
            <v>PENDIENTE</v>
          </cell>
          <cell r="G2166" t="str">
            <v>A1308-267</v>
          </cell>
          <cell r="H2166" t="str">
            <v>ALTAMAR</v>
          </cell>
          <cell r="I2166">
            <v>5.8</v>
          </cell>
        </row>
        <row r="2167">
          <cell r="A2167" t="str">
            <v>19-02166</v>
          </cell>
          <cell r="B2167" t="str">
            <v>ORKHON GROUP</v>
          </cell>
          <cell r="C2167" t="str">
            <v>A</v>
          </cell>
          <cell r="D2167" t="str">
            <v>N/A</v>
          </cell>
          <cell r="E2167" t="str">
            <v>126539 ALTAMAR COLLAR</v>
          </cell>
          <cell r="F2167" t="str">
            <v>COLLAR</v>
          </cell>
          <cell r="G2167">
            <v>126539</v>
          </cell>
          <cell r="H2167" t="str">
            <v>ALTAMAR</v>
          </cell>
          <cell r="I2167">
            <v>12</v>
          </cell>
        </row>
        <row r="2168">
          <cell r="A2168" t="str">
            <v>19-02167</v>
          </cell>
          <cell r="B2168" t="str">
            <v>ORKHON GROUP</v>
          </cell>
          <cell r="C2168" t="str">
            <v>A</v>
          </cell>
          <cell r="D2168" t="str">
            <v>N/A</v>
          </cell>
          <cell r="E2168" t="str">
            <v>A1403-47 ALTAMAR PULSERA CLOE HOMBRE</v>
          </cell>
          <cell r="F2168" t="str">
            <v>PULSERA</v>
          </cell>
          <cell r="G2168" t="str">
            <v>A1403-47</v>
          </cell>
          <cell r="H2168" t="str">
            <v>ALTAMAR</v>
          </cell>
          <cell r="I2168">
            <v>3.75</v>
          </cell>
        </row>
        <row r="2169">
          <cell r="A2169" t="str">
            <v>19-02168</v>
          </cell>
          <cell r="B2169" t="str">
            <v>ORKHON GROUP</v>
          </cell>
          <cell r="C2169" t="str">
            <v>A</v>
          </cell>
          <cell r="D2169" t="str">
            <v>N/A</v>
          </cell>
          <cell r="E2169" t="str">
            <v>A1403-84 ALTAMAR PULSERA CLOE</v>
          </cell>
          <cell r="F2169" t="str">
            <v>PULSERA</v>
          </cell>
          <cell r="G2169" t="str">
            <v>A1403-84</v>
          </cell>
          <cell r="H2169" t="str">
            <v>ALTAMAR</v>
          </cell>
          <cell r="I2169">
            <v>2.56</v>
          </cell>
        </row>
        <row r="2170">
          <cell r="A2170" t="str">
            <v>19-02169</v>
          </cell>
          <cell r="B2170" t="str">
            <v>ORKHON GROUP</v>
          </cell>
          <cell r="C2170" t="str">
            <v>D</v>
          </cell>
          <cell r="D2170" t="str">
            <v>N/A</v>
          </cell>
          <cell r="E2170" t="str">
            <v>A1403-84 ALTAMAR PULSERA CLOE</v>
          </cell>
          <cell r="F2170" t="str">
            <v>PULSERA</v>
          </cell>
          <cell r="G2170" t="str">
            <v>A1403-84</v>
          </cell>
          <cell r="H2170" t="str">
            <v>ALTAMAR</v>
          </cell>
          <cell r="I2170">
            <v>2.56</v>
          </cell>
        </row>
        <row r="2171">
          <cell r="A2171" t="str">
            <v>19-02170</v>
          </cell>
          <cell r="B2171" t="str">
            <v>ORKHON GROUP</v>
          </cell>
          <cell r="C2171" t="str">
            <v>A</v>
          </cell>
          <cell r="D2171" t="str">
            <v>N/A</v>
          </cell>
          <cell r="E2171" t="str">
            <v>A1403-95 ALTAMAR PULSERA CLOE</v>
          </cell>
          <cell r="F2171" t="str">
            <v>PULSERA</v>
          </cell>
          <cell r="G2171" t="str">
            <v>A1403-95</v>
          </cell>
          <cell r="H2171" t="str">
            <v>ALTAMAR</v>
          </cell>
          <cell r="I2171">
            <v>2</v>
          </cell>
        </row>
        <row r="2172">
          <cell r="A2172" t="str">
            <v>19-02171</v>
          </cell>
          <cell r="B2172" t="str">
            <v>ORKHON GROUP</v>
          </cell>
          <cell r="C2172" t="str">
            <v>A</v>
          </cell>
          <cell r="D2172" t="str">
            <v>N/A</v>
          </cell>
          <cell r="E2172" t="str">
            <v>A1407-106 ALTAMAR PULSERA CLOE</v>
          </cell>
          <cell r="F2172" t="str">
            <v>PULSERA</v>
          </cell>
          <cell r="G2172" t="str">
            <v>A1407-106</v>
          </cell>
          <cell r="H2172" t="str">
            <v>ALTAMAR</v>
          </cell>
          <cell r="I2172">
            <v>2.75</v>
          </cell>
        </row>
        <row r="2173">
          <cell r="A2173" t="str">
            <v>19-02172</v>
          </cell>
          <cell r="B2173" t="str">
            <v>ORKHON GROUP</v>
          </cell>
          <cell r="C2173" t="str">
            <v>A</v>
          </cell>
          <cell r="D2173" t="str">
            <v>N/A</v>
          </cell>
          <cell r="E2173" t="str">
            <v>A1407-116 ALTAMAR PULSERA CLOE</v>
          </cell>
          <cell r="F2173" t="str">
            <v>PULSERA</v>
          </cell>
          <cell r="G2173" t="str">
            <v>A1407-116</v>
          </cell>
          <cell r="H2173" t="str">
            <v>ALTAMAR</v>
          </cell>
          <cell r="I2173">
            <v>3.1</v>
          </cell>
        </row>
        <row r="2174">
          <cell r="A2174" t="str">
            <v>19-02173</v>
          </cell>
          <cell r="B2174" t="str">
            <v>ORKHON GROUP</v>
          </cell>
          <cell r="C2174" t="str">
            <v>A</v>
          </cell>
          <cell r="D2174" t="str">
            <v>N/A</v>
          </cell>
          <cell r="E2174" t="str">
            <v>A1407-117 ALTAMAR PULSERA CLOE</v>
          </cell>
          <cell r="F2174" t="str">
            <v>PULSERA</v>
          </cell>
          <cell r="G2174" t="str">
            <v>A1407-117</v>
          </cell>
          <cell r="H2174" t="str">
            <v>ALTAMAR</v>
          </cell>
          <cell r="I2174">
            <v>2</v>
          </cell>
        </row>
        <row r="2175">
          <cell r="A2175" t="str">
            <v>19-02174</v>
          </cell>
          <cell r="B2175" t="str">
            <v>ORKHON GROUP</v>
          </cell>
          <cell r="C2175" t="str">
            <v>A</v>
          </cell>
          <cell r="D2175" t="str">
            <v>N/A</v>
          </cell>
          <cell r="E2175" t="str">
            <v>A1407-124 ALTAMAR PULSERA CLOE</v>
          </cell>
          <cell r="F2175" t="str">
            <v>PULSERA</v>
          </cell>
          <cell r="G2175" t="str">
            <v>A1407-124</v>
          </cell>
          <cell r="H2175" t="str">
            <v>ALTAMAR</v>
          </cell>
          <cell r="I2175">
            <v>3.12</v>
          </cell>
        </row>
        <row r="2176">
          <cell r="A2176" t="str">
            <v>19-02175</v>
          </cell>
          <cell r="B2176" t="str">
            <v>ORKHON GROUP</v>
          </cell>
          <cell r="C2176" t="str">
            <v>A</v>
          </cell>
          <cell r="D2176" t="str">
            <v>N/A</v>
          </cell>
          <cell r="E2176" t="str">
            <v>A1407-127 ALTAMAR PULSERAS CLOE</v>
          </cell>
          <cell r="F2176" t="str">
            <v>PULSERA</v>
          </cell>
          <cell r="G2176" t="str">
            <v>A1407-127</v>
          </cell>
          <cell r="H2176" t="str">
            <v>ALTAMAR</v>
          </cell>
          <cell r="I2176">
            <v>2.56</v>
          </cell>
        </row>
        <row r="2177">
          <cell r="A2177" t="str">
            <v>19-02176</v>
          </cell>
          <cell r="B2177" t="str">
            <v>ORKHON GROUP</v>
          </cell>
          <cell r="C2177" t="str">
            <v>A</v>
          </cell>
          <cell r="D2177" t="str">
            <v>N/A</v>
          </cell>
          <cell r="E2177" t="str">
            <v>A1407-129 ALTAMAR PULSERAS CLOE</v>
          </cell>
          <cell r="F2177" t="str">
            <v>PULSERA</v>
          </cell>
          <cell r="G2177" t="str">
            <v>A1407-129</v>
          </cell>
          <cell r="H2177" t="str">
            <v>ALTAMAR</v>
          </cell>
          <cell r="I2177">
            <v>3</v>
          </cell>
        </row>
        <row r="2178">
          <cell r="A2178" t="str">
            <v>19-02177</v>
          </cell>
          <cell r="B2178" t="str">
            <v>ORKHON GROUP</v>
          </cell>
          <cell r="C2178" t="str">
            <v>A</v>
          </cell>
          <cell r="D2178" t="str">
            <v>N/A</v>
          </cell>
          <cell r="E2178" t="str">
            <v>A1407-135 ALTAMAR PULSERAS CLOE</v>
          </cell>
          <cell r="F2178" t="str">
            <v>PULSERA</v>
          </cell>
          <cell r="G2178" t="str">
            <v>A1407-135</v>
          </cell>
          <cell r="H2178" t="str">
            <v>ALTAMAR</v>
          </cell>
          <cell r="I2178">
            <v>2</v>
          </cell>
        </row>
        <row r="2179">
          <cell r="A2179" t="str">
            <v>19-02178</v>
          </cell>
          <cell r="B2179" t="str">
            <v>ORKHON GROUP</v>
          </cell>
          <cell r="C2179" t="str">
            <v>A</v>
          </cell>
          <cell r="D2179" t="str">
            <v>N/A</v>
          </cell>
          <cell r="E2179" t="str">
            <v>A1407-136 ALTAMAR PULSERAS CLOE</v>
          </cell>
          <cell r="F2179" t="str">
            <v>PULSERA</v>
          </cell>
          <cell r="G2179" t="str">
            <v>A1407-136</v>
          </cell>
          <cell r="H2179" t="str">
            <v>ALTAMAR</v>
          </cell>
          <cell r="I2179">
            <v>2.75</v>
          </cell>
        </row>
        <row r="2180">
          <cell r="A2180" t="str">
            <v>19-02179</v>
          </cell>
          <cell r="B2180" t="str">
            <v>ORKHON GROUP</v>
          </cell>
          <cell r="C2180" t="str">
            <v>A</v>
          </cell>
          <cell r="D2180" t="str">
            <v>N/A</v>
          </cell>
          <cell r="E2180" t="str">
            <v>A1407-141 ALTAMAR PULSERAS CLOE</v>
          </cell>
          <cell r="F2180" t="str">
            <v>PULSERA</v>
          </cell>
          <cell r="G2180" t="str">
            <v>A1407-141</v>
          </cell>
          <cell r="H2180" t="str">
            <v>ALTAMAR</v>
          </cell>
          <cell r="I2180">
            <v>2.5</v>
          </cell>
        </row>
        <row r="2181">
          <cell r="A2181" t="str">
            <v>19-02180</v>
          </cell>
          <cell r="B2181" t="str">
            <v>ORKHON GROUP</v>
          </cell>
          <cell r="C2181" t="str">
            <v>A</v>
          </cell>
          <cell r="D2181" t="str">
            <v>N/A</v>
          </cell>
          <cell r="E2181" t="str">
            <v>A1407-144 ALTAMAR PULSERAS CLOE</v>
          </cell>
          <cell r="F2181" t="str">
            <v>PULSERA</v>
          </cell>
          <cell r="G2181" t="str">
            <v>A1407-144</v>
          </cell>
          <cell r="H2181" t="str">
            <v>ALTAMAR</v>
          </cell>
          <cell r="I2181">
            <v>5.5</v>
          </cell>
        </row>
        <row r="2182">
          <cell r="A2182" t="str">
            <v>19-02181</v>
          </cell>
          <cell r="B2182" t="str">
            <v>ORKHON GROUP</v>
          </cell>
          <cell r="C2182" t="str">
            <v>A</v>
          </cell>
          <cell r="D2182" t="str">
            <v>N/A</v>
          </cell>
          <cell r="E2182" t="str">
            <v>A1407-151 ALTAMAR ARETES</v>
          </cell>
          <cell r="F2182" t="str">
            <v>PENDIENTE</v>
          </cell>
          <cell r="G2182" t="str">
            <v>A1407-151</v>
          </cell>
          <cell r="H2182" t="str">
            <v>ALTAMAR</v>
          </cell>
          <cell r="I2182">
            <v>4.2</v>
          </cell>
        </row>
        <row r="2183">
          <cell r="A2183" t="str">
            <v>19-02182</v>
          </cell>
          <cell r="B2183" t="str">
            <v>ORKHON GROUP</v>
          </cell>
          <cell r="C2183" t="str">
            <v>A</v>
          </cell>
          <cell r="D2183" t="str">
            <v>N/A</v>
          </cell>
          <cell r="E2183" t="str">
            <v>A1407-152 ALTAMAR ARETES</v>
          </cell>
          <cell r="F2183" t="str">
            <v>PENDIENTE</v>
          </cell>
          <cell r="G2183" t="str">
            <v>A1407-152</v>
          </cell>
          <cell r="H2183" t="str">
            <v>ALTAMAR</v>
          </cell>
          <cell r="I2183">
            <v>5.2</v>
          </cell>
        </row>
        <row r="2184">
          <cell r="A2184" t="str">
            <v>19-02183</v>
          </cell>
          <cell r="B2184" t="str">
            <v>ORKHON GROUP</v>
          </cell>
          <cell r="C2184" t="str">
            <v>A</v>
          </cell>
          <cell r="D2184" t="str">
            <v>N/A</v>
          </cell>
          <cell r="E2184" t="str">
            <v>A1407-156 ALTAMAR ARETES</v>
          </cell>
          <cell r="F2184" t="str">
            <v>PENDIENTE</v>
          </cell>
          <cell r="G2184" t="str">
            <v>A1407-156</v>
          </cell>
          <cell r="H2184" t="str">
            <v>ALTAMAR</v>
          </cell>
          <cell r="I2184">
            <v>4</v>
          </cell>
        </row>
        <row r="2185">
          <cell r="A2185" t="str">
            <v>19-02184</v>
          </cell>
          <cell r="B2185" t="str">
            <v>ORKHON GROUP</v>
          </cell>
          <cell r="C2185" t="str">
            <v>A</v>
          </cell>
          <cell r="D2185" t="str">
            <v>N/A</v>
          </cell>
          <cell r="E2185" t="str">
            <v>A1407-160 ALTAMAR ARETES</v>
          </cell>
          <cell r="F2185" t="str">
            <v>PENDIENTE</v>
          </cell>
          <cell r="G2185" t="str">
            <v>A1407-160</v>
          </cell>
          <cell r="H2185" t="str">
            <v>ALTAMAR</v>
          </cell>
          <cell r="I2185">
            <v>5.5</v>
          </cell>
        </row>
        <row r="2186">
          <cell r="A2186" t="str">
            <v>19-02185</v>
          </cell>
          <cell r="B2186" t="str">
            <v>ORKHON GROUP</v>
          </cell>
          <cell r="C2186" t="str">
            <v>A</v>
          </cell>
          <cell r="D2186" t="str">
            <v>N/A</v>
          </cell>
          <cell r="E2186" t="str">
            <v>A1407-167 ALTAMAR ARETES</v>
          </cell>
          <cell r="F2186" t="str">
            <v>PENDIENTE</v>
          </cell>
          <cell r="G2186" t="str">
            <v>A1407-167</v>
          </cell>
          <cell r="H2186" t="str">
            <v>ALTAMAR</v>
          </cell>
          <cell r="I2186">
            <v>5.5</v>
          </cell>
        </row>
        <row r="2187">
          <cell r="A2187" t="str">
            <v>19-02186</v>
          </cell>
          <cell r="B2187" t="str">
            <v>ORKHON GROUP</v>
          </cell>
          <cell r="C2187" t="str">
            <v>A</v>
          </cell>
          <cell r="D2187" t="str">
            <v>N/A</v>
          </cell>
          <cell r="E2187" t="str">
            <v>A1407-171 ALTAMAR ARETES</v>
          </cell>
          <cell r="F2187" t="str">
            <v>PENDIENTE</v>
          </cell>
          <cell r="G2187" t="str">
            <v>A1407-171</v>
          </cell>
          <cell r="H2187" t="str">
            <v>ALTAMAR</v>
          </cell>
          <cell r="I2187">
            <v>5</v>
          </cell>
        </row>
        <row r="2188">
          <cell r="A2188" t="str">
            <v>19-02187</v>
          </cell>
          <cell r="B2188" t="str">
            <v>ORKHON GROUP</v>
          </cell>
          <cell r="C2188" t="str">
            <v>A</v>
          </cell>
          <cell r="D2188" t="str">
            <v>N/A</v>
          </cell>
          <cell r="E2188" t="str">
            <v>107751 ER-OE-8083 ALTAMAR ARETES</v>
          </cell>
          <cell r="F2188" t="str">
            <v>PENDIENTE</v>
          </cell>
          <cell r="G2188" t="str">
            <v>107751 ER-OE-8083</v>
          </cell>
          <cell r="H2188" t="str">
            <v>ALTAMAR</v>
          </cell>
          <cell r="I2188">
            <v>6.5</v>
          </cell>
        </row>
        <row r="2189">
          <cell r="A2189" t="str">
            <v>19-02188</v>
          </cell>
          <cell r="B2189" t="str">
            <v>ORKHON GROUP</v>
          </cell>
          <cell r="C2189" t="str">
            <v>A</v>
          </cell>
          <cell r="D2189" t="str">
            <v>N/A</v>
          </cell>
          <cell r="E2189" t="str">
            <v>A1407-199 ALTAMAR PULSERA</v>
          </cell>
          <cell r="F2189" t="str">
            <v>PULSERA</v>
          </cell>
          <cell r="G2189" t="str">
            <v>A1407-199</v>
          </cell>
          <cell r="H2189" t="str">
            <v>ALTAMAR</v>
          </cell>
          <cell r="I2189">
            <v>6.84</v>
          </cell>
        </row>
        <row r="2190">
          <cell r="A2190" t="str">
            <v>19-02189</v>
          </cell>
          <cell r="B2190" t="str">
            <v>ORKHON GROUP</v>
          </cell>
          <cell r="C2190" t="str">
            <v>A</v>
          </cell>
          <cell r="D2190" t="str">
            <v>N/A</v>
          </cell>
          <cell r="E2190" t="str">
            <v>47-XPN23293 ALTAMAR COLLAR</v>
          </cell>
          <cell r="F2190" t="str">
            <v>COLLAR</v>
          </cell>
          <cell r="G2190" t="str">
            <v>47-XPN23293</v>
          </cell>
          <cell r="H2190" t="str">
            <v>ALTAMAR</v>
          </cell>
          <cell r="I2190">
            <v>10.28</v>
          </cell>
        </row>
        <row r="2191">
          <cell r="A2191" t="str">
            <v>19-02190</v>
          </cell>
          <cell r="B2191" t="str">
            <v>ORKHON GROUP</v>
          </cell>
          <cell r="C2191" t="str">
            <v>A</v>
          </cell>
          <cell r="D2191" t="str">
            <v>N/A</v>
          </cell>
          <cell r="E2191" t="str">
            <v>78S3088 ALTAMAR COLLAR</v>
          </cell>
          <cell r="F2191" t="str">
            <v>COLLAR</v>
          </cell>
          <cell r="G2191" t="str">
            <v>78S3088</v>
          </cell>
          <cell r="H2191" t="str">
            <v>ALTAMAR</v>
          </cell>
          <cell r="I2191">
            <v>12</v>
          </cell>
        </row>
        <row r="2192">
          <cell r="A2192" t="str">
            <v>19-02191</v>
          </cell>
          <cell r="B2192" t="str">
            <v>ORKHON GROUP</v>
          </cell>
          <cell r="C2192" t="str">
            <v>A</v>
          </cell>
          <cell r="D2192" t="str">
            <v>N/A</v>
          </cell>
          <cell r="E2192" t="str">
            <v>A1407-22 ALTAMAR PULSERA CLOE</v>
          </cell>
          <cell r="F2192" t="str">
            <v>PULSERA</v>
          </cell>
          <cell r="G2192" t="str">
            <v>A1407-22</v>
          </cell>
          <cell r="H2192" t="str">
            <v>ALTAMAR</v>
          </cell>
          <cell r="I2192">
            <v>3.75</v>
          </cell>
        </row>
        <row r="2193">
          <cell r="A2193" t="str">
            <v>19-02192</v>
          </cell>
          <cell r="B2193" t="str">
            <v>ORKHON GROUP</v>
          </cell>
          <cell r="C2193" t="str">
            <v>A</v>
          </cell>
          <cell r="D2193" t="str">
            <v>N/A</v>
          </cell>
          <cell r="E2193" t="str">
            <v>LSN435 ALTAMAR COLLAR</v>
          </cell>
          <cell r="F2193" t="str">
            <v>COLLAR</v>
          </cell>
          <cell r="G2193" t="str">
            <v>LSN435</v>
          </cell>
          <cell r="H2193" t="str">
            <v>ALTAMAR</v>
          </cell>
          <cell r="I2193">
            <v>9</v>
          </cell>
        </row>
        <row r="2194">
          <cell r="A2194" t="str">
            <v>19-02193</v>
          </cell>
          <cell r="B2194" t="str">
            <v>ORKHON GROUP</v>
          </cell>
          <cell r="C2194" t="str">
            <v>A</v>
          </cell>
          <cell r="D2194" t="str">
            <v>N/A</v>
          </cell>
          <cell r="E2194" t="str">
            <v>A1407-229 ALTAMAR COLLAR</v>
          </cell>
          <cell r="F2194" t="str">
            <v>COLLAR</v>
          </cell>
          <cell r="G2194" t="str">
            <v>A1407-229</v>
          </cell>
          <cell r="H2194" t="str">
            <v>ALTAMAR</v>
          </cell>
          <cell r="I2194">
            <v>7.05</v>
          </cell>
        </row>
        <row r="2195">
          <cell r="A2195" t="str">
            <v>19-02194</v>
          </cell>
          <cell r="B2195" t="str">
            <v>ORKHON GROUP</v>
          </cell>
          <cell r="C2195" t="str">
            <v>A</v>
          </cell>
          <cell r="D2195" t="str">
            <v>N/A</v>
          </cell>
          <cell r="E2195" t="str">
            <v>A1407-28 ALTAMAR PULSERA CLOE HOMBRE</v>
          </cell>
          <cell r="F2195" t="str">
            <v>PULSERA</v>
          </cell>
          <cell r="G2195" t="str">
            <v>A1407-28</v>
          </cell>
          <cell r="H2195" t="str">
            <v>ALTAMAR</v>
          </cell>
          <cell r="I2195">
            <v>3.75</v>
          </cell>
        </row>
        <row r="2196">
          <cell r="A2196" t="str">
            <v>19-02195</v>
          </cell>
          <cell r="B2196" t="str">
            <v>ORKHON GROUP</v>
          </cell>
          <cell r="C2196" t="str">
            <v>A</v>
          </cell>
          <cell r="D2196" t="str">
            <v>N/A</v>
          </cell>
          <cell r="E2196" t="str">
            <v>A1407-29 ALTAMAR PULSERA CLOE HOMBRE</v>
          </cell>
          <cell r="F2196" t="str">
            <v>PULSERA</v>
          </cell>
          <cell r="G2196" t="str">
            <v>A1407-29</v>
          </cell>
          <cell r="H2196" t="str">
            <v>ALTAMAR</v>
          </cell>
          <cell r="I2196">
            <v>3.75</v>
          </cell>
        </row>
        <row r="2197">
          <cell r="A2197" t="str">
            <v>19-02196</v>
          </cell>
          <cell r="B2197" t="str">
            <v>ORKHON GROUP</v>
          </cell>
          <cell r="C2197" t="str">
            <v>A</v>
          </cell>
          <cell r="D2197" t="str">
            <v>N/A</v>
          </cell>
          <cell r="E2197" t="str">
            <v>A1407-30 ALTAMAR PULSERA CLOE HOMBRE</v>
          </cell>
          <cell r="F2197" t="str">
            <v>PULSERA</v>
          </cell>
          <cell r="G2197" t="str">
            <v>A1407-30</v>
          </cell>
          <cell r="H2197" t="str">
            <v>ALTAMAR</v>
          </cell>
          <cell r="I2197">
            <v>2</v>
          </cell>
        </row>
        <row r="2198">
          <cell r="A2198" t="str">
            <v>19-02197</v>
          </cell>
          <cell r="B2198" t="str">
            <v>ORKHON GROUP</v>
          </cell>
          <cell r="C2198" t="str">
            <v>A</v>
          </cell>
          <cell r="D2198" t="str">
            <v>N/A</v>
          </cell>
          <cell r="E2198" t="str">
            <v>A1407-31 ALTAMAR PULSERA CLOE HOMBRE</v>
          </cell>
          <cell r="F2198" t="str">
            <v>PULSERA</v>
          </cell>
          <cell r="G2198" t="str">
            <v>A1407-31</v>
          </cell>
          <cell r="H2198" t="str">
            <v>ALTAMAR</v>
          </cell>
          <cell r="I2198">
            <v>2.5</v>
          </cell>
        </row>
        <row r="2199">
          <cell r="A2199" t="str">
            <v>19-02198</v>
          </cell>
          <cell r="B2199" t="str">
            <v>ORKHON GROUP</v>
          </cell>
          <cell r="C2199" t="str">
            <v>A</v>
          </cell>
          <cell r="D2199" t="str">
            <v>N/A</v>
          </cell>
          <cell r="E2199" t="str">
            <v>A1407-32 ALTAMAR PULSERA CLOE HOMBRE</v>
          </cell>
          <cell r="F2199" t="str">
            <v>PULSERA</v>
          </cell>
          <cell r="G2199" t="str">
            <v>A1407-32</v>
          </cell>
          <cell r="H2199" t="str">
            <v>ALTAMAR</v>
          </cell>
          <cell r="I2199">
            <v>2.56</v>
          </cell>
        </row>
        <row r="2200">
          <cell r="A2200" t="str">
            <v>19-02199</v>
          </cell>
          <cell r="B2200" t="str">
            <v>ORKHON GROUP</v>
          </cell>
          <cell r="C2200" t="str">
            <v>A</v>
          </cell>
          <cell r="D2200" t="str">
            <v>N/A</v>
          </cell>
          <cell r="E2200" t="str">
            <v>A1407-36 ALTAMAR PULSERA CLOE HOMBRE</v>
          </cell>
          <cell r="F2200" t="str">
            <v>PULSERA</v>
          </cell>
          <cell r="G2200" t="str">
            <v>A1407-36</v>
          </cell>
          <cell r="H2200" t="str">
            <v>ALTAMAR</v>
          </cell>
          <cell r="I2200">
            <v>2.75</v>
          </cell>
        </row>
        <row r="2201">
          <cell r="A2201" t="str">
            <v>19-02200</v>
          </cell>
          <cell r="B2201" t="str">
            <v>ORKHON GROUP</v>
          </cell>
          <cell r="C2201" t="str">
            <v>A</v>
          </cell>
          <cell r="D2201" t="str">
            <v>N/A</v>
          </cell>
          <cell r="E2201" t="str">
            <v>A1407-44 ALTAMAR PULSERA</v>
          </cell>
          <cell r="F2201" t="str">
            <v>PULSERA</v>
          </cell>
          <cell r="G2201" t="str">
            <v>A1407-44</v>
          </cell>
          <cell r="H2201" t="str">
            <v>ALTAMAR</v>
          </cell>
          <cell r="I2201">
            <v>6.84</v>
          </cell>
        </row>
        <row r="2202">
          <cell r="A2202" t="str">
            <v>19-02201</v>
          </cell>
          <cell r="B2202" t="str">
            <v>ORKHON GROUP</v>
          </cell>
          <cell r="C2202" t="str">
            <v>A</v>
          </cell>
          <cell r="D2202" t="str">
            <v>N/A</v>
          </cell>
          <cell r="E2202" t="str">
            <v>A1407-66 ALTAMAR ARETES</v>
          </cell>
          <cell r="F2202" t="str">
            <v>PENDIENTE</v>
          </cell>
          <cell r="G2202" t="str">
            <v>A1407-66</v>
          </cell>
          <cell r="H2202" t="str">
            <v>ALTAMAR</v>
          </cell>
          <cell r="I2202">
            <v>5.3</v>
          </cell>
        </row>
        <row r="2203">
          <cell r="A2203" t="str">
            <v>19-02202</v>
          </cell>
          <cell r="B2203" t="str">
            <v>ORKHON GROUP</v>
          </cell>
          <cell r="C2203" t="str">
            <v>A</v>
          </cell>
          <cell r="D2203" t="str">
            <v>N/A</v>
          </cell>
          <cell r="E2203" t="str">
            <v>A1407-72 ALTAMAR ARETES</v>
          </cell>
          <cell r="F2203" t="str">
            <v>PENDIENTE</v>
          </cell>
          <cell r="G2203" t="str">
            <v>A1407-72</v>
          </cell>
          <cell r="H2203" t="str">
            <v>ALTAMAR</v>
          </cell>
          <cell r="I2203">
            <v>4.7</v>
          </cell>
        </row>
        <row r="2204">
          <cell r="A2204" t="str">
            <v>19-02203</v>
          </cell>
          <cell r="B2204" t="str">
            <v>ORKHON GROUP</v>
          </cell>
          <cell r="C2204" t="str">
            <v>A</v>
          </cell>
          <cell r="D2204" t="str">
            <v>N/A</v>
          </cell>
          <cell r="E2204" t="str">
            <v>A1407-86 ALTAMAR ARETES</v>
          </cell>
          <cell r="F2204" t="str">
            <v>PENDIENTE</v>
          </cell>
          <cell r="G2204" t="str">
            <v>A1407-86</v>
          </cell>
          <cell r="H2204" t="str">
            <v>ALTAMAR</v>
          </cell>
          <cell r="I2204">
            <v>4</v>
          </cell>
        </row>
        <row r="2205">
          <cell r="A2205" t="str">
            <v>19-02204</v>
          </cell>
          <cell r="B2205" t="str">
            <v>ORKHON GROUP</v>
          </cell>
          <cell r="C2205" t="str">
            <v>A</v>
          </cell>
          <cell r="D2205" t="str">
            <v>N/A</v>
          </cell>
          <cell r="E2205" t="str">
            <v>A1407-92 ALTAMAR ARETES</v>
          </cell>
          <cell r="F2205" t="str">
            <v>PENDIENTE</v>
          </cell>
          <cell r="G2205" t="str">
            <v>A1407-92</v>
          </cell>
          <cell r="H2205" t="str">
            <v>ALTAMAR</v>
          </cell>
          <cell r="I2205">
            <v>4.2</v>
          </cell>
        </row>
        <row r="2206">
          <cell r="A2206" t="str">
            <v>19-02205</v>
          </cell>
          <cell r="B2206" t="str">
            <v>ORKHON GROUP</v>
          </cell>
          <cell r="C2206" t="str">
            <v>A</v>
          </cell>
          <cell r="D2206" t="str">
            <v>N/A</v>
          </cell>
          <cell r="E2206" t="str">
            <v>JE3062 ALTAMAR ARETES</v>
          </cell>
          <cell r="F2206" t="str">
            <v>PENDIENTE</v>
          </cell>
          <cell r="G2206" t="str">
            <v>JE3062</v>
          </cell>
          <cell r="H2206" t="str">
            <v>ALTAMAR</v>
          </cell>
          <cell r="I2206">
            <v>8.3000000000000007</v>
          </cell>
        </row>
        <row r="2207">
          <cell r="A2207" t="str">
            <v>19-02206</v>
          </cell>
          <cell r="B2207" t="str">
            <v>ORKHON GROUP</v>
          </cell>
          <cell r="C2207" t="str">
            <v>A</v>
          </cell>
          <cell r="D2207" t="str">
            <v>N/A</v>
          </cell>
          <cell r="E2207" t="str">
            <v>A1407-95 ALTAMAR ARETES</v>
          </cell>
          <cell r="F2207" t="str">
            <v>PENDIENTE</v>
          </cell>
          <cell r="G2207" t="str">
            <v>A1407-95</v>
          </cell>
          <cell r="H2207" t="str">
            <v>ALTAMAR</v>
          </cell>
          <cell r="I2207">
            <v>6.3</v>
          </cell>
        </row>
        <row r="2208">
          <cell r="A2208" t="str">
            <v>19-02207</v>
          </cell>
          <cell r="B2208" t="str">
            <v>ORKHON GROUP</v>
          </cell>
          <cell r="C2208" t="str">
            <v>A</v>
          </cell>
          <cell r="D2208" t="str">
            <v>N/A</v>
          </cell>
          <cell r="E2208" t="str">
            <v>B1407-11 ALTAMAR BUFANDA</v>
          </cell>
          <cell r="F2208" t="str">
            <v>BUFANDA</v>
          </cell>
          <cell r="G2208" t="str">
            <v>B1407-11</v>
          </cell>
          <cell r="H2208" t="str">
            <v>ALTAMAR</v>
          </cell>
          <cell r="I2208">
            <v>7.95</v>
          </cell>
        </row>
        <row r="2209">
          <cell r="A2209" t="str">
            <v>19-02208</v>
          </cell>
          <cell r="B2209" t="str">
            <v>ORKHON GROUP</v>
          </cell>
          <cell r="C2209" t="str">
            <v>A</v>
          </cell>
          <cell r="D2209" t="str">
            <v>N/A</v>
          </cell>
          <cell r="E2209" t="str">
            <v>B1407-24 ALTAMAR BUFANDA</v>
          </cell>
          <cell r="F2209" t="str">
            <v>BUFANDA</v>
          </cell>
          <cell r="G2209" t="str">
            <v>B1407-24</v>
          </cell>
          <cell r="H2209" t="str">
            <v>ALTAMAR</v>
          </cell>
          <cell r="I2209">
            <v>10.199999999999999</v>
          </cell>
        </row>
        <row r="2210">
          <cell r="A2210" t="str">
            <v>19-02209</v>
          </cell>
          <cell r="B2210" t="str">
            <v>ORKHON GROUP</v>
          </cell>
          <cell r="C2210" t="str">
            <v>A</v>
          </cell>
          <cell r="D2210" t="str">
            <v>N/A</v>
          </cell>
          <cell r="E2210" t="str">
            <v>B1407-25 ALTAMAR PANOELETA</v>
          </cell>
          <cell r="F2210" t="str">
            <v>BUFANDA</v>
          </cell>
          <cell r="G2210" t="str">
            <v>B1407-25</v>
          </cell>
          <cell r="H2210" t="str">
            <v>ALTAMAR</v>
          </cell>
          <cell r="I2210">
            <v>4</v>
          </cell>
        </row>
        <row r="2211">
          <cell r="A2211" t="str">
            <v>19-02210</v>
          </cell>
          <cell r="B2211" t="str">
            <v>ORKHON GROUP</v>
          </cell>
          <cell r="C2211" t="str">
            <v>A</v>
          </cell>
          <cell r="D2211" t="str">
            <v>N/A</v>
          </cell>
          <cell r="E2211" t="str">
            <v>B1407-26 ALTAMAR PANOELETA</v>
          </cell>
          <cell r="F2211" t="str">
            <v>BUFANDA</v>
          </cell>
          <cell r="G2211" t="str">
            <v>B1407-26</v>
          </cell>
          <cell r="H2211" t="str">
            <v>ALTAMAR</v>
          </cell>
          <cell r="I2211">
            <v>5</v>
          </cell>
        </row>
        <row r="2212">
          <cell r="A2212" t="str">
            <v>19-02211</v>
          </cell>
          <cell r="B2212" t="str">
            <v>ORKHON GROUP</v>
          </cell>
          <cell r="C2212" t="str">
            <v>A</v>
          </cell>
          <cell r="D2212" t="str">
            <v>N/A</v>
          </cell>
          <cell r="E2212" t="str">
            <v>B1407-27 ALTAMAR PANUELO</v>
          </cell>
          <cell r="F2212" t="str">
            <v>BUFANDA</v>
          </cell>
          <cell r="G2212" t="str">
            <v>B1407-27</v>
          </cell>
          <cell r="H2212" t="str">
            <v>ALTAMAR</v>
          </cell>
          <cell r="I2212">
            <v>4.72</v>
          </cell>
        </row>
        <row r="2213">
          <cell r="A2213" t="str">
            <v>19-02212</v>
          </cell>
          <cell r="B2213" t="str">
            <v>ORKHON GROUP</v>
          </cell>
          <cell r="C2213" t="str">
            <v>A</v>
          </cell>
          <cell r="D2213" t="str">
            <v>N/A</v>
          </cell>
          <cell r="E2213" t="str">
            <v>S1407-08 ALTAMAR SOMBRERO</v>
          </cell>
          <cell r="F2213" t="str">
            <v>SOMBRERO</v>
          </cell>
          <cell r="G2213" t="str">
            <v>S1407-08</v>
          </cell>
          <cell r="H2213" t="str">
            <v>ALTAMAR</v>
          </cell>
          <cell r="I2213">
            <v>8</v>
          </cell>
        </row>
        <row r="2214">
          <cell r="A2214" t="str">
            <v>19-02213</v>
          </cell>
          <cell r="B2214" t="str">
            <v>ORKHON GROUP</v>
          </cell>
          <cell r="C2214" t="str">
            <v>A</v>
          </cell>
          <cell r="D2214" t="str">
            <v>N/A</v>
          </cell>
          <cell r="E2214" t="str">
            <v>S1407-12 ALTAMAR SOMBRERO</v>
          </cell>
          <cell r="F2214" t="str">
            <v>SOMBRERO</v>
          </cell>
          <cell r="G2214" t="str">
            <v>S1407-12</v>
          </cell>
          <cell r="H2214" t="str">
            <v>ALTAMAR</v>
          </cell>
          <cell r="I2214">
            <v>9</v>
          </cell>
        </row>
        <row r="2215">
          <cell r="A2215" t="str">
            <v>19-02214</v>
          </cell>
          <cell r="B2215" t="str">
            <v>ORKHON GROUP</v>
          </cell>
          <cell r="C2215" t="str">
            <v>A</v>
          </cell>
          <cell r="D2215" t="str">
            <v>N/A</v>
          </cell>
          <cell r="E2215" t="str">
            <v>S1407-14 ALTAMAR SOMBRERO A/A</v>
          </cell>
          <cell r="F2215" t="str">
            <v>SOMBRERO</v>
          </cell>
          <cell r="G2215" t="str">
            <v>S1407-14</v>
          </cell>
          <cell r="H2215" t="str">
            <v>ALTAMAR</v>
          </cell>
          <cell r="I2215">
            <v>12</v>
          </cell>
        </row>
        <row r="2216">
          <cell r="A2216" t="str">
            <v>19-02215</v>
          </cell>
          <cell r="B2216" t="str">
            <v>ORKHON GROUP</v>
          </cell>
          <cell r="C2216" t="str">
            <v>A</v>
          </cell>
          <cell r="D2216" t="str">
            <v>N/A</v>
          </cell>
          <cell r="E2216" t="str">
            <v>117-SHT2412 ALTAMAR SOMBRERO A/A</v>
          </cell>
          <cell r="F2216" t="str">
            <v>SOMBRERO</v>
          </cell>
          <cell r="G2216" t="str">
            <v>117-SHT2412</v>
          </cell>
          <cell r="H2216" t="str">
            <v>ALTAMAR</v>
          </cell>
          <cell r="I2216">
            <v>13</v>
          </cell>
        </row>
        <row r="2217">
          <cell r="A2217" t="str">
            <v>19-02216</v>
          </cell>
          <cell r="B2217" t="str">
            <v>ORKHON GROUP</v>
          </cell>
          <cell r="C2217" t="str">
            <v>A</v>
          </cell>
          <cell r="D2217" t="str">
            <v>N/A</v>
          </cell>
          <cell r="E2217" t="str">
            <v>S1407-19 ALTAMAR SOMBRERO</v>
          </cell>
          <cell r="F2217" t="str">
            <v>SOMBRERO</v>
          </cell>
          <cell r="G2217" t="str">
            <v>S1407-19</v>
          </cell>
          <cell r="H2217" t="str">
            <v>ALTAMAR</v>
          </cell>
          <cell r="I2217">
            <v>6</v>
          </cell>
        </row>
        <row r="2218">
          <cell r="A2218" t="str">
            <v>19-02217</v>
          </cell>
          <cell r="B2218" t="str">
            <v>ORKHON GROUP</v>
          </cell>
          <cell r="C2218" t="str">
            <v>A</v>
          </cell>
          <cell r="D2218" t="str">
            <v>N/A</v>
          </cell>
          <cell r="E2218" t="str">
            <v>117-SHT3064-DD ALTAMAR SOMBRERO</v>
          </cell>
          <cell r="F2218" t="str">
            <v>SOMBRERO</v>
          </cell>
          <cell r="G2218" t="str">
            <v>117-SHT3064-DD</v>
          </cell>
          <cell r="H2218" t="str">
            <v>ALTAMAR</v>
          </cell>
          <cell r="I2218">
            <v>10</v>
          </cell>
        </row>
        <row r="2219">
          <cell r="A2219" t="str">
            <v>19-02218</v>
          </cell>
          <cell r="B2219" t="str">
            <v>ORKHON GROUP</v>
          </cell>
          <cell r="C2219" t="str">
            <v>A</v>
          </cell>
          <cell r="D2219" t="str">
            <v>N/A</v>
          </cell>
          <cell r="E2219" t="str">
            <v>S1407-34 ALTAMAR SOMBRERO</v>
          </cell>
          <cell r="F2219" t="str">
            <v>SOMBRERO</v>
          </cell>
          <cell r="G2219" t="str">
            <v>S1407-34</v>
          </cell>
          <cell r="H2219" t="str">
            <v>ALTAMAR</v>
          </cell>
          <cell r="I2219">
            <v>9.5</v>
          </cell>
        </row>
        <row r="2220">
          <cell r="A2220" t="str">
            <v>19-02219</v>
          </cell>
          <cell r="B2220" t="str">
            <v>ORKHON GROUP</v>
          </cell>
          <cell r="C2220" t="str">
            <v>A</v>
          </cell>
          <cell r="D2220" t="str">
            <v>N/A</v>
          </cell>
          <cell r="E2220" t="str">
            <v>S1407-43 ALTAMAR SOMBRERO A/A</v>
          </cell>
          <cell r="F2220" t="str">
            <v>SOMBRERO</v>
          </cell>
          <cell r="G2220" t="str">
            <v>S1407-43</v>
          </cell>
          <cell r="H2220" t="str">
            <v>ALTAMAR</v>
          </cell>
          <cell r="I2220">
            <v>10</v>
          </cell>
        </row>
        <row r="2221">
          <cell r="A2221" t="str">
            <v>19-02220</v>
          </cell>
          <cell r="B2221" t="str">
            <v>ORKHON GROUP</v>
          </cell>
          <cell r="C2221" t="str">
            <v>A</v>
          </cell>
          <cell r="D2221" t="str">
            <v>N/A</v>
          </cell>
          <cell r="E2221" t="str">
            <v>S1407-50 ALTAMAR SOMBRERO</v>
          </cell>
          <cell r="F2221" t="str">
            <v>SOMBRERO</v>
          </cell>
          <cell r="G2221" t="str">
            <v>S1407-50</v>
          </cell>
          <cell r="H2221" t="str">
            <v>ALTAMAR</v>
          </cell>
          <cell r="I2221">
            <v>0</v>
          </cell>
        </row>
        <row r="2222">
          <cell r="A2222" t="str">
            <v>19-02221</v>
          </cell>
          <cell r="B2222" t="str">
            <v>NIDARIA</v>
          </cell>
          <cell r="C2222" t="str">
            <v>A</v>
          </cell>
          <cell r="D2222" t="str">
            <v>N/A</v>
          </cell>
          <cell r="E2222" t="str">
            <v>SAFE SEA LOTION BOTTLE SPF0 4OZ</v>
          </cell>
          <cell r="F2222" t="str">
            <v>SUN BLOCK</v>
          </cell>
          <cell r="G2222" t="str">
            <v>HB6141-512</v>
          </cell>
          <cell r="H2222" t="str">
            <v>SAFE SEA</v>
          </cell>
          <cell r="I2222">
            <v>2.5499999999999998</v>
          </cell>
        </row>
        <row r="2223">
          <cell r="A2223" t="str">
            <v>19-02222</v>
          </cell>
          <cell r="B2223" t="str">
            <v>NIDARIA</v>
          </cell>
          <cell r="C2223" t="str">
            <v>A</v>
          </cell>
          <cell r="D2223" t="str">
            <v>N/A</v>
          </cell>
          <cell r="E2223" t="str">
            <v>SAFE SEA BOTTLE SPF15 4OZ</v>
          </cell>
          <cell r="F2223" t="str">
            <v>SUN BLOCK</v>
          </cell>
          <cell r="G2223" t="str">
            <v>HB6141-512</v>
          </cell>
          <cell r="H2223" t="str">
            <v>SAFE SEA</v>
          </cell>
          <cell r="I2223">
            <v>2.85</v>
          </cell>
        </row>
        <row r="2224">
          <cell r="A2224" t="str">
            <v>19-02223</v>
          </cell>
          <cell r="B2224" t="str">
            <v>NIDARIA</v>
          </cell>
          <cell r="C2224" t="str">
            <v>A</v>
          </cell>
          <cell r="D2224" t="str">
            <v>N/A</v>
          </cell>
          <cell r="E2224" t="str">
            <v>SAFE SEA BOTTLE SPF40 4OZ</v>
          </cell>
          <cell r="F2224" t="str">
            <v>SUN BLOCK</v>
          </cell>
          <cell r="G2224" t="str">
            <v>HB6141-512</v>
          </cell>
          <cell r="H2224" t="str">
            <v>SAFE SEA</v>
          </cell>
          <cell r="I2224">
            <v>3.2</v>
          </cell>
        </row>
        <row r="2225">
          <cell r="A2225" t="str">
            <v>19-02224</v>
          </cell>
          <cell r="B2225" t="str">
            <v>NIDARIA</v>
          </cell>
          <cell r="C2225" t="str">
            <v>A</v>
          </cell>
          <cell r="D2225" t="str">
            <v>N/A</v>
          </cell>
          <cell r="E2225" t="str">
            <v>SAFE SEA SPRAY SPF40 4OZ</v>
          </cell>
          <cell r="F2225" t="str">
            <v>SUN BLOCK</v>
          </cell>
          <cell r="G2225" t="str">
            <v>TM5311-673</v>
          </cell>
          <cell r="H2225" t="str">
            <v>SAFE SEA</v>
          </cell>
          <cell r="I2225">
            <v>3.85</v>
          </cell>
        </row>
        <row r="2226">
          <cell r="A2226" t="str">
            <v>19-02225</v>
          </cell>
          <cell r="B2226" t="str">
            <v>NIDARIA</v>
          </cell>
          <cell r="C2226" t="str">
            <v>A</v>
          </cell>
          <cell r="D2226" t="str">
            <v>N/A</v>
          </cell>
          <cell r="E2226" t="str">
            <v>SAFE SEA BOTTLE SPF50 4OZ</v>
          </cell>
          <cell r="F2226" t="str">
            <v>SUN BLOCK</v>
          </cell>
          <cell r="G2226" t="str">
            <v>TM5311-673</v>
          </cell>
          <cell r="H2226" t="str">
            <v>SAFE SEA</v>
          </cell>
          <cell r="I2226">
            <v>3.55</v>
          </cell>
        </row>
        <row r="2227">
          <cell r="A2227" t="str">
            <v>19-02226</v>
          </cell>
          <cell r="B2227" t="str">
            <v>NIDARIA</v>
          </cell>
          <cell r="C2227" t="str">
            <v>A</v>
          </cell>
          <cell r="D2227" t="str">
            <v>N/A</v>
          </cell>
          <cell r="E2227" t="str">
            <v>SAFE SEA KIDS BOTTLE SPF50 4OZ</v>
          </cell>
          <cell r="F2227" t="str">
            <v>SUN BLOCK</v>
          </cell>
          <cell r="G2227" t="str">
            <v>TM5311-673</v>
          </cell>
          <cell r="H2227" t="str">
            <v>SAFE SEA</v>
          </cell>
          <cell r="I2227">
            <v>3.6</v>
          </cell>
        </row>
        <row r="2228">
          <cell r="A2228" t="str">
            <v>19-02227</v>
          </cell>
          <cell r="B2228" t="str">
            <v>WORLD WISHES</v>
          </cell>
          <cell r="C2228" t="str">
            <v>P</v>
          </cell>
          <cell r="D2228" t="str">
            <v>N/A</v>
          </cell>
          <cell r="E2228" t="str">
            <v>75-2068 CRAYOLA METALLIC PAPER &amp; MARKERS, TEENAGE MUTANT NINJA TURTLES</v>
          </cell>
          <cell r="F2228" t="str">
            <v>SCHOOL SUPPLIES</v>
          </cell>
          <cell r="G2228" t="str">
            <v>75-2068</v>
          </cell>
          <cell r="H2228" t="str">
            <v>CRAYOLA</v>
          </cell>
          <cell r="I2228">
            <v>6.17</v>
          </cell>
        </row>
        <row r="2229">
          <cell r="A2229" t="str">
            <v>19-02228</v>
          </cell>
          <cell r="B2229" t="str">
            <v>WORLD WISHES</v>
          </cell>
          <cell r="C2229" t="str">
            <v>A</v>
          </cell>
          <cell r="D2229" t="str">
            <v>SI</v>
          </cell>
          <cell r="E2229" t="str">
            <v>04-5227 CRAYOLA 25 CT. WASHABLE PIP-SQUEAKS® KIT</v>
          </cell>
          <cell r="F2229" t="str">
            <v>SCHOOL SUPPLIES</v>
          </cell>
          <cell r="G2229">
            <v>1215254</v>
          </cell>
          <cell r="H2229" t="str">
            <v>CRAYOLA</v>
          </cell>
          <cell r="I2229">
            <v>7</v>
          </cell>
        </row>
        <row r="2230">
          <cell r="A2230" t="str">
            <v>19-02229</v>
          </cell>
          <cell r="B2230" t="str">
            <v>WORLD WISHES</v>
          </cell>
          <cell r="C2230" t="str">
            <v>D</v>
          </cell>
          <cell r="D2230" t="str">
            <v>N/A</v>
          </cell>
          <cell r="E2230" t="str">
            <v>95-1046 CRAYOLA COLOR ALIVE MYTHICAL CREATURES DISCONTINUED</v>
          </cell>
          <cell r="F2230" t="str">
            <v>SCHOOL SUPPLIES</v>
          </cell>
          <cell r="G2230" t="str">
            <v>95-1046</v>
          </cell>
          <cell r="H2230" t="str">
            <v>CRAYOLA</v>
          </cell>
          <cell r="I2230">
            <v>3.5</v>
          </cell>
        </row>
        <row r="2231">
          <cell r="A2231" t="str">
            <v>19-02230</v>
          </cell>
          <cell r="B2231" t="str">
            <v>WORLD WISHES</v>
          </cell>
          <cell r="C2231" t="str">
            <v>D</v>
          </cell>
          <cell r="D2231" t="str">
            <v>N/A</v>
          </cell>
          <cell r="E2231" t="str">
            <v>95-1047 CRAYOLA COLOR ALIVE ENCHANTED FOREST DISCONTINUED</v>
          </cell>
          <cell r="F2231" t="str">
            <v>SCHOOL SUPPLIES</v>
          </cell>
          <cell r="G2231" t="str">
            <v>95-1047</v>
          </cell>
          <cell r="H2231" t="str">
            <v>CRAYOLA</v>
          </cell>
          <cell r="I2231">
            <v>3.5</v>
          </cell>
        </row>
        <row r="2232">
          <cell r="A2232" t="str">
            <v>19-02231</v>
          </cell>
          <cell r="B2232" t="str">
            <v>WORLD WISHES</v>
          </cell>
          <cell r="C2232" t="str">
            <v>P</v>
          </cell>
          <cell r="D2232" t="str">
            <v>N/A</v>
          </cell>
          <cell r="E2232" t="str">
            <v>95-1048 CRAYOLA COLOR ALIVE BARBIE DISCONTINUED</v>
          </cell>
          <cell r="F2232" t="str">
            <v>SCHOOL SUPPLIES</v>
          </cell>
          <cell r="G2232" t="str">
            <v>95-1048</v>
          </cell>
          <cell r="H2232" t="str">
            <v>CRAYOLA</v>
          </cell>
          <cell r="I2232">
            <v>3.5</v>
          </cell>
        </row>
        <row r="2233">
          <cell r="A2233" t="str">
            <v>19-02232</v>
          </cell>
          <cell r="B2233" t="str">
            <v>WORLD WISHES</v>
          </cell>
          <cell r="C2233" t="str">
            <v>P</v>
          </cell>
          <cell r="D2233" t="str">
            <v>N/A</v>
          </cell>
          <cell r="E2233" t="str">
            <v>74-5009 CRAYOLA X-TREME COLORING METALLIC FROZEN</v>
          </cell>
          <cell r="F2233" t="str">
            <v>SCHOOL SUPPLIES</v>
          </cell>
          <cell r="G2233" t="str">
            <v>74-5009</v>
          </cell>
          <cell r="H2233" t="str">
            <v>CRAYOLA</v>
          </cell>
          <cell r="I2233">
            <v>4.1900000000000004</v>
          </cell>
        </row>
        <row r="2234">
          <cell r="A2234" t="str">
            <v>19-02233</v>
          </cell>
          <cell r="B2234" t="str">
            <v>WORLD WISHES</v>
          </cell>
          <cell r="C2234" t="str">
            <v>P</v>
          </cell>
          <cell r="D2234" t="str">
            <v>N/A</v>
          </cell>
          <cell r="E2234" t="str">
            <v>04-1981 CRAYOLA DOODLE MAGIC ANIMALS TRAVEL MAT</v>
          </cell>
          <cell r="F2234" t="str">
            <v>SCHOOL SUPPLIES</v>
          </cell>
          <cell r="G2234">
            <v>29677</v>
          </cell>
          <cell r="H2234" t="str">
            <v>CRAYOLA</v>
          </cell>
          <cell r="I2234">
            <v>9.5</v>
          </cell>
        </row>
        <row r="2235">
          <cell r="A2235" t="str">
            <v>19-02234</v>
          </cell>
          <cell r="B2235" t="str">
            <v>WORLD WISHES</v>
          </cell>
          <cell r="C2235" t="str">
            <v>A</v>
          </cell>
          <cell r="D2235" t="str">
            <v>SI</v>
          </cell>
          <cell r="E2235" t="str">
            <v>04-5229 CRAYOLA WINDOW MARKER &amp; STENCIL SET</v>
          </cell>
          <cell r="F2235" t="str">
            <v>SCHOOL SUPPLIES</v>
          </cell>
          <cell r="G2235">
            <v>1215985</v>
          </cell>
          <cell r="H2235" t="str">
            <v>CRAYOLA</v>
          </cell>
          <cell r="I2235">
            <v>7</v>
          </cell>
        </row>
        <row r="2236">
          <cell r="A2236" t="str">
            <v>19-02235</v>
          </cell>
          <cell r="B2236" t="str">
            <v>TDL</v>
          </cell>
          <cell r="C2236" t="str">
            <v>A</v>
          </cell>
          <cell r="D2236" t="str">
            <v>N/A</v>
          </cell>
          <cell r="E2236" t="str">
            <v>A70503 AG INT SPF 4 SPRAY OIL W/CARROT 8oz</v>
          </cell>
          <cell r="F2236" t="str">
            <v>SUN BLOCK</v>
          </cell>
          <cell r="G2236" t="str">
            <v>A70503</v>
          </cell>
          <cell r="H2236" t="str">
            <v>AUSTRALIAN GOLD</v>
          </cell>
          <cell r="I2236">
            <v>4.43</v>
          </cell>
        </row>
        <row r="2237">
          <cell r="A2237" t="str">
            <v>19-02236</v>
          </cell>
          <cell r="B2237" t="str">
            <v>TDL</v>
          </cell>
          <cell r="C2237" t="str">
            <v>A</v>
          </cell>
          <cell r="D2237" t="str">
            <v>N/A</v>
          </cell>
          <cell r="E2237" t="str">
            <v>A70601 AG SPF 30 CONT SPRAY W/BRONZER 6oz</v>
          </cell>
          <cell r="F2237" t="str">
            <v>SUN BLOCK</v>
          </cell>
          <cell r="G2237" t="str">
            <v>A70601</v>
          </cell>
          <cell r="H2237" t="str">
            <v>AUSTRALIAN GOLD</v>
          </cell>
          <cell r="I2237">
            <v>5.74</v>
          </cell>
        </row>
        <row r="2238">
          <cell r="A2238" t="str">
            <v>19-02237</v>
          </cell>
          <cell r="B2238" t="str">
            <v>ORKHON GROUP</v>
          </cell>
          <cell r="C2238" t="str">
            <v>A</v>
          </cell>
          <cell r="D2238" t="str">
            <v>N/A</v>
          </cell>
          <cell r="E2238" t="str">
            <v>A1407-114 ALTAMAR PULSERA CLOE</v>
          </cell>
          <cell r="F2238" t="str">
            <v>PULSERA</v>
          </cell>
          <cell r="G2238" t="str">
            <v>A1407-114</v>
          </cell>
          <cell r="H2238" t="str">
            <v>ALTAMAR</v>
          </cell>
          <cell r="I2238">
            <v>2</v>
          </cell>
        </row>
        <row r="2239">
          <cell r="A2239" t="str">
            <v>19-02238</v>
          </cell>
          <cell r="B2239" t="str">
            <v>ORKHON GROUP</v>
          </cell>
          <cell r="C2239" t="str">
            <v>A</v>
          </cell>
          <cell r="D2239" t="str">
            <v>N/A</v>
          </cell>
          <cell r="E2239" t="str">
            <v>A1407-126 ALTAMAR PULSERAS CLOE</v>
          </cell>
          <cell r="F2239" t="str">
            <v>PULSERA</v>
          </cell>
          <cell r="G2239" t="str">
            <v>A1407-126</v>
          </cell>
          <cell r="H2239" t="str">
            <v>ALTAMAR</v>
          </cell>
          <cell r="I2239">
            <v>3</v>
          </cell>
        </row>
        <row r="2240">
          <cell r="A2240" t="str">
            <v>19-02239</v>
          </cell>
          <cell r="B2240" t="str">
            <v>ORKHON GROUP</v>
          </cell>
          <cell r="C2240" t="str">
            <v>A</v>
          </cell>
          <cell r="D2240" t="str">
            <v>N/A</v>
          </cell>
          <cell r="E2240" t="str">
            <v>A1407-131 ALTAMAR PULSERAS CLOE</v>
          </cell>
          <cell r="F2240" t="str">
            <v>PULSERA</v>
          </cell>
          <cell r="G2240" t="str">
            <v>A1407-131</v>
          </cell>
          <cell r="H2240" t="str">
            <v>ALTAMAR</v>
          </cell>
          <cell r="I2240">
            <v>3.75</v>
          </cell>
        </row>
        <row r="2241">
          <cell r="A2241" t="str">
            <v>19-02240</v>
          </cell>
          <cell r="B2241" t="str">
            <v>ORKHON GROUP</v>
          </cell>
          <cell r="C2241" t="str">
            <v>A</v>
          </cell>
          <cell r="D2241" t="str">
            <v>N/A</v>
          </cell>
          <cell r="E2241" t="str">
            <v>A1407-132 ALTAMAR PULSERAS CLOE</v>
          </cell>
          <cell r="F2241" t="str">
            <v>PULSERA</v>
          </cell>
          <cell r="G2241" t="str">
            <v>A1407-132</v>
          </cell>
          <cell r="H2241" t="str">
            <v>ALTAMAR</v>
          </cell>
          <cell r="I2241">
            <v>2.56</v>
          </cell>
        </row>
        <row r="2242">
          <cell r="A2242" t="str">
            <v>19-02241</v>
          </cell>
          <cell r="B2242" t="str">
            <v>ORKHON GROUP</v>
          </cell>
          <cell r="C2242" t="str">
            <v>A</v>
          </cell>
          <cell r="D2242" t="str">
            <v>N/A</v>
          </cell>
          <cell r="E2242" t="str">
            <v>A1407-133 ALTAMAR PULSERAS CLOE</v>
          </cell>
          <cell r="F2242" t="str">
            <v>PULSERA</v>
          </cell>
          <cell r="G2242" t="str">
            <v>A1407-133</v>
          </cell>
          <cell r="H2242" t="str">
            <v>ALTAMAR</v>
          </cell>
          <cell r="I2242">
            <v>2</v>
          </cell>
        </row>
        <row r="2243">
          <cell r="A2243" t="str">
            <v>19-02242</v>
          </cell>
          <cell r="B2243" t="str">
            <v>ORKHON GROUP</v>
          </cell>
          <cell r="C2243" t="str">
            <v>A</v>
          </cell>
          <cell r="D2243" t="str">
            <v>N/A</v>
          </cell>
          <cell r="E2243" t="str">
            <v>A1407-138 ALTAMAR PULSERAS CLOE</v>
          </cell>
          <cell r="F2243" t="str">
            <v>PULSERA</v>
          </cell>
          <cell r="G2243" t="str">
            <v>A1407-138</v>
          </cell>
          <cell r="H2243" t="str">
            <v>ALTAMAR</v>
          </cell>
          <cell r="I2243">
            <v>2</v>
          </cell>
        </row>
        <row r="2244">
          <cell r="A2244" t="str">
            <v>19-02243</v>
          </cell>
          <cell r="B2244" t="str">
            <v>ORKHON GROUP</v>
          </cell>
          <cell r="C2244" t="str">
            <v>A</v>
          </cell>
          <cell r="D2244" t="str">
            <v>N/A</v>
          </cell>
          <cell r="E2244" t="str">
            <v>A1407-17 ALTAMAR PULSERA CLOE</v>
          </cell>
          <cell r="F2244" t="str">
            <v>PULSERA</v>
          </cell>
          <cell r="G2244" t="str">
            <v>A1407-17</v>
          </cell>
          <cell r="H2244" t="str">
            <v>ALTAMAR</v>
          </cell>
          <cell r="I2244">
            <v>2.75</v>
          </cell>
        </row>
        <row r="2245">
          <cell r="A2245" t="str">
            <v>19-02244</v>
          </cell>
          <cell r="B2245" t="str">
            <v>ORKHON GROUP</v>
          </cell>
          <cell r="C2245" t="str">
            <v>A</v>
          </cell>
          <cell r="D2245" t="str">
            <v>N/A</v>
          </cell>
          <cell r="E2245" t="str">
            <v>A1407-18 ALTAMAR PULSERA CLOE</v>
          </cell>
          <cell r="F2245" t="str">
            <v>PULSERA</v>
          </cell>
          <cell r="G2245" t="str">
            <v>A1407-18</v>
          </cell>
          <cell r="H2245" t="str">
            <v>ALTAMAR</v>
          </cell>
          <cell r="I2245">
            <v>4</v>
          </cell>
        </row>
        <row r="2246">
          <cell r="A2246" t="str">
            <v>19-02245</v>
          </cell>
          <cell r="B2246" t="str">
            <v>ORKHON GROUP</v>
          </cell>
          <cell r="C2246" t="str">
            <v>A</v>
          </cell>
          <cell r="D2246" t="str">
            <v>N/A</v>
          </cell>
          <cell r="E2246" t="str">
            <v>A1407-19 ALTAMAR PULSERA CLOE</v>
          </cell>
          <cell r="F2246" t="str">
            <v>PULSERA</v>
          </cell>
          <cell r="G2246" t="str">
            <v>A1407-19</v>
          </cell>
          <cell r="H2246" t="str">
            <v>ALTAMAR</v>
          </cell>
          <cell r="I2246">
            <v>3.5</v>
          </cell>
        </row>
        <row r="2247">
          <cell r="A2247" t="str">
            <v>19-02246</v>
          </cell>
          <cell r="B2247" t="str">
            <v>ORKHON GROUP</v>
          </cell>
          <cell r="C2247" t="str">
            <v>A</v>
          </cell>
          <cell r="D2247" t="str">
            <v>N/A</v>
          </cell>
          <cell r="E2247" t="str">
            <v>A1407-33 ALTAMAR PULSERA CLOE HOMBRE</v>
          </cell>
          <cell r="F2247" t="str">
            <v>PULSERA</v>
          </cell>
          <cell r="G2247" t="str">
            <v>A1407-33</v>
          </cell>
          <cell r="H2247" t="str">
            <v>ALTAMAR</v>
          </cell>
          <cell r="I2247">
            <v>3.5</v>
          </cell>
        </row>
        <row r="2248">
          <cell r="A2248" t="str">
            <v>19-02247</v>
          </cell>
          <cell r="B2248" t="str">
            <v>ORKHON GROUP</v>
          </cell>
          <cell r="C2248" t="str">
            <v>A</v>
          </cell>
          <cell r="D2248" t="str">
            <v>N/A</v>
          </cell>
          <cell r="E2248" t="str">
            <v>A1407-34 ALTAMAR PULSERA CLOE HOMBRE</v>
          </cell>
          <cell r="F2248" t="str">
            <v>PULSERA</v>
          </cell>
          <cell r="G2248" t="str">
            <v>A1407-34</v>
          </cell>
          <cell r="H2248" t="str">
            <v>ALTAMAR</v>
          </cell>
          <cell r="I2248">
            <v>3.5</v>
          </cell>
        </row>
        <row r="2249">
          <cell r="A2249" t="str">
            <v>19-02248</v>
          </cell>
          <cell r="B2249" t="str">
            <v>ORKHON GROUP</v>
          </cell>
          <cell r="C2249" t="str">
            <v>A</v>
          </cell>
          <cell r="D2249" t="str">
            <v>N/A</v>
          </cell>
          <cell r="E2249" t="str">
            <v>A1407-37 ALTAMAR PULSERA CLOE HOMBRE</v>
          </cell>
          <cell r="F2249" t="str">
            <v>PULSERA</v>
          </cell>
          <cell r="G2249" t="str">
            <v>A1407-37</v>
          </cell>
          <cell r="H2249" t="str">
            <v>ALTAMAR</v>
          </cell>
          <cell r="I2249">
            <v>3.5</v>
          </cell>
        </row>
        <row r="2250">
          <cell r="A2250" t="str">
            <v>19-02249</v>
          </cell>
          <cell r="B2250" t="str">
            <v>ORKHON GROUP</v>
          </cell>
          <cell r="C2250" t="str">
            <v>A</v>
          </cell>
          <cell r="D2250" t="str">
            <v>N/A</v>
          </cell>
          <cell r="E2250" t="str">
            <v>A1407-38 ALTAMAR PULSERA CLOE</v>
          </cell>
          <cell r="F2250" t="str">
            <v>PULSERA</v>
          </cell>
          <cell r="G2250" t="str">
            <v>A1407-38</v>
          </cell>
          <cell r="H2250" t="str">
            <v>ALTAMAR</v>
          </cell>
          <cell r="I2250">
            <v>3.75</v>
          </cell>
        </row>
        <row r="2251">
          <cell r="A2251" t="str">
            <v>19-02250</v>
          </cell>
          <cell r="B2251" t="str">
            <v>ORKHON GROUP</v>
          </cell>
          <cell r="C2251" t="str">
            <v>A</v>
          </cell>
          <cell r="D2251" t="str">
            <v>N/A</v>
          </cell>
          <cell r="E2251" t="str">
            <v>S1407-17 ALTAMAR SOMBRERO</v>
          </cell>
          <cell r="F2251" t="str">
            <v>SOMBRERO</v>
          </cell>
          <cell r="G2251" t="str">
            <v>S1407-17</v>
          </cell>
          <cell r="H2251" t="str">
            <v>ALTAMAR</v>
          </cell>
          <cell r="I2251">
            <v>15</v>
          </cell>
        </row>
        <row r="2252">
          <cell r="A2252" t="str">
            <v>19-02251</v>
          </cell>
          <cell r="B2252" t="str">
            <v>ORKHON GROUP</v>
          </cell>
          <cell r="C2252" t="str">
            <v>A</v>
          </cell>
          <cell r="D2252" t="str">
            <v>N/A</v>
          </cell>
          <cell r="E2252" t="str">
            <v>S1407-18 ALTAMAR SOMBRERO</v>
          </cell>
          <cell r="F2252" t="str">
            <v>SOMBRERO</v>
          </cell>
          <cell r="G2252" t="str">
            <v>S1407-18</v>
          </cell>
          <cell r="H2252" t="str">
            <v>ALTAMAR</v>
          </cell>
          <cell r="I2252">
            <v>15</v>
          </cell>
        </row>
        <row r="2253">
          <cell r="A2253" t="str">
            <v>19-02252</v>
          </cell>
          <cell r="B2253" t="str">
            <v>ORKHON GROUP</v>
          </cell>
          <cell r="C2253" t="str">
            <v>A</v>
          </cell>
          <cell r="D2253" t="str">
            <v>N/A</v>
          </cell>
          <cell r="E2253" t="str">
            <v>DISPLAY SOFT COMFORT</v>
          </cell>
          <cell r="F2253" t="str">
            <v>DISPLAY</v>
          </cell>
          <cell r="H2253" t="str">
            <v>SOFT COMFORT</v>
          </cell>
          <cell r="I2253">
            <v>93.78</v>
          </cell>
        </row>
        <row r="2254">
          <cell r="A2254" t="str">
            <v>19-02253</v>
          </cell>
          <cell r="B2254" t="str">
            <v>WORLD WISHES</v>
          </cell>
          <cell r="C2254" t="str">
            <v>A</v>
          </cell>
          <cell r="D2254" t="str">
            <v>SI</v>
          </cell>
          <cell r="E2254" t="str">
            <v>58-7726 CRAYOLA 10CT. CLASSIC FINE LINE MARKERS</v>
          </cell>
          <cell r="F2254" t="str">
            <v>CRAYONES</v>
          </cell>
          <cell r="G2254" t="str">
            <v>58-7726</v>
          </cell>
          <cell r="H2254" t="str">
            <v>CRAYOLA</v>
          </cell>
          <cell r="I2254">
            <v>1.91</v>
          </cell>
        </row>
        <row r="2255">
          <cell r="A2255" t="str">
            <v>19-02254</v>
          </cell>
          <cell r="B2255" t="str">
            <v>DESIGN GO</v>
          </cell>
          <cell r="C2255" t="str">
            <v>A</v>
          </cell>
          <cell r="D2255" t="str">
            <v>NO</v>
          </cell>
          <cell r="E2255" t="str">
            <v>153 GO TRAVEL TAG ME (TWIN PACK)</v>
          </cell>
          <cell r="F2255" t="str">
            <v>TRAVEL ACCESSORIES</v>
          </cell>
          <cell r="G2255">
            <v>153</v>
          </cell>
          <cell r="H2255" t="str">
            <v>GO TRAVEL</v>
          </cell>
          <cell r="I2255">
            <v>1.94</v>
          </cell>
        </row>
        <row r="2256">
          <cell r="A2256" t="str">
            <v>19-02255</v>
          </cell>
          <cell r="B2256" t="str">
            <v>DESIGN GO</v>
          </cell>
          <cell r="C2256" t="str">
            <v>P</v>
          </cell>
          <cell r="D2256" t="str">
            <v>N/A</v>
          </cell>
          <cell r="E2256" t="str">
            <v>159 GO TRAVEL LABELS FOR LUGGAGE  (TWIN PACK)</v>
          </cell>
          <cell r="F2256" t="str">
            <v>TRAVEL ACCESSORIES</v>
          </cell>
          <cell r="G2256">
            <v>159</v>
          </cell>
          <cell r="H2256" t="str">
            <v>GO TRAVEL</v>
          </cell>
          <cell r="I2256">
            <v>2.97</v>
          </cell>
        </row>
        <row r="2257">
          <cell r="A2257" t="str">
            <v>19-02256</v>
          </cell>
          <cell r="B2257" t="str">
            <v>DESIGN GO</v>
          </cell>
          <cell r="C2257" t="str">
            <v>A</v>
          </cell>
          <cell r="D2257" t="str">
            <v>NO</v>
          </cell>
          <cell r="E2257" t="str">
            <v>177 GO TRAVEL LUGGAGE STRAP</v>
          </cell>
          <cell r="F2257" t="str">
            <v>TRAVEL ACCESSORIES</v>
          </cell>
          <cell r="G2257">
            <v>177</v>
          </cell>
          <cell r="H2257" t="str">
            <v>GO TRAVEL</v>
          </cell>
          <cell r="I2257">
            <v>3.234</v>
          </cell>
        </row>
        <row r="2258">
          <cell r="A2258" t="str">
            <v>19-02257</v>
          </cell>
          <cell r="B2258" t="str">
            <v>DESIGN GO</v>
          </cell>
          <cell r="C2258" t="str">
            <v>D</v>
          </cell>
          <cell r="D2258" t="str">
            <v>N/A</v>
          </cell>
          <cell r="E2258" t="str">
            <v>187 GO TRAVEL LUGGAGE STRAP PLUS DISCONTINUED</v>
          </cell>
          <cell r="F2258" t="str">
            <v>TRAVEL ACCESSORIES</v>
          </cell>
          <cell r="G2258">
            <v>187</v>
          </cell>
          <cell r="H2258" t="str">
            <v>GO TRAVEL</v>
          </cell>
          <cell r="I2258">
            <v>3.96</v>
          </cell>
        </row>
        <row r="2259">
          <cell r="A2259" t="str">
            <v>19-02258</v>
          </cell>
          <cell r="B2259" t="str">
            <v>DESIGN GO</v>
          </cell>
          <cell r="C2259" t="str">
            <v>A</v>
          </cell>
          <cell r="D2259" t="str">
            <v>NO</v>
          </cell>
          <cell r="E2259" t="str">
            <v>224 GO TRAVEL KEY STRAP</v>
          </cell>
          <cell r="F2259" t="str">
            <v>TRAVEL ACCESSORIES</v>
          </cell>
          <cell r="G2259">
            <v>224</v>
          </cell>
          <cell r="H2259" t="str">
            <v>GO TRAVEL</v>
          </cell>
          <cell r="I2259">
            <v>3.5579999999999998</v>
          </cell>
        </row>
        <row r="2260">
          <cell r="A2260" t="str">
            <v>19-02259</v>
          </cell>
          <cell r="B2260" t="str">
            <v>DESIGN GO</v>
          </cell>
          <cell r="C2260" t="str">
            <v>A</v>
          </cell>
          <cell r="D2260" t="str">
            <v>NO</v>
          </cell>
          <cell r="E2260" t="str">
            <v>310 GO TRAVEL GLO TRAVEL WALLET</v>
          </cell>
          <cell r="F2260" t="str">
            <v>ORGANIZADOR</v>
          </cell>
          <cell r="G2260">
            <v>310</v>
          </cell>
          <cell r="H2260" t="str">
            <v>GO TRAVEL</v>
          </cell>
          <cell r="I2260">
            <v>2.2639999999999998</v>
          </cell>
        </row>
        <row r="2261">
          <cell r="A2261" t="str">
            <v>19-02260</v>
          </cell>
          <cell r="B2261" t="str">
            <v>DESIGN GO</v>
          </cell>
          <cell r="C2261" t="str">
            <v>A</v>
          </cell>
          <cell r="D2261" t="str">
            <v>NO</v>
          </cell>
          <cell r="E2261" t="str">
            <v>337 GO TRAVEL DUAL COMBI/KEY TSA LOCK®</v>
          </cell>
          <cell r="F2261" t="str">
            <v>TRAVEL ACCESSORIES</v>
          </cell>
          <cell r="G2261">
            <v>337</v>
          </cell>
          <cell r="H2261" t="str">
            <v>GO TRAVEL</v>
          </cell>
          <cell r="I2261">
            <v>4.851</v>
          </cell>
        </row>
        <row r="2262">
          <cell r="A2262" t="str">
            <v>19-02261</v>
          </cell>
          <cell r="B2262" t="str">
            <v>DESIGN GO</v>
          </cell>
          <cell r="C2262" t="str">
            <v>P</v>
          </cell>
          <cell r="D2262" t="str">
            <v>N/A</v>
          </cell>
          <cell r="E2262" t="str">
            <v>342 GO TRAVEL SENTRY® STRAP</v>
          </cell>
          <cell r="F2262" t="str">
            <v>TRAVEL ACCESSORIES</v>
          </cell>
          <cell r="G2262">
            <v>342</v>
          </cell>
          <cell r="H2262" t="str">
            <v>GO TRAVEL</v>
          </cell>
          <cell r="I2262">
            <v>6.6</v>
          </cell>
        </row>
        <row r="2263">
          <cell r="A2263" t="str">
            <v>19-02262</v>
          </cell>
          <cell r="B2263" t="str">
            <v>DESIGN GO</v>
          </cell>
          <cell r="C2263" t="str">
            <v>A</v>
          </cell>
          <cell r="D2263" t="str">
            <v>NO</v>
          </cell>
          <cell r="E2263" t="str">
            <v>343 GO TRAVEL LOCK STRAP</v>
          </cell>
          <cell r="F2263" t="str">
            <v>TRAVEL ACCESSORIES</v>
          </cell>
          <cell r="G2263">
            <v>343</v>
          </cell>
          <cell r="H2263" t="str">
            <v>GO TRAVEL</v>
          </cell>
          <cell r="I2263">
            <v>5.1740000000000004</v>
          </cell>
        </row>
        <row r="2264">
          <cell r="A2264" t="str">
            <v>19-02263</v>
          </cell>
          <cell r="B2264" t="str">
            <v>DESIGN GO</v>
          </cell>
          <cell r="C2264" t="str">
            <v>A</v>
          </cell>
          <cell r="D2264" t="str">
            <v>NO</v>
          </cell>
          <cell r="E2264" t="str">
            <v>344 GO TRAVEL TWIN TRAVEL SENTRY®  (TWIN PACK)</v>
          </cell>
          <cell r="F2264" t="str">
            <v>TRAVEL ACCESSORIES</v>
          </cell>
          <cell r="G2264">
            <v>344</v>
          </cell>
          <cell r="H2264" t="str">
            <v>GO TRAVEL</v>
          </cell>
          <cell r="I2264">
            <v>4.851</v>
          </cell>
        </row>
        <row r="2265">
          <cell r="A2265" t="str">
            <v>19-02264</v>
          </cell>
          <cell r="B2265" t="str">
            <v>DESIGN GO</v>
          </cell>
          <cell r="C2265" t="str">
            <v>A</v>
          </cell>
          <cell r="D2265" t="str">
            <v>NO</v>
          </cell>
          <cell r="E2265" t="str">
            <v>350 GO TRAVEL SENTRY® CASE LOCK - BRASS  (TWIN PACK)</v>
          </cell>
          <cell r="F2265" t="str">
            <v>TRAVEL ACCESSORIES</v>
          </cell>
          <cell r="G2265">
            <v>350</v>
          </cell>
          <cell r="H2265" t="str">
            <v>GO TRAVEL</v>
          </cell>
          <cell r="I2265">
            <v>3.234</v>
          </cell>
        </row>
        <row r="2266">
          <cell r="A2266" t="str">
            <v>19-02265</v>
          </cell>
          <cell r="B2266" t="str">
            <v>DESIGN GO</v>
          </cell>
          <cell r="C2266" t="str">
            <v>P</v>
          </cell>
          <cell r="D2266" t="str">
            <v>N/A</v>
          </cell>
          <cell r="E2266" t="str">
            <v>354 GO TRAVEL MY DATE LOCK</v>
          </cell>
          <cell r="F2266" t="str">
            <v>TRAVEL ACCESSORIES</v>
          </cell>
          <cell r="G2266">
            <v>354</v>
          </cell>
          <cell r="H2266" t="str">
            <v>GO TRAVEL</v>
          </cell>
          <cell r="I2266">
            <v>4.95</v>
          </cell>
        </row>
        <row r="2267">
          <cell r="A2267" t="str">
            <v>19-02266</v>
          </cell>
          <cell r="B2267" t="str">
            <v>DESIGN GO</v>
          </cell>
          <cell r="C2267" t="str">
            <v>A</v>
          </cell>
          <cell r="D2267" t="str">
            <v>NO</v>
          </cell>
          <cell r="E2267" t="str">
            <v>357 GO TRAVEL TWIST 'N' SET LOCK</v>
          </cell>
          <cell r="F2267" t="str">
            <v>TRAVEL ACCESSORIES</v>
          </cell>
          <cell r="G2267">
            <v>357</v>
          </cell>
          <cell r="H2267" t="str">
            <v>GO TRAVEL</v>
          </cell>
          <cell r="I2267">
            <v>4.851</v>
          </cell>
        </row>
        <row r="2268">
          <cell r="A2268" t="str">
            <v>19-02267</v>
          </cell>
          <cell r="B2268" t="str">
            <v>DESIGN GO</v>
          </cell>
          <cell r="C2268" t="str">
            <v>A</v>
          </cell>
          <cell r="D2268" t="str">
            <v>NO</v>
          </cell>
          <cell r="E2268" t="str">
            <v>378 GO TRAVEL N &amp; S AMERICA TO EUROPE  ADAPTOR (GROUNDED)</v>
          </cell>
          <cell r="F2268" t="str">
            <v>TRAVEL ACCESSORIES</v>
          </cell>
          <cell r="G2268">
            <v>378</v>
          </cell>
          <cell r="H2268" t="str">
            <v>GO TRAVEL</v>
          </cell>
          <cell r="I2268">
            <v>3.234</v>
          </cell>
        </row>
        <row r="2269">
          <cell r="A2269" t="str">
            <v>19-02268</v>
          </cell>
          <cell r="B2269" t="str">
            <v>DESIGN GO</v>
          </cell>
          <cell r="C2269" t="str">
            <v>A</v>
          </cell>
          <cell r="D2269" t="str">
            <v>NO</v>
          </cell>
          <cell r="E2269" t="str">
            <v>382 GO TRAVEL WORLDWIDE ADAPTOR KIT &amp; DUAL CONVERTER</v>
          </cell>
          <cell r="F2269" t="str">
            <v>ADAPTOR</v>
          </cell>
          <cell r="G2269">
            <v>382</v>
          </cell>
          <cell r="H2269" t="str">
            <v>GO TRAVEL</v>
          </cell>
          <cell r="I2269">
            <v>11.319000000000001</v>
          </cell>
        </row>
        <row r="2270">
          <cell r="A2270" t="str">
            <v>19-02269</v>
          </cell>
          <cell r="B2270" t="str">
            <v>DESIGN GO</v>
          </cell>
          <cell r="C2270" t="str">
            <v>A</v>
          </cell>
          <cell r="D2270" t="str">
            <v>NO</v>
          </cell>
          <cell r="E2270" t="str">
            <v>401 GO TRAVEL WORLDWIDE ADAPTOR</v>
          </cell>
          <cell r="F2270" t="str">
            <v>ADAPTOR</v>
          </cell>
          <cell r="G2270">
            <v>401</v>
          </cell>
          <cell r="H2270" t="str">
            <v>GO TRAVEL</v>
          </cell>
          <cell r="I2270">
            <v>8.0850000000000009</v>
          </cell>
        </row>
        <row r="2271">
          <cell r="A2271" t="str">
            <v>19-02270</v>
          </cell>
          <cell r="B2271" t="str">
            <v>DESIGN GO</v>
          </cell>
          <cell r="C2271" t="str">
            <v>A</v>
          </cell>
          <cell r="D2271" t="str">
            <v>NO</v>
          </cell>
          <cell r="E2271" t="str">
            <v>464 GO TRAVEL CARRY CLIP</v>
          </cell>
          <cell r="F2271" t="str">
            <v>TRAVEL ACCESSORIES</v>
          </cell>
          <cell r="G2271">
            <v>464</v>
          </cell>
          <cell r="H2271" t="str">
            <v>GO TRAVEL</v>
          </cell>
          <cell r="I2271">
            <v>0</v>
          </cell>
        </row>
        <row r="2272">
          <cell r="A2272" t="str">
            <v>19-02271</v>
          </cell>
          <cell r="B2272" t="str">
            <v>DESIGN GO</v>
          </cell>
          <cell r="C2272" t="str">
            <v>A</v>
          </cell>
          <cell r="D2272" t="str">
            <v>NO</v>
          </cell>
          <cell r="E2272" t="str">
            <v>566 GO TRAVEL FAB TAG   (TWIN PACK)</v>
          </cell>
          <cell r="F2272" t="str">
            <v>LABEL</v>
          </cell>
          <cell r="G2272">
            <v>566</v>
          </cell>
          <cell r="H2272" t="str">
            <v>GO TRAVEL</v>
          </cell>
          <cell r="I2272">
            <v>3.96</v>
          </cell>
        </row>
        <row r="2273">
          <cell r="A2273" t="str">
            <v>19-02272</v>
          </cell>
          <cell r="B2273" t="str">
            <v>DESIGN GO</v>
          </cell>
          <cell r="C2273" t="str">
            <v>A</v>
          </cell>
          <cell r="D2273" t="str">
            <v>NO</v>
          </cell>
          <cell r="E2273" t="str">
            <v>572 GO TRAVEL BAG ID SET</v>
          </cell>
          <cell r="F2273" t="str">
            <v>LABEL</v>
          </cell>
          <cell r="G2273">
            <v>572</v>
          </cell>
          <cell r="H2273" t="str">
            <v>GO TRAVEL</v>
          </cell>
          <cell r="I2273">
            <v>3.234</v>
          </cell>
        </row>
        <row r="2274">
          <cell r="A2274" t="str">
            <v>19-02273</v>
          </cell>
          <cell r="B2274" t="str">
            <v>DESIGN GO</v>
          </cell>
          <cell r="C2274" t="str">
            <v>A</v>
          </cell>
          <cell r="D2274" t="str">
            <v>NO</v>
          </cell>
          <cell r="E2274" t="str">
            <v>599 GO TRAVEL BODY POCKET</v>
          </cell>
          <cell r="F2274" t="str">
            <v>ORGANIZADOR</v>
          </cell>
          <cell r="G2274">
            <v>599</v>
          </cell>
          <cell r="H2274" t="str">
            <v>GO TRAVEL</v>
          </cell>
          <cell r="I2274">
            <v>5.4980000000000002</v>
          </cell>
        </row>
        <row r="2275">
          <cell r="A2275" t="str">
            <v>19-02274</v>
          </cell>
          <cell r="B2275" t="str">
            <v>DESIGN GO</v>
          </cell>
          <cell r="C2275" t="str">
            <v>A</v>
          </cell>
          <cell r="D2275" t="str">
            <v>NO</v>
          </cell>
          <cell r="E2275" t="str">
            <v>656 GO TRAVEL CABIN BOTTLES</v>
          </cell>
          <cell r="F2275" t="str">
            <v>LOCK</v>
          </cell>
          <cell r="G2275">
            <v>656</v>
          </cell>
          <cell r="H2275" t="str">
            <v>GO TRAVEL</v>
          </cell>
          <cell r="I2275">
            <v>4.95</v>
          </cell>
        </row>
        <row r="2276">
          <cell r="A2276" t="str">
            <v>19-02275</v>
          </cell>
          <cell r="B2276" t="str">
            <v>DESIGN GO</v>
          </cell>
          <cell r="C2276" t="str">
            <v>A</v>
          </cell>
          <cell r="D2276" t="str">
            <v>NO</v>
          </cell>
          <cell r="E2276" t="str">
            <v>665 GO TRAVEL DRINKS BOTTLE</v>
          </cell>
          <cell r="F2276" t="str">
            <v>ORGANIZADOR</v>
          </cell>
          <cell r="G2276">
            <v>665</v>
          </cell>
          <cell r="H2276" t="str">
            <v>GO TRAVEL</v>
          </cell>
          <cell r="I2276">
            <v>4.2039999999999997</v>
          </cell>
        </row>
        <row r="2277">
          <cell r="A2277" t="str">
            <v>19-02276</v>
          </cell>
          <cell r="B2277" t="str">
            <v>DESIGN GO</v>
          </cell>
          <cell r="C2277" t="str">
            <v>A</v>
          </cell>
          <cell r="D2277" t="str">
            <v>NO</v>
          </cell>
          <cell r="E2277" t="str">
            <v>675 GO TRAVEL MONEY BELT RFID</v>
          </cell>
          <cell r="F2277" t="str">
            <v>ORGANIZADOR</v>
          </cell>
          <cell r="G2277">
            <v>675</v>
          </cell>
          <cell r="H2277" t="str">
            <v>GO TRAVEL</v>
          </cell>
          <cell r="I2277">
            <v>4.851</v>
          </cell>
        </row>
        <row r="2278">
          <cell r="A2278" t="str">
            <v>19-02277</v>
          </cell>
          <cell r="B2278" t="str">
            <v>DESIGN GO</v>
          </cell>
          <cell r="C2278" t="str">
            <v>A</v>
          </cell>
          <cell r="D2278" t="str">
            <v>NO</v>
          </cell>
          <cell r="E2278" t="str">
            <v>723 GO TRAVEL THE NIGHTSHADE</v>
          </cell>
          <cell r="F2278" t="str">
            <v>EYE MASK</v>
          </cell>
          <cell r="G2278">
            <v>723</v>
          </cell>
          <cell r="H2278" t="str">
            <v>GO TRAVEL</v>
          </cell>
          <cell r="I2278">
            <v>3.234</v>
          </cell>
        </row>
        <row r="2279">
          <cell r="A2279" t="str">
            <v>19-02278</v>
          </cell>
          <cell r="B2279" t="str">
            <v>DESIGN GO</v>
          </cell>
          <cell r="C2279" t="str">
            <v>A</v>
          </cell>
          <cell r="D2279" t="str">
            <v>NO</v>
          </cell>
          <cell r="E2279" t="str">
            <v>725 GO TRAVEL SILKY EYE MASK</v>
          </cell>
          <cell r="F2279" t="str">
            <v>EYE MASK</v>
          </cell>
          <cell r="G2279">
            <v>725</v>
          </cell>
          <cell r="H2279" t="str">
            <v>GO TRAVEL</v>
          </cell>
          <cell r="I2279">
            <v>4.2039999999999997</v>
          </cell>
        </row>
        <row r="2280">
          <cell r="A2280" t="str">
            <v>19-02279</v>
          </cell>
          <cell r="B2280" t="str">
            <v>DESIGN GO</v>
          </cell>
          <cell r="C2280" t="str">
            <v>A</v>
          </cell>
          <cell r="D2280" t="str">
            <v>NO</v>
          </cell>
          <cell r="E2280" t="str">
            <v>726 GO TRAVEL SLEEP SHADE</v>
          </cell>
          <cell r="F2280" t="str">
            <v>EYE MASK</v>
          </cell>
          <cell r="G2280">
            <v>726</v>
          </cell>
          <cell r="H2280" t="str">
            <v>GO TRAVEL</v>
          </cell>
          <cell r="I2280">
            <v>3.96</v>
          </cell>
        </row>
        <row r="2281">
          <cell r="A2281" t="str">
            <v>19-02280</v>
          </cell>
          <cell r="B2281" t="str">
            <v>DESIGN GO</v>
          </cell>
          <cell r="C2281" t="str">
            <v>A</v>
          </cell>
          <cell r="D2281" t="str">
            <v>NO</v>
          </cell>
          <cell r="E2281" t="str">
            <v>764 GO TRAVEL DRY PHONE</v>
          </cell>
          <cell r="F2281" t="str">
            <v>LABEL</v>
          </cell>
          <cell r="G2281">
            <v>764</v>
          </cell>
          <cell r="H2281" t="str">
            <v>GO TRAVEL</v>
          </cell>
          <cell r="I2281">
            <v>4.851</v>
          </cell>
        </row>
        <row r="2282">
          <cell r="A2282" t="str">
            <v>19-02281</v>
          </cell>
          <cell r="B2282" t="str">
            <v>DESIGN GO</v>
          </cell>
          <cell r="C2282" t="str">
            <v>A</v>
          </cell>
          <cell r="D2282" t="str">
            <v>NO</v>
          </cell>
          <cell r="E2282" t="str">
            <v>823 GO TRAVEL UMBRELLA</v>
          </cell>
          <cell r="F2282" t="str">
            <v>LABEL</v>
          </cell>
          <cell r="G2282">
            <v>823</v>
          </cell>
          <cell r="H2282" t="str">
            <v>GO TRAVEL</v>
          </cell>
          <cell r="I2282">
            <v>6.468</v>
          </cell>
        </row>
        <row r="2283">
          <cell r="A2283" t="str">
            <v>19-02282</v>
          </cell>
          <cell r="B2283" t="str">
            <v>DESIGN GO</v>
          </cell>
          <cell r="C2283" t="str">
            <v>A</v>
          </cell>
          <cell r="D2283" t="str">
            <v>NO</v>
          </cell>
          <cell r="E2283" t="str">
            <v>826 GO TRAVEL MINI FLOODLIGHT</v>
          </cell>
          <cell r="F2283" t="str">
            <v>FLASHLIGHT</v>
          </cell>
          <cell r="G2283">
            <v>826</v>
          </cell>
          <cell r="H2283" t="str">
            <v>GO TRAVEL</v>
          </cell>
          <cell r="I2283">
            <v>6.468</v>
          </cell>
        </row>
        <row r="2284">
          <cell r="A2284" t="str">
            <v>19-02283</v>
          </cell>
          <cell r="B2284" t="str">
            <v>DESIGN GO</v>
          </cell>
          <cell r="C2284" t="str">
            <v>D</v>
          </cell>
          <cell r="D2284" t="str">
            <v>N/A</v>
          </cell>
          <cell r="E2284" t="str">
            <v>831 GO TRAVEL 9 LED TORCH DISCONTINUED</v>
          </cell>
          <cell r="F2284" t="str">
            <v>FLASHLIGHT</v>
          </cell>
          <cell r="G2284">
            <v>831</v>
          </cell>
          <cell r="H2284" t="str">
            <v>GO TRAVEL</v>
          </cell>
          <cell r="I2284">
            <v>4.29</v>
          </cell>
        </row>
        <row r="2285">
          <cell r="A2285" t="str">
            <v>19-02284</v>
          </cell>
          <cell r="B2285" t="str">
            <v>DESIGN GO</v>
          </cell>
          <cell r="C2285" t="str">
            <v>A</v>
          </cell>
          <cell r="D2285" t="str">
            <v>NO</v>
          </cell>
          <cell r="E2285" t="str">
            <v>840 GO TRAVEL SONIC TRAVELLER  (TOOTHBRUSH)</v>
          </cell>
          <cell r="F2285" t="str">
            <v>TRAVEL ACCESSORIES</v>
          </cell>
          <cell r="G2285">
            <v>840</v>
          </cell>
          <cell r="H2285" t="str">
            <v>GO TRAVEL</v>
          </cell>
          <cell r="I2285">
            <v>0</v>
          </cell>
        </row>
        <row r="2286">
          <cell r="A2286" t="str">
            <v>19-02285</v>
          </cell>
          <cell r="B2286" t="str">
            <v>DESIGN GO</v>
          </cell>
          <cell r="C2286" t="str">
            <v>D</v>
          </cell>
          <cell r="D2286" t="str">
            <v>N/A</v>
          </cell>
          <cell r="E2286" t="str">
            <v>872 GO TRAVEL MEDI STORE DISCONTINUED</v>
          </cell>
          <cell r="F2286" t="str">
            <v>ORGANIZADOR</v>
          </cell>
          <cell r="G2286">
            <v>872</v>
          </cell>
          <cell r="H2286" t="str">
            <v>GO TRAVEL</v>
          </cell>
          <cell r="I2286">
            <v>4.95</v>
          </cell>
        </row>
        <row r="2287">
          <cell r="A2287" t="str">
            <v>19-02286</v>
          </cell>
          <cell r="B2287" t="str">
            <v>DESIGN GO</v>
          </cell>
          <cell r="C2287" t="str">
            <v>A</v>
          </cell>
          <cell r="D2287" t="str">
            <v>NO</v>
          </cell>
          <cell r="E2287" t="str">
            <v>895 GO TRAVEL BITE RELIEF</v>
          </cell>
          <cell r="F2287" t="str">
            <v>EYE MASK</v>
          </cell>
          <cell r="G2287">
            <v>895</v>
          </cell>
          <cell r="H2287" t="str">
            <v>GO TRAVEL</v>
          </cell>
          <cell r="I2287">
            <v>4.851</v>
          </cell>
        </row>
        <row r="2288">
          <cell r="A2288" t="str">
            <v>19-02287</v>
          </cell>
          <cell r="B2288" t="str">
            <v>DESIGN GO</v>
          </cell>
          <cell r="C2288" t="str">
            <v>D</v>
          </cell>
          <cell r="D2288" t="str">
            <v>N/A</v>
          </cell>
          <cell r="E2288" t="str">
            <v>945 GO TRAVEL SPEAKER CASE DISCONTINUED</v>
          </cell>
          <cell r="F2288" t="str">
            <v>SPEAKER</v>
          </cell>
          <cell r="G2288">
            <v>945</v>
          </cell>
          <cell r="H2288" t="str">
            <v>GO TRAVEL</v>
          </cell>
          <cell r="I2288">
            <v>9.9</v>
          </cell>
        </row>
        <row r="2289">
          <cell r="A2289" t="str">
            <v>19-02288</v>
          </cell>
          <cell r="B2289" t="str">
            <v>DESIGN GO</v>
          </cell>
          <cell r="C2289" t="str">
            <v>P</v>
          </cell>
          <cell r="D2289" t="str">
            <v>N/A</v>
          </cell>
          <cell r="E2289" t="str">
            <v>2003 GO TRAVEL WEIGH ME</v>
          </cell>
          <cell r="F2289" t="str">
            <v>STRAP</v>
          </cell>
          <cell r="G2289">
            <v>2003</v>
          </cell>
          <cell r="H2289" t="str">
            <v>GO TRAVEL</v>
          </cell>
          <cell r="I2289">
            <v>5.61</v>
          </cell>
        </row>
        <row r="2290">
          <cell r="A2290" t="str">
            <v>19-02289</v>
          </cell>
          <cell r="B2290" t="str">
            <v>DESIGN GO</v>
          </cell>
          <cell r="C2290" t="str">
            <v>D</v>
          </cell>
          <cell r="D2290" t="str">
            <v>N/A</v>
          </cell>
          <cell r="E2290" t="str">
            <v>2008 GO TRAVEL DIGITAL SCALE DISCONTINUED</v>
          </cell>
          <cell r="F2290" t="str">
            <v>EYE MASK</v>
          </cell>
          <cell r="G2290">
            <v>2008</v>
          </cell>
          <cell r="H2290" t="str">
            <v>GO TRAVEL</v>
          </cell>
          <cell r="I2290">
            <v>6.6</v>
          </cell>
        </row>
        <row r="2291">
          <cell r="A2291" t="str">
            <v>19-02290</v>
          </cell>
          <cell r="B2291" t="str">
            <v>DESIGN GO</v>
          </cell>
          <cell r="C2291" t="str">
            <v>D</v>
          </cell>
          <cell r="D2291" t="str">
            <v>N/A</v>
          </cell>
          <cell r="E2291" t="str">
            <v>2605 GO TRAVEL DOOR STOPPER DISCONTINUED</v>
          </cell>
          <cell r="F2291" t="str">
            <v>STRAP</v>
          </cell>
          <cell r="G2291">
            <v>2605</v>
          </cell>
          <cell r="H2291" t="str">
            <v>GO TRAVEL</v>
          </cell>
          <cell r="I2291">
            <v>2</v>
          </cell>
        </row>
        <row r="2292">
          <cell r="A2292" t="str">
            <v>19-02291</v>
          </cell>
          <cell r="B2292" t="str">
            <v>DESIGN GO</v>
          </cell>
          <cell r="C2292" t="str">
            <v>D</v>
          </cell>
          <cell r="D2292" t="str">
            <v>N/A</v>
          </cell>
          <cell r="E2292" t="str">
            <v>2610 GO TRAVEL WRIST LINK DISCONTINUED</v>
          </cell>
          <cell r="F2292" t="str">
            <v>STRAP</v>
          </cell>
          <cell r="G2292">
            <v>2610</v>
          </cell>
          <cell r="H2292" t="str">
            <v>GO TRAVEL</v>
          </cell>
          <cell r="I2292">
            <v>3.2</v>
          </cell>
        </row>
        <row r="2293">
          <cell r="A2293" t="str">
            <v>19-02292</v>
          </cell>
          <cell r="B2293" t="str">
            <v>DESIGN GO</v>
          </cell>
          <cell r="C2293" t="str">
            <v>D</v>
          </cell>
          <cell r="D2293" t="str">
            <v>N/A</v>
          </cell>
          <cell r="E2293" t="str">
            <v>2615 GO TRAVEL WALKING HARNESS AND REINS DISCONTINUED</v>
          </cell>
          <cell r="F2293" t="str">
            <v>STRAP</v>
          </cell>
          <cell r="G2293">
            <v>2615</v>
          </cell>
          <cell r="H2293" t="str">
            <v>GO TRAVEL</v>
          </cell>
          <cell r="I2293">
            <v>5.2</v>
          </cell>
        </row>
        <row r="2294">
          <cell r="A2294" t="str">
            <v>19-02293</v>
          </cell>
          <cell r="B2294" t="str">
            <v>DESIGN GO</v>
          </cell>
          <cell r="C2294" t="str">
            <v>P</v>
          </cell>
          <cell r="D2294" t="str">
            <v>N/A</v>
          </cell>
          <cell r="E2294" t="str">
            <v>2635 GO TRAVEL ZIP LOCK BAGS</v>
          </cell>
          <cell r="F2294" t="str">
            <v>BAG</v>
          </cell>
          <cell r="G2294">
            <v>2635</v>
          </cell>
          <cell r="H2294" t="str">
            <v>GO TRAVEL</v>
          </cell>
          <cell r="I2294">
            <v>1.98</v>
          </cell>
        </row>
        <row r="2295">
          <cell r="A2295" t="str">
            <v>19-02294</v>
          </cell>
          <cell r="B2295" t="str">
            <v>DESIGN GO</v>
          </cell>
          <cell r="C2295" t="str">
            <v>D</v>
          </cell>
          <cell r="D2295" t="str">
            <v>N/A</v>
          </cell>
          <cell r="E2295" t="str">
            <v>2640 GO TRAVEL NEOPRENE BIBS DISCONTINUED</v>
          </cell>
          <cell r="F2295" t="str">
            <v>EYE MASK</v>
          </cell>
          <cell r="G2295">
            <v>2640</v>
          </cell>
          <cell r="H2295" t="str">
            <v>GO TRAVEL</v>
          </cell>
          <cell r="I2295">
            <v>5.2</v>
          </cell>
        </row>
        <row r="2296">
          <cell r="A2296" t="str">
            <v>19-02295</v>
          </cell>
          <cell r="B2296" t="str">
            <v>DESIGN GO</v>
          </cell>
          <cell r="C2296" t="str">
            <v>D</v>
          </cell>
          <cell r="D2296" t="str">
            <v>N/A</v>
          </cell>
          <cell r="E2296" t="str">
            <v>2650 GO TRAVEL NAPPY/DIAPER BAG DISPENSER DISCONTINUED</v>
          </cell>
          <cell r="F2296" t="str">
            <v>SPEAKER</v>
          </cell>
          <cell r="G2296">
            <v>2650</v>
          </cell>
          <cell r="H2296" t="str">
            <v>GO TRAVEL</v>
          </cell>
          <cell r="I2296">
            <v>4</v>
          </cell>
        </row>
        <row r="2297">
          <cell r="A2297" t="str">
            <v>19-02296</v>
          </cell>
          <cell r="B2297" t="str">
            <v>DESIGN GO</v>
          </cell>
          <cell r="C2297" t="str">
            <v>D</v>
          </cell>
          <cell r="D2297" t="str">
            <v>N/A</v>
          </cell>
          <cell r="E2297" t="str">
            <v>2651 GO TRAVEL NAPPY/DIAPER BAG REFILL DISCONTINUED</v>
          </cell>
          <cell r="F2297" t="str">
            <v>LOCK</v>
          </cell>
          <cell r="G2297">
            <v>2651</v>
          </cell>
          <cell r="H2297" t="str">
            <v>GO TRAVEL</v>
          </cell>
          <cell r="I2297">
            <v>3.2</v>
          </cell>
        </row>
        <row r="2298">
          <cell r="A2298" t="str">
            <v>19-02297</v>
          </cell>
          <cell r="B2298" t="str">
            <v>DESIGN GO</v>
          </cell>
          <cell r="C2298" t="str">
            <v>D</v>
          </cell>
          <cell r="D2298" t="str">
            <v>N/A</v>
          </cell>
          <cell r="E2298" t="str">
            <v>2660 GO TRAVEL CHANGING MATS DISCONTINUED</v>
          </cell>
          <cell r="F2298" t="str">
            <v>LABEL</v>
          </cell>
          <cell r="G2298">
            <v>2660</v>
          </cell>
          <cell r="H2298" t="str">
            <v>GO TRAVEL</v>
          </cell>
          <cell r="I2298">
            <v>3.6</v>
          </cell>
        </row>
        <row r="2299">
          <cell r="A2299" t="str">
            <v>19-02298</v>
          </cell>
          <cell r="B2299" t="str">
            <v>DESIGN GO</v>
          </cell>
          <cell r="C2299" t="str">
            <v>D</v>
          </cell>
          <cell r="D2299" t="str">
            <v>N/A</v>
          </cell>
          <cell r="E2299" t="str">
            <v>2665 GO TRAVEL HOODED BABY TOWEL DISCONTINUED</v>
          </cell>
          <cell r="F2299" t="str">
            <v>ADAPTOR</v>
          </cell>
          <cell r="G2299">
            <v>2665</v>
          </cell>
          <cell r="H2299" t="str">
            <v>GO TRAVEL</v>
          </cell>
          <cell r="I2299">
            <v>6.4</v>
          </cell>
        </row>
        <row r="2300">
          <cell r="A2300" t="str">
            <v>19-02299</v>
          </cell>
          <cell r="B2300" t="str">
            <v>DESIGN GO</v>
          </cell>
          <cell r="C2300" t="str">
            <v>P</v>
          </cell>
          <cell r="D2300" t="str">
            <v>N/A</v>
          </cell>
          <cell r="E2300" t="str">
            <v>2715 GO TRAVEL MONKEY GLOW NIGHTLIGHT</v>
          </cell>
          <cell r="F2300" t="str">
            <v>LOCK</v>
          </cell>
          <cell r="G2300">
            <v>2715</v>
          </cell>
          <cell r="H2300" t="str">
            <v>GO TRAVEL</v>
          </cell>
          <cell r="I2300">
            <v>11.6</v>
          </cell>
        </row>
        <row r="2301">
          <cell r="A2301" t="str">
            <v>19-02300</v>
          </cell>
          <cell r="B2301" t="str">
            <v>DESIGN GO</v>
          </cell>
          <cell r="C2301" t="str">
            <v>P</v>
          </cell>
          <cell r="D2301" t="str">
            <v>N/A</v>
          </cell>
          <cell r="E2301" t="str">
            <v>2716 GO TRAVEL FROGGY GLOW NIGHTLIGHT</v>
          </cell>
          <cell r="F2301" t="str">
            <v>EYE MASK</v>
          </cell>
          <cell r="G2301">
            <v>2716</v>
          </cell>
          <cell r="H2301" t="str">
            <v>GO TRAVEL</v>
          </cell>
          <cell r="I2301">
            <v>11.6</v>
          </cell>
        </row>
        <row r="2302">
          <cell r="A2302" t="str">
            <v>19-02301</v>
          </cell>
          <cell r="B2302" t="str">
            <v>MOTTA INT.</v>
          </cell>
          <cell r="C2302" t="str">
            <v>D</v>
          </cell>
          <cell r="D2302" t="str">
            <v>N/A</v>
          </cell>
          <cell r="E2302" t="str">
            <v>IMATBBM05-0 MATTEL DISNEY PRINCESS SPARKLING PRINCESS RAPUNZEL DISCONTINUED</v>
          </cell>
          <cell r="F2302" t="str">
            <v>JUGUETES</v>
          </cell>
          <cell r="G2302" t="str">
            <v>IMATBBM05-0</v>
          </cell>
          <cell r="H2302" t="str">
            <v>MATTEL</v>
          </cell>
          <cell r="I2302">
            <v>13</v>
          </cell>
        </row>
        <row r="2303">
          <cell r="A2303" t="str">
            <v>19-02302</v>
          </cell>
          <cell r="B2303" t="str">
            <v>MOTTA INT.</v>
          </cell>
          <cell r="C2303" t="str">
            <v>D</v>
          </cell>
          <cell r="D2303" t="str">
            <v>N/A</v>
          </cell>
          <cell r="E2303" t="str">
            <v>IMATBDB19-0 MATTEL BARBIE HAIR TATTOOS DOLL DISCONTINUED</v>
          </cell>
          <cell r="F2303" t="str">
            <v>JUGUETES</v>
          </cell>
          <cell r="G2303" t="str">
            <v>IMATBDB19-0</v>
          </cell>
          <cell r="H2303" t="str">
            <v>MATTEL</v>
          </cell>
          <cell r="I2303">
            <v>20</v>
          </cell>
        </row>
        <row r="2304">
          <cell r="A2304" t="str">
            <v>19-02303</v>
          </cell>
          <cell r="B2304" t="str">
            <v>MOTTA INT.</v>
          </cell>
          <cell r="C2304" t="str">
            <v>D</v>
          </cell>
          <cell r="D2304" t="str">
            <v>N/A</v>
          </cell>
          <cell r="E2304" t="str">
            <v>IMATBDB26-0 MATTEL BARBIE GLAM HAIR DOLL DISCONTINUED</v>
          </cell>
          <cell r="F2304" t="str">
            <v>JUGUETES</v>
          </cell>
          <cell r="G2304" t="str">
            <v>IMATBDB26-0</v>
          </cell>
          <cell r="H2304" t="str">
            <v>MATTEL</v>
          </cell>
          <cell r="I2304">
            <v>18</v>
          </cell>
        </row>
        <row r="2305">
          <cell r="A2305" t="str">
            <v>19-02304</v>
          </cell>
          <cell r="B2305" t="str">
            <v>MOTTA INT.</v>
          </cell>
          <cell r="C2305" t="str">
            <v>P</v>
          </cell>
          <cell r="D2305" t="str">
            <v>N/A</v>
          </cell>
          <cell r="E2305" t="str">
            <v>IMATBDB32-0 MATTEL BARBIE IRON-ON-STYLE DOLL</v>
          </cell>
          <cell r="F2305" t="str">
            <v>JUGUETES</v>
          </cell>
          <cell r="G2305" t="str">
            <v>IMATBDB32-0</v>
          </cell>
          <cell r="H2305" t="str">
            <v>MATTEL</v>
          </cell>
          <cell r="I2305">
            <v>20.5</v>
          </cell>
        </row>
        <row r="2306">
          <cell r="A2306" t="str">
            <v>19-02305</v>
          </cell>
          <cell r="B2306" t="str">
            <v>MOTTA INT.</v>
          </cell>
          <cell r="C2306" t="str">
            <v>P</v>
          </cell>
          <cell r="D2306" t="str">
            <v>N/A</v>
          </cell>
          <cell r="E2306" t="str">
            <v>IMATBDB35-0 MATTEL BARBIE DESIGN &amp; DRESS STUDIO DOLL</v>
          </cell>
          <cell r="F2306" t="str">
            <v>JUGUETES</v>
          </cell>
          <cell r="G2306" t="str">
            <v>IMATBDB35-0</v>
          </cell>
          <cell r="H2306" t="str">
            <v>MATTEL</v>
          </cell>
          <cell r="I2306">
            <v>20.5</v>
          </cell>
        </row>
        <row r="2307">
          <cell r="A2307" t="str">
            <v>19-02306</v>
          </cell>
          <cell r="B2307" t="str">
            <v>MOTTA INT.</v>
          </cell>
          <cell r="C2307" t="str">
            <v>P</v>
          </cell>
          <cell r="D2307" t="str">
            <v>N/A</v>
          </cell>
          <cell r="E2307" t="str">
            <v>IMATBFN55-0 MATTEL MATCHBOX CROC ESCAPE PLAY SET</v>
          </cell>
          <cell r="F2307" t="str">
            <v>JUGUETES</v>
          </cell>
          <cell r="G2307" t="str">
            <v>IMATBFN55-0</v>
          </cell>
          <cell r="H2307" t="str">
            <v>MATTEL</v>
          </cell>
          <cell r="I2307">
            <v>0</v>
          </cell>
        </row>
        <row r="2308">
          <cell r="A2308" t="str">
            <v>19-02307</v>
          </cell>
          <cell r="B2308" t="str">
            <v>MOTTA INT.</v>
          </cell>
          <cell r="C2308" t="str">
            <v>P</v>
          </cell>
          <cell r="D2308" t="str">
            <v>N/A</v>
          </cell>
          <cell r="E2308" t="str">
            <v>IMATBFP99-0 MATTEL BARBIE I CAN BE ASST</v>
          </cell>
          <cell r="F2308" t="str">
            <v>JUGUETES</v>
          </cell>
          <cell r="G2308" t="str">
            <v>IMATBFP99-0</v>
          </cell>
          <cell r="H2308" t="str">
            <v>MATTEL</v>
          </cell>
          <cell r="I2308">
            <v>13</v>
          </cell>
        </row>
        <row r="2309">
          <cell r="A2309" t="str">
            <v>19-02308</v>
          </cell>
          <cell r="B2309" t="str">
            <v>MOTTA INT.</v>
          </cell>
          <cell r="C2309" t="str">
            <v>P</v>
          </cell>
          <cell r="D2309" t="str">
            <v>N/A</v>
          </cell>
          <cell r="E2309" t="str">
            <v>IMATBHF65-0 MATTEL MAX STEEL TRIPLE THREAT ACTION</v>
          </cell>
          <cell r="F2309" t="str">
            <v>JUGUETES</v>
          </cell>
          <cell r="G2309" t="str">
            <v>IMATBHF65-0</v>
          </cell>
          <cell r="H2309" t="str">
            <v>MATTEL</v>
          </cell>
          <cell r="I2309">
            <v>25</v>
          </cell>
        </row>
        <row r="2310">
          <cell r="A2310" t="str">
            <v>19-02309</v>
          </cell>
          <cell r="B2310" t="str">
            <v>MOTTA INT.</v>
          </cell>
          <cell r="C2310" t="str">
            <v>P</v>
          </cell>
          <cell r="D2310" t="str">
            <v>N/A</v>
          </cell>
          <cell r="E2310" t="str">
            <v>IMATBHF76-0 MATTEL MAX STEEL TRIPLE TRANSFORMATION</v>
          </cell>
          <cell r="F2310" t="str">
            <v>JUGUETES</v>
          </cell>
          <cell r="G2310" t="str">
            <v>IMATBHF76-0</v>
          </cell>
          <cell r="H2310" t="str">
            <v>MATTEL</v>
          </cell>
          <cell r="I2310">
            <v>30</v>
          </cell>
        </row>
        <row r="2311">
          <cell r="A2311" t="str">
            <v>19-02310</v>
          </cell>
          <cell r="B2311" t="str">
            <v>MOTTA INT.</v>
          </cell>
          <cell r="C2311" t="str">
            <v>P</v>
          </cell>
          <cell r="D2311" t="str">
            <v>N/A</v>
          </cell>
          <cell r="E2311" t="str">
            <v>IMATCBD25-0 MATTEL BARBIE QUIERO SER PROTECTORA DE PERRITOS</v>
          </cell>
          <cell r="F2311" t="str">
            <v>JUGUETES</v>
          </cell>
          <cell r="G2311" t="str">
            <v>IMATCBD25-0</v>
          </cell>
          <cell r="H2311" t="str">
            <v>MATTEL</v>
          </cell>
          <cell r="I2311">
            <v>0</v>
          </cell>
        </row>
        <row r="2312">
          <cell r="A2312" t="str">
            <v>19-02311</v>
          </cell>
          <cell r="B2312" t="str">
            <v>MOTTA INT.</v>
          </cell>
          <cell r="C2312" t="str">
            <v>P</v>
          </cell>
          <cell r="D2312" t="str">
            <v>N/A</v>
          </cell>
          <cell r="E2312" t="str">
            <v>IMATCBL31-0 MATTEL FISHER-PRICE DISNEY MINNIE MUSICAL GATEA CONMIGO</v>
          </cell>
          <cell r="F2312" t="str">
            <v>JUGUETES</v>
          </cell>
          <cell r="G2312" t="str">
            <v>IMATCBL31-0</v>
          </cell>
          <cell r="H2312" t="str">
            <v>MATTEL</v>
          </cell>
          <cell r="I2312">
            <v>31</v>
          </cell>
        </row>
        <row r="2313">
          <cell r="A2313" t="str">
            <v>19-02312</v>
          </cell>
          <cell r="B2313" t="str">
            <v>MOTTA INT.</v>
          </cell>
          <cell r="C2313" t="str">
            <v>P</v>
          </cell>
          <cell r="D2313" t="str">
            <v>N/A</v>
          </cell>
          <cell r="E2313" t="str">
            <v>IMATCBR13-0 MATTEL BARBIE BEAUTIFUL FAIRY BARBIE DOLL ASST</v>
          </cell>
          <cell r="F2313" t="str">
            <v>JUGUETES</v>
          </cell>
          <cell r="G2313" t="str">
            <v>IMATCBR13-0</v>
          </cell>
          <cell r="H2313" t="str">
            <v>MATTEL</v>
          </cell>
          <cell r="I2313">
            <v>10</v>
          </cell>
        </row>
        <row r="2314">
          <cell r="A2314" t="str">
            <v>19-02313</v>
          </cell>
          <cell r="B2314" t="str">
            <v>MOTTA INT.</v>
          </cell>
          <cell r="C2314" t="str">
            <v>P</v>
          </cell>
          <cell r="D2314" t="str">
            <v>N/A</v>
          </cell>
          <cell r="E2314" t="str">
            <v>IMATCHC12-0 MATTEL BARBIE AND THE SECRET DOOR</v>
          </cell>
          <cell r="F2314" t="str">
            <v>JUGUETES</v>
          </cell>
          <cell r="G2314" t="str">
            <v>IMATCHC12-0</v>
          </cell>
          <cell r="H2314" t="str">
            <v>MATTEL</v>
          </cell>
          <cell r="I2314">
            <v>32</v>
          </cell>
        </row>
        <row r="2315">
          <cell r="A2315" t="str">
            <v>19-02314</v>
          </cell>
          <cell r="B2315" t="str">
            <v>MOTTA INT.</v>
          </cell>
          <cell r="C2315" t="str">
            <v>P</v>
          </cell>
          <cell r="D2315" t="str">
            <v>N/A</v>
          </cell>
          <cell r="E2315" t="str">
            <v>IMATK2784-0 MATTEL UNO SPIN</v>
          </cell>
          <cell r="F2315" t="str">
            <v>JUGUETES</v>
          </cell>
          <cell r="G2315" t="str">
            <v>IMATK2784-0</v>
          </cell>
          <cell r="H2315" t="str">
            <v>MATTEL</v>
          </cell>
          <cell r="I2315">
            <v>19</v>
          </cell>
        </row>
        <row r="2316">
          <cell r="A2316" t="str">
            <v>19-02315</v>
          </cell>
          <cell r="B2316" t="str">
            <v>MOTTA INT.</v>
          </cell>
          <cell r="C2316" t="str">
            <v>P</v>
          </cell>
          <cell r="D2316" t="str">
            <v>N/A</v>
          </cell>
          <cell r="E2316" t="str">
            <v>IMATR7212-0 MATTEL DISNEY PIXAR TOY STORY DELUXE WILD WEST JESSIE</v>
          </cell>
          <cell r="F2316" t="str">
            <v>JUGUETES</v>
          </cell>
          <cell r="G2316" t="str">
            <v>IMATR7212-0</v>
          </cell>
          <cell r="H2316" t="str">
            <v>MATTEL</v>
          </cell>
          <cell r="I2316">
            <v>15.55</v>
          </cell>
        </row>
        <row r="2317">
          <cell r="A2317" t="str">
            <v>19-02316</v>
          </cell>
          <cell r="B2317" t="str">
            <v>MOTTA INT.</v>
          </cell>
          <cell r="C2317" t="str">
            <v>P</v>
          </cell>
          <cell r="D2317" t="str">
            <v>N/A</v>
          </cell>
          <cell r="E2317" t="str">
            <v>IMATV2733-0 MATTEL FISHER-PRICE IMAGINEXT DC SUPER FRIENDS ASST</v>
          </cell>
          <cell r="F2317" t="str">
            <v>JUGUETES</v>
          </cell>
          <cell r="G2317" t="str">
            <v>IMATV2733-0</v>
          </cell>
          <cell r="H2317" t="str">
            <v>MATTEL</v>
          </cell>
          <cell r="I2317">
            <v>15</v>
          </cell>
        </row>
        <row r="2318">
          <cell r="A2318" t="str">
            <v>19-02317</v>
          </cell>
          <cell r="B2318" t="str">
            <v>MOTTA INT.</v>
          </cell>
          <cell r="C2318" t="str">
            <v>P</v>
          </cell>
          <cell r="D2318" t="str">
            <v>N/A</v>
          </cell>
          <cell r="E2318" t="str">
            <v>IMATW5112-0 MATTEL FISHER-PRICE DISNEY MINNIE BOW-TIQUE DELUXE SET ASST</v>
          </cell>
          <cell r="F2318" t="str">
            <v>JUGUETES</v>
          </cell>
          <cell r="G2318" t="str">
            <v>IMATW5112-0</v>
          </cell>
          <cell r="H2318" t="str">
            <v>MATTEL</v>
          </cell>
          <cell r="I2318">
            <v>20.65</v>
          </cell>
        </row>
        <row r="2319">
          <cell r="A2319" t="str">
            <v>19-02318</v>
          </cell>
          <cell r="B2319" t="str">
            <v>MOTTA INT.</v>
          </cell>
          <cell r="C2319" t="str">
            <v>P</v>
          </cell>
          <cell r="D2319" t="str">
            <v>N/A</v>
          </cell>
          <cell r="E2319" t="str">
            <v>IMATX4796-0 MATTEL DISNEY PIXAR TOY STORY TALKING REX</v>
          </cell>
          <cell r="F2319" t="str">
            <v>JUGUETES</v>
          </cell>
          <cell r="G2319" t="str">
            <v>IMATX4796-0</v>
          </cell>
          <cell r="H2319" t="str">
            <v>MATTEL</v>
          </cell>
          <cell r="I2319">
            <v>27</v>
          </cell>
        </row>
        <row r="2320">
          <cell r="A2320" t="str">
            <v>19-02319</v>
          </cell>
          <cell r="B2320" t="str">
            <v>MOTTA INT.</v>
          </cell>
          <cell r="C2320" t="str">
            <v>P</v>
          </cell>
          <cell r="D2320" t="str">
            <v>N/A</v>
          </cell>
          <cell r="E2320" t="str">
            <v>IMATX9333-0 MATTEL DISNEY SPARKLE PRINCESS ASST</v>
          </cell>
          <cell r="F2320" t="str">
            <v>JUGUETES</v>
          </cell>
          <cell r="G2320" t="str">
            <v>IMATX9333-0</v>
          </cell>
          <cell r="H2320" t="str">
            <v>MATTEL</v>
          </cell>
          <cell r="I2320">
            <v>11</v>
          </cell>
        </row>
        <row r="2321">
          <cell r="A2321" t="str">
            <v>19-02320</v>
          </cell>
          <cell r="B2321" t="str">
            <v>MOTTA INT.</v>
          </cell>
          <cell r="C2321" t="str">
            <v>P</v>
          </cell>
          <cell r="D2321" t="str">
            <v>N/A</v>
          </cell>
          <cell r="E2321" t="str">
            <v>IMATY2576-0 MATTEL MATTEL PASSWORD JOURNAL</v>
          </cell>
          <cell r="F2321" t="str">
            <v>JUGUETES</v>
          </cell>
          <cell r="G2321" t="str">
            <v>IMATY2576-0</v>
          </cell>
          <cell r="H2321" t="str">
            <v>MATTEL</v>
          </cell>
          <cell r="I2321">
            <v>33.25</v>
          </cell>
        </row>
        <row r="2322">
          <cell r="A2322" t="str">
            <v>19-02321</v>
          </cell>
          <cell r="B2322" t="str">
            <v>MOTTA INT.</v>
          </cell>
          <cell r="C2322" t="str">
            <v>P</v>
          </cell>
          <cell r="D2322" t="str">
            <v>N/A</v>
          </cell>
          <cell r="E2322" t="str">
            <v>IMATY5701-0 MATTEL FISHER-PRICE BABY DORA THE EXPLORER</v>
          </cell>
          <cell r="F2322" t="str">
            <v>JUGUETES</v>
          </cell>
          <cell r="G2322" t="str">
            <v>IMATY5701-0</v>
          </cell>
          <cell r="H2322" t="str">
            <v>MATTEL</v>
          </cell>
          <cell r="I2322">
            <v>16</v>
          </cell>
        </row>
        <row r="2323">
          <cell r="A2323" t="str">
            <v>19-02322</v>
          </cell>
          <cell r="B2323" t="str">
            <v>MOTTA INT.</v>
          </cell>
          <cell r="C2323" t="str">
            <v>P</v>
          </cell>
          <cell r="D2323" t="str">
            <v>N/A</v>
          </cell>
          <cell r="E2323" t="str">
            <v>IMAT1806 MATTEL HOT WHEELS PAQUETE DE CINCO AUTOS</v>
          </cell>
          <cell r="F2323" t="str">
            <v>JUGUETES</v>
          </cell>
          <cell r="G2323" t="str">
            <v>IMAT1806</v>
          </cell>
          <cell r="H2323" t="str">
            <v>MATTEL</v>
          </cell>
          <cell r="I2323">
            <v>5.25</v>
          </cell>
        </row>
        <row r="2324">
          <cell r="A2324" t="str">
            <v>19-02323</v>
          </cell>
          <cell r="B2324" t="str">
            <v>MOTTA INT.</v>
          </cell>
          <cell r="C2324" t="str">
            <v>P</v>
          </cell>
          <cell r="D2324" t="str">
            <v>N/A</v>
          </cell>
          <cell r="E2324" t="str">
            <v>IMAT54886 MATTEL HOT WHEELS PAQUETE DE DIEZ AUTOS</v>
          </cell>
          <cell r="F2324" t="str">
            <v>JUGUETES</v>
          </cell>
          <cell r="G2324" t="str">
            <v>IMAT54886</v>
          </cell>
          <cell r="H2324" t="str">
            <v>MATTEL</v>
          </cell>
          <cell r="I2324">
            <v>10.55</v>
          </cell>
        </row>
        <row r="2325">
          <cell r="A2325" t="str">
            <v>19-02324</v>
          </cell>
          <cell r="B2325" t="str">
            <v>MOTTA INT.</v>
          </cell>
          <cell r="C2325" t="str">
            <v>P</v>
          </cell>
          <cell r="D2325" t="str">
            <v>N/A</v>
          </cell>
          <cell r="E2325" t="str">
            <v>IMATBDH88 MATTEL FISHER PRICE JAKE SURTIDO DE FIGURAS DE BATALLA 5"</v>
          </cell>
          <cell r="F2325" t="str">
            <v>JUGUETES</v>
          </cell>
          <cell r="G2325" t="str">
            <v>IMATBDH88</v>
          </cell>
          <cell r="H2325" t="str">
            <v>MATTEL</v>
          </cell>
          <cell r="I2325">
            <v>10.95</v>
          </cell>
        </row>
        <row r="2326">
          <cell r="A2326" t="str">
            <v>19-02325</v>
          </cell>
          <cell r="B2326" t="str">
            <v>MOTTA INT.</v>
          </cell>
          <cell r="C2326" t="str">
            <v>P</v>
          </cell>
          <cell r="D2326" t="str">
            <v>N/A</v>
          </cell>
          <cell r="E2326" t="str">
            <v>IMATBHG21 MATTEL FISHER PRICE MICKEY Y SUS AMIGOS PELUCHES</v>
          </cell>
          <cell r="F2326" t="str">
            <v>JUGUETES</v>
          </cell>
          <cell r="G2326" t="str">
            <v>IMATBHG21</v>
          </cell>
          <cell r="H2326" t="str">
            <v>MATTEL</v>
          </cell>
          <cell r="I2326">
            <v>16.25</v>
          </cell>
        </row>
        <row r="2327">
          <cell r="A2327" t="str">
            <v>19-02326</v>
          </cell>
          <cell r="B2327" t="str">
            <v>MOTTA INT.</v>
          </cell>
          <cell r="C2327" t="str">
            <v>P</v>
          </cell>
          <cell r="D2327" t="str">
            <v>N/A</v>
          </cell>
          <cell r="E2327" t="str">
            <v>IMATBHT35 MATTEL FISHER PRICE RIE Y APRENDE LLAVES APRENDE CONMIGO</v>
          </cell>
          <cell r="F2327" t="str">
            <v>JUGUETES</v>
          </cell>
          <cell r="G2327" t="str">
            <v>IMATBHT35</v>
          </cell>
          <cell r="H2327" t="str">
            <v>MATTEL</v>
          </cell>
          <cell r="I2327">
            <v>8.65</v>
          </cell>
        </row>
        <row r="2328">
          <cell r="A2328" t="str">
            <v>19-02327</v>
          </cell>
          <cell r="B2328" t="str">
            <v>MOTTA INT.</v>
          </cell>
          <cell r="C2328" t="str">
            <v>P</v>
          </cell>
          <cell r="D2328" t="str">
            <v>N/A</v>
          </cell>
          <cell r="E2328" t="str">
            <v>IMATBMJ70 MATTEL TOY STORY BUZZ LIGHTYEAR 10"</v>
          </cell>
          <cell r="F2328" t="str">
            <v>JUGUETES</v>
          </cell>
          <cell r="G2328" t="str">
            <v>IMATBMJ70</v>
          </cell>
          <cell r="H2328" t="str">
            <v>MATTEL</v>
          </cell>
          <cell r="I2328">
            <v>27.05</v>
          </cell>
        </row>
        <row r="2329">
          <cell r="A2329" t="str">
            <v>19-02328</v>
          </cell>
          <cell r="B2329" t="str">
            <v>MOTTA INT.</v>
          </cell>
          <cell r="C2329" t="str">
            <v>P</v>
          </cell>
          <cell r="D2329" t="str">
            <v>N/A</v>
          </cell>
          <cell r="E2329" t="str">
            <v>IMATC1817 MATTEL MATCHBOX PAQUETE DE 5 AUTOS</v>
          </cell>
          <cell r="F2329" t="str">
            <v>JUGUETES</v>
          </cell>
          <cell r="G2329" t="str">
            <v>IMATC1817</v>
          </cell>
          <cell r="H2329" t="str">
            <v>MATTEL</v>
          </cell>
          <cell r="I2329">
            <v>5.25</v>
          </cell>
        </row>
        <row r="2330">
          <cell r="A2330" t="str">
            <v>19-02329</v>
          </cell>
          <cell r="B2330" t="str">
            <v>MOTTA INT.</v>
          </cell>
          <cell r="C2330" t="str">
            <v>P</v>
          </cell>
          <cell r="D2330" t="str">
            <v>N/A</v>
          </cell>
          <cell r="E2330" t="str">
            <v>IMATC4982 MATTEL HOT WHEELS AUTOS BASICOS SURTIDOS</v>
          </cell>
          <cell r="F2330" t="str">
            <v>JUGUETES</v>
          </cell>
          <cell r="G2330" t="str">
            <v>IMATC4982</v>
          </cell>
          <cell r="H2330" t="str">
            <v>MATTEL</v>
          </cell>
          <cell r="I2330">
            <v>1.05</v>
          </cell>
        </row>
        <row r="2331">
          <cell r="A2331" t="str">
            <v>19-02330</v>
          </cell>
          <cell r="B2331" t="str">
            <v>MOTTA INT.</v>
          </cell>
          <cell r="C2331" t="str">
            <v>P</v>
          </cell>
          <cell r="D2331" t="str">
            <v>N/A</v>
          </cell>
          <cell r="E2331" t="str">
            <v>IMATCBH61 MATTEL DISNEY FROZEN SNOWMAN OLAF INTEL</v>
          </cell>
          <cell r="F2331" t="str">
            <v>JUGUETES</v>
          </cell>
          <cell r="G2331" t="str">
            <v>IMATCBH61</v>
          </cell>
          <cell r="H2331" t="str">
            <v>MATTEL</v>
          </cell>
          <cell r="I2331">
            <v>16.25</v>
          </cell>
        </row>
        <row r="2332">
          <cell r="A2332" t="str">
            <v>19-02331</v>
          </cell>
          <cell r="B2332" t="str">
            <v>MOTTA INT.</v>
          </cell>
          <cell r="C2332" t="str">
            <v>P</v>
          </cell>
          <cell r="D2332" t="str">
            <v>N/A</v>
          </cell>
          <cell r="E2332" t="str">
            <v>IMATCCW48 MATTEL FISHER PRICE MICKEY SURTIDO DE VEHICULOS</v>
          </cell>
          <cell r="F2332" t="str">
            <v>JUGUETES</v>
          </cell>
          <cell r="G2332" t="str">
            <v>IMATCCW48</v>
          </cell>
          <cell r="H2332" t="str">
            <v>MATTEL</v>
          </cell>
          <cell r="I2332">
            <v>10.85</v>
          </cell>
        </row>
        <row r="2333">
          <cell r="A2333" t="str">
            <v>19-02332</v>
          </cell>
          <cell r="B2333" t="str">
            <v>MOTTA INT.</v>
          </cell>
          <cell r="C2333" t="str">
            <v>P</v>
          </cell>
          <cell r="D2333" t="str">
            <v>N/A</v>
          </cell>
          <cell r="E2333" t="str">
            <v>IMATCDM61 MATTEL DC COMICS 12" FIGURAS ARTICULADAS SURTIDAS</v>
          </cell>
          <cell r="F2333" t="str">
            <v>JUGUETES</v>
          </cell>
          <cell r="G2333" t="str">
            <v>IMATCDM61</v>
          </cell>
          <cell r="H2333" t="str">
            <v>MATTEL</v>
          </cell>
          <cell r="I2333">
            <v>4.05</v>
          </cell>
        </row>
        <row r="2334">
          <cell r="A2334" t="str">
            <v>19-02333</v>
          </cell>
          <cell r="B2334" t="str">
            <v>MOTTA INT.</v>
          </cell>
          <cell r="C2334" t="str">
            <v>P</v>
          </cell>
          <cell r="D2334" t="str">
            <v>N/A</v>
          </cell>
          <cell r="E2334" t="str">
            <v>IMATCDR57 MATTEL FISHER PRICE AMIGUITO DE ACTIVIDADES</v>
          </cell>
          <cell r="F2334" t="str">
            <v>JUGUETES</v>
          </cell>
          <cell r="G2334" t="str">
            <v>IMATCDR57</v>
          </cell>
          <cell r="H2334" t="str">
            <v>MATTEL</v>
          </cell>
          <cell r="I2334">
            <v>13.05</v>
          </cell>
        </row>
        <row r="2335">
          <cell r="A2335" t="str">
            <v>19-02334</v>
          </cell>
          <cell r="B2335" t="str">
            <v>MOTTA INT.</v>
          </cell>
          <cell r="C2335" t="str">
            <v>D</v>
          </cell>
          <cell r="D2335" t="str">
            <v>N/A</v>
          </cell>
          <cell r="E2335" t="str">
            <v>IMATCFC93 MATTEL HOT WHEELS AVENGERS 2 - PAQUETE DE CINCO AUTOS DISCONTINUED</v>
          </cell>
          <cell r="F2335" t="str">
            <v>JUGUETES</v>
          </cell>
          <cell r="G2335" t="str">
            <v>IMATCFC93</v>
          </cell>
          <cell r="H2335" t="str">
            <v>MATTEL</v>
          </cell>
          <cell r="I2335">
            <v>17.350000000000001</v>
          </cell>
        </row>
        <row r="2336">
          <cell r="A2336" t="str">
            <v>19-02335</v>
          </cell>
          <cell r="B2336" t="str">
            <v>MOTTA INT.</v>
          </cell>
          <cell r="C2336" t="str">
            <v>P</v>
          </cell>
          <cell r="D2336" t="str">
            <v>N/A</v>
          </cell>
          <cell r="E2336" t="str">
            <v>IMATCFF24 MATTEL BARBIE PRINCESA SURTIDO</v>
          </cell>
          <cell r="F2336" t="str">
            <v>JUGUETES</v>
          </cell>
          <cell r="G2336" t="str">
            <v>IMATCFF24</v>
          </cell>
          <cell r="H2336" t="str">
            <v>MATTEL</v>
          </cell>
          <cell r="I2336">
            <v>10.35</v>
          </cell>
        </row>
        <row r="2337">
          <cell r="A2337" t="str">
            <v>19-02336</v>
          </cell>
          <cell r="B2337" t="str">
            <v>MOTTA INT.</v>
          </cell>
          <cell r="C2337" t="str">
            <v>P</v>
          </cell>
          <cell r="D2337" t="str">
            <v>N/A</v>
          </cell>
          <cell r="E2337" t="str">
            <v>IMATCKH92 MATTEL FISHER PRICE SHAKIRA ARITOS-MORDEDERA JUEGA</v>
          </cell>
          <cell r="F2337" t="str">
            <v>JUGUETES</v>
          </cell>
          <cell r="G2337" t="str">
            <v>IMATCKH92</v>
          </cell>
          <cell r="H2337" t="str">
            <v>MATTEL</v>
          </cell>
          <cell r="I2337">
            <v>10.85</v>
          </cell>
        </row>
        <row r="2338">
          <cell r="A2338" t="str">
            <v>19-02337</v>
          </cell>
          <cell r="B2338" t="str">
            <v>MOTTA INT.</v>
          </cell>
          <cell r="C2338" t="str">
            <v>P</v>
          </cell>
          <cell r="D2338" t="str">
            <v>N/A</v>
          </cell>
          <cell r="E2338" t="str">
            <v>IMATCKH93 MATTEL FISHER PRICE SHAKIRA LIBRO DE ACTIVIDADES CUENTA</v>
          </cell>
          <cell r="F2338" t="str">
            <v>JUGUETES</v>
          </cell>
          <cell r="G2338" t="str">
            <v>IMATCKH93</v>
          </cell>
          <cell r="H2338" t="str">
            <v>MATTEL</v>
          </cell>
          <cell r="I2338">
            <v>5.45</v>
          </cell>
        </row>
        <row r="2339">
          <cell r="A2339" t="str">
            <v>19-02338</v>
          </cell>
          <cell r="B2339" t="str">
            <v>MOTTA INT.</v>
          </cell>
          <cell r="C2339" t="str">
            <v>P</v>
          </cell>
          <cell r="D2339" t="str">
            <v>N/A</v>
          </cell>
          <cell r="E2339" t="str">
            <v>IMATCMC18 MATTEL FISHER PRICE SHAKIRA BALON DE FUTBOL MUSICAL</v>
          </cell>
          <cell r="F2339" t="str">
            <v>JUGUETES</v>
          </cell>
          <cell r="G2339" t="str">
            <v>IMATCMC18</v>
          </cell>
          <cell r="H2339" t="str">
            <v>MATTEL</v>
          </cell>
          <cell r="I2339">
            <v>15.25</v>
          </cell>
        </row>
        <row r="2340">
          <cell r="A2340" t="str">
            <v>19-02339</v>
          </cell>
          <cell r="B2340" t="str">
            <v>MOTTA INT.</v>
          </cell>
          <cell r="C2340" t="str">
            <v>P</v>
          </cell>
          <cell r="D2340" t="str">
            <v>N/A</v>
          </cell>
          <cell r="E2340" t="str">
            <v>IMATT8225 MATTEL PICTIONARY CARTAS</v>
          </cell>
          <cell r="F2340" t="str">
            <v>JUGUETES</v>
          </cell>
          <cell r="G2340" t="str">
            <v>IMATT8225</v>
          </cell>
          <cell r="H2340" t="str">
            <v>MATTEL</v>
          </cell>
          <cell r="I2340">
            <v>3.75</v>
          </cell>
        </row>
        <row r="2341">
          <cell r="A2341" t="str">
            <v>19-02340</v>
          </cell>
          <cell r="B2341" t="str">
            <v>MOTTA INT.</v>
          </cell>
          <cell r="C2341" t="str">
            <v>P</v>
          </cell>
          <cell r="D2341" t="str">
            <v>N/A</v>
          </cell>
          <cell r="E2341" t="str">
            <v>IMATW2085 MATTEL UNO CARTAS</v>
          </cell>
          <cell r="F2341" t="str">
            <v>JUGUETES</v>
          </cell>
          <cell r="G2341" t="str">
            <v>IMATW2085</v>
          </cell>
          <cell r="H2341" t="str">
            <v>MATTEL</v>
          </cell>
          <cell r="I2341">
            <v>3.75</v>
          </cell>
        </row>
        <row r="2342">
          <cell r="A2342" t="str">
            <v>19-02341</v>
          </cell>
          <cell r="B2342" t="str">
            <v>MOTTA INT.</v>
          </cell>
          <cell r="C2342" t="str">
            <v>P</v>
          </cell>
          <cell r="D2342" t="str">
            <v>N/A</v>
          </cell>
          <cell r="E2342" t="str">
            <v>IMATY4569 MATTEL DISNEY TOY STORY SURTIDO FIGURAS DE LUJO</v>
          </cell>
          <cell r="F2342" t="str">
            <v>JUGUETES</v>
          </cell>
          <cell r="G2342" t="str">
            <v>IMATY4569</v>
          </cell>
          <cell r="H2342" t="str">
            <v>MATTEL</v>
          </cell>
          <cell r="I2342">
            <v>14.05</v>
          </cell>
        </row>
        <row r="2343">
          <cell r="A2343" t="str">
            <v>19-02342</v>
          </cell>
          <cell r="B2343" t="str">
            <v>MOTTA INT.</v>
          </cell>
          <cell r="C2343" t="str">
            <v>P</v>
          </cell>
          <cell r="D2343" t="str">
            <v>N/A</v>
          </cell>
          <cell r="E2343" t="str">
            <v>IMATY4713 MATTEL DISNEY TOY STORY SURTIDO FIGURAS DE 4"</v>
          </cell>
          <cell r="F2343" t="str">
            <v>JUGUETES</v>
          </cell>
          <cell r="G2343" t="str">
            <v>IMATY4713</v>
          </cell>
          <cell r="H2343" t="str">
            <v>MATTEL</v>
          </cell>
          <cell r="I2343">
            <v>7.65</v>
          </cell>
        </row>
        <row r="2344">
          <cell r="A2344" t="str">
            <v>19-02343</v>
          </cell>
          <cell r="B2344" t="str">
            <v>MOTTA INT.</v>
          </cell>
          <cell r="C2344" t="str">
            <v>P</v>
          </cell>
          <cell r="D2344" t="str">
            <v>N/A</v>
          </cell>
          <cell r="E2344" t="str">
            <v>IMATY9764 MATTEL SCRABBLE DASH</v>
          </cell>
          <cell r="F2344" t="str">
            <v>JUGUETES</v>
          </cell>
          <cell r="G2344" t="str">
            <v>IMATY9764</v>
          </cell>
          <cell r="H2344" t="str">
            <v>MATTEL</v>
          </cell>
          <cell r="I2344">
            <v>3.75</v>
          </cell>
        </row>
        <row r="2345">
          <cell r="A2345" t="str">
            <v>19-02344</v>
          </cell>
          <cell r="B2345" t="str">
            <v>TDL</v>
          </cell>
          <cell r="C2345" t="str">
            <v>A</v>
          </cell>
          <cell r="D2345" t="str">
            <v>N/A</v>
          </cell>
          <cell r="E2345" t="str">
            <v>A70662 AG SPF 50+ SHEER CONT SPRAY W/KONA  6OZ</v>
          </cell>
          <cell r="F2345" t="str">
            <v>SUN BLOCK</v>
          </cell>
          <cell r="G2345" t="str">
            <v>A70662</v>
          </cell>
          <cell r="H2345" t="str">
            <v>AUSTRALIAN GOLD</v>
          </cell>
          <cell r="I2345">
            <v>6.75</v>
          </cell>
        </row>
        <row r="2346">
          <cell r="A2346" t="str">
            <v>19-02345</v>
          </cell>
          <cell r="B2346" t="str">
            <v>DIST. LEWIS</v>
          </cell>
          <cell r="C2346" t="str">
            <v>A</v>
          </cell>
          <cell r="D2346" t="str">
            <v>NO</v>
          </cell>
          <cell r="E2346" t="str">
            <v>EL PRINCIPIO  LOYD,ALEXANDER</v>
          </cell>
          <cell r="F2346" t="str">
            <v>LIBRO</v>
          </cell>
          <cell r="G2346">
            <v>520504265</v>
          </cell>
          <cell r="H2346" t="str">
            <v>DIST. LEWIS</v>
          </cell>
          <cell r="I2346">
            <v>18.82</v>
          </cell>
        </row>
        <row r="2347">
          <cell r="A2347" t="str">
            <v>19-02346</v>
          </cell>
          <cell r="B2347" t="str">
            <v>DIST. LEWIS</v>
          </cell>
          <cell r="C2347" t="str">
            <v>A</v>
          </cell>
          <cell r="D2347" t="str">
            <v>NO</v>
          </cell>
          <cell r="E2347" t="str">
            <v>REINAS DE LAS SOMBRAS  QUERALT,MARIA DEL PILAR</v>
          </cell>
          <cell r="F2347" t="str">
            <v>LIBRO</v>
          </cell>
          <cell r="G2347">
            <v>520504260</v>
          </cell>
          <cell r="H2347" t="str">
            <v>DIST. LEWIS</v>
          </cell>
          <cell r="I2347">
            <v>15.28</v>
          </cell>
        </row>
        <row r="2348">
          <cell r="A2348" t="str">
            <v>19-02347</v>
          </cell>
          <cell r="B2348" t="str">
            <v>DIST. LEWIS</v>
          </cell>
          <cell r="C2348" t="str">
            <v>A</v>
          </cell>
          <cell r="D2348" t="str">
            <v>NO</v>
          </cell>
          <cell r="E2348" t="str">
            <v>SILENCIO HABLA, EL  TOLLE,ECKHART</v>
          </cell>
          <cell r="F2348" t="str">
            <v>LIBRO</v>
          </cell>
          <cell r="G2348">
            <v>540001906</v>
          </cell>
          <cell r="H2348" t="str">
            <v>DIST. LEWIS</v>
          </cell>
          <cell r="I2348">
            <v>11.02</v>
          </cell>
        </row>
        <row r="2349">
          <cell r="A2349" t="str">
            <v>19-02348</v>
          </cell>
          <cell r="B2349" t="str">
            <v>DIST. LEWIS</v>
          </cell>
          <cell r="C2349" t="str">
            <v>A</v>
          </cell>
          <cell r="D2349" t="str">
            <v>NO</v>
          </cell>
          <cell r="E2349" t="str">
            <v>FLOWERS IN THE ATTIC ADREWS, V, C,</v>
          </cell>
          <cell r="F2349" t="str">
            <v>LIBRO</v>
          </cell>
          <cell r="G2349">
            <v>520415500</v>
          </cell>
          <cell r="H2349" t="str">
            <v>DIST. LEWIS</v>
          </cell>
          <cell r="I2349">
            <v>5.82</v>
          </cell>
        </row>
        <row r="2350">
          <cell r="A2350" t="str">
            <v>19-02349</v>
          </cell>
          <cell r="B2350" t="str">
            <v>DIST. LEWIS</v>
          </cell>
          <cell r="C2350" t="str">
            <v>A</v>
          </cell>
          <cell r="D2350" t="str">
            <v>NO</v>
          </cell>
          <cell r="E2350" t="str">
            <v>UN REGALO DEL CIELO AHERN CECILIA</v>
          </cell>
          <cell r="F2350" t="str">
            <v>LIBRO</v>
          </cell>
          <cell r="G2350">
            <v>520506384</v>
          </cell>
          <cell r="H2350" t="str">
            <v>DIST. LEWIS</v>
          </cell>
          <cell r="I2350">
            <v>18.170000000000002</v>
          </cell>
        </row>
        <row r="2351">
          <cell r="A2351" t="str">
            <v>19-02350</v>
          </cell>
          <cell r="B2351" t="str">
            <v>DIST. LEWIS</v>
          </cell>
          <cell r="C2351" t="str">
            <v>A</v>
          </cell>
          <cell r="D2351" t="str">
            <v>NO</v>
          </cell>
          <cell r="E2351" t="str">
            <v>AMANTE JAPONES ALLENDE ISABEL</v>
          </cell>
          <cell r="F2351" t="str">
            <v>LIBRO</v>
          </cell>
          <cell r="G2351">
            <v>522705846</v>
          </cell>
          <cell r="H2351" t="str">
            <v>DIST. LEWIS</v>
          </cell>
          <cell r="I2351">
            <v>12.204000000000001</v>
          </cell>
        </row>
        <row r="2352">
          <cell r="A2352" t="str">
            <v>19-02351</v>
          </cell>
          <cell r="B2352" t="str">
            <v>DIST. LEWIS</v>
          </cell>
          <cell r="C2352" t="str">
            <v>A</v>
          </cell>
          <cell r="D2352" t="str">
            <v>NO</v>
          </cell>
          <cell r="E2352" t="str">
            <v>JUEGO DE RIPPER, EL ALLENDE ISABEL</v>
          </cell>
          <cell r="F2352" t="str">
            <v>LIBRO</v>
          </cell>
          <cell r="G2352">
            <v>520511172</v>
          </cell>
          <cell r="H2352" t="str">
            <v>DIST. LEWIS</v>
          </cell>
          <cell r="I2352">
            <v>18.82</v>
          </cell>
        </row>
        <row r="2353">
          <cell r="A2353" t="str">
            <v>19-02352</v>
          </cell>
          <cell r="B2353" t="str">
            <v>DIST. LEWIS</v>
          </cell>
          <cell r="C2353" t="str">
            <v>A</v>
          </cell>
          <cell r="D2353" t="str">
            <v>NO</v>
          </cell>
          <cell r="E2353" t="str">
            <v>MAYA´S NOTEBOOK ALLENDE ISABEL</v>
          </cell>
          <cell r="F2353" t="str">
            <v>LIBRO</v>
          </cell>
          <cell r="G2353">
            <v>19199</v>
          </cell>
          <cell r="H2353" t="str">
            <v>DIST. LEWIS</v>
          </cell>
          <cell r="I2353">
            <v>6.47</v>
          </cell>
        </row>
        <row r="2354">
          <cell r="A2354" t="str">
            <v>19-02353</v>
          </cell>
          <cell r="B2354" t="str">
            <v>DIST. LEWIS</v>
          </cell>
          <cell r="C2354" t="str">
            <v>A</v>
          </cell>
          <cell r="D2354" t="str">
            <v>NO</v>
          </cell>
          <cell r="E2354" t="str">
            <v>RIPPER ALLENDE ISABEL</v>
          </cell>
          <cell r="F2354" t="str">
            <v>LIBRO</v>
          </cell>
          <cell r="G2354">
            <v>19211</v>
          </cell>
          <cell r="H2354" t="str">
            <v>DIST. LEWIS</v>
          </cell>
          <cell r="I2354">
            <v>6.47</v>
          </cell>
        </row>
        <row r="2355">
          <cell r="A2355" t="str">
            <v>19-02354</v>
          </cell>
          <cell r="B2355" t="str">
            <v>DIST. LEWIS</v>
          </cell>
          <cell r="C2355" t="str">
            <v>A</v>
          </cell>
          <cell r="D2355" t="str">
            <v>NO</v>
          </cell>
          <cell r="E2355" t="str">
            <v>SEXUALIDAD Y LOS ADOLESCENTES ALVARES MIGUEL</v>
          </cell>
          <cell r="F2355" t="str">
            <v>LIBRO</v>
          </cell>
          <cell r="G2355">
            <v>522605541</v>
          </cell>
          <cell r="H2355" t="str">
            <v>DIST. LEWIS</v>
          </cell>
          <cell r="I2355">
            <v>5.82</v>
          </cell>
        </row>
        <row r="2356">
          <cell r="A2356" t="str">
            <v>19-02355</v>
          </cell>
          <cell r="B2356" t="str">
            <v>DIST. LEWIS</v>
          </cell>
          <cell r="C2356" t="str">
            <v>A</v>
          </cell>
          <cell r="D2356" t="str">
            <v>NO</v>
          </cell>
          <cell r="E2356" t="str">
            <v>CLUB DE LOS PERDEDORES AMKIE LORENA</v>
          </cell>
          <cell r="F2356" t="str">
            <v>LIBRO</v>
          </cell>
          <cell r="G2356">
            <v>520513341</v>
          </cell>
          <cell r="H2356" t="str">
            <v>DIST. LEWIS</v>
          </cell>
          <cell r="I2356">
            <v>0</v>
          </cell>
        </row>
        <row r="2357">
          <cell r="A2357" t="str">
            <v>19-02356</v>
          </cell>
          <cell r="B2357" t="str">
            <v>DIST. LEWIS</v>
          </cell>
          <cell r="C2357" t="str">
            <v>A</v>
          </cell>
          <cell r="D2357" t="str">
            <v>NO</v>
          </cell>
          <cell r="E2357" t="str">
            <v>TRIUNFA NEGOCIOS, MENTALIDAD ADECUADA ATKINSON WILLIAMS</v>
          </cell>
          <cell r="F2357" t="str">
            <v>LIBRO</v>
          </cell>
          <cell r="G2357">
            <v>522605686</v>
          </cell>
          <cell r="H2357" t="str">
            <v>DIST. LEWIS</v>
          </cell>
          <cell r="I2357">
            <v>8.42</v>
          </cell>
        </row>
        <row r="2358">
          <cell r="A2358" t="str">
            <v>19-02357</v>
          </cell>
          <cell r="B2358" t="str">
            <v>DIST. LEWIS</v>
          </cell>
          <cell r="C2358" t="str">
            <v>A</v>
          </cell>
          <cell r="D2358" t="str">
            <v>NO</v>
          </cell>
          <cell r="E2358" t="str">
            <v>MANSFIELD PARK AUSTIN JANE</v>
          </cell>
          <cell r="F2358" t="str">
            <v>LIBRO</v>
          </cell>
          <cell r="G2358">
            <v>520515673</v>
          </cell>
          <cell r="H2358" t="str">
            <v>DIST. LEWIS</v>
          </cell>
          <cell r="I2358">
            <v>9.3230000000000004</v>
          </cell>
        </row>
        <row r="2359">
          <cell r="A2359" t="str">
            <v>19-02358</v>
          </cell>
          <cell r="B2359" t="str">
            <v>DIST. LEWIS</v>
          </cell>
          <cell r="C2359" t="str">
            <v>A</v>
          </cell>
          <cell r="D2359" t="str">
            <v>NO</v>
          </cell>
          <cell r="E2359" t="str">
            <v>NOVEL JOURNAL EMMA AUSTIN JANE</v>
          </cell>
          <cell r="F2359" t="str">
            <v>LIBRO</v>
          </cell>
          <cell r="G2359">
            <v>520400310</v>
          </cell>
          <cell r="H2359" t="str">
            <v>DIST. LEWIS</v>
          </cell>
          <cell r="I2359">
            <v>12.32</v>
          </cell>
        </row>
        <row r="2360">
          <cell r="A2360" t="str">
            <v>19-02359</v>
          </cell>
          <cell r="B2360" t="str">
            <v>DIST. LEWIS</v>
          </cell>
          <cell r="C2360" t="str">
            <v>A</v>
          </cell>
          <cell r="D2360" t="str">
            <v>NO</v>
          </cell>
          <cell r="E2360" t="str">
            <v>ESCAPE, THE - BALDACCI, D.</v>
          </cell>
          <cell r="F2360" t="str">
            <v>LIBRO</v>
          </cell>
          <cell r="G2360">
            <v>39218</v>
          </cell>
          <cell r="H2360" t="str">
            <v>DIST. LEWIS</v>
          </cell>
          <cell r="I2360">
            <v>5.84</v>
          </cell>
        </row>
        <row r="2361">
          <cell r="A2361" t="str">
            <v>19-02360</v>
          </cell>
          <cell r="B2361" t="str">
            <v>DIST. LEWIS</v>
          </cell>
          <cell r="C2361" t="str">
            <v>A</v>
          </cell>
          <cell r="D2361" t="str">
            <v>NO</v>
          </cell>
          <cell r="E2361" t="str">
            <v>SONRIE, LA MAGIA DEL PENSAMIENTO POSITIVO BARGAGH ESTHER</v>
          </cell>
          <cell r="F2361" t="str">
            <v>LIBRO</v>
          </cell>
          <cell r="G2361">
            <v>522605593</v>
          </cell>
          <cell r="H2361" t="str">
            <v>DIST. LEWIS</v>
          </cell>
          <cell r="I2361">
            <v>8.42</v>
          </cell>
        </row>
        <row r="2362">
          <cell r="A2362" t="str">
            <v>19-02361</v>
          </cell>
          <cell r="B2362" t="str">
            <v>DIST. LEWIS</v>
          </cell>
          <cell r="C2362" t="str">
            <v>A</v>
          </cell>
          <cell r="D2362" t="str">
            <v>NO</v>
          </cell>
          <cell r="E2362" t="str">
            <v>REGRESO A LA CABANA BAXTER, C.</v>
          </cell>
          <cell r="F2362" t="str">
            <v>LIBRO</v>
          </cell>
          <cell r="G2362">
            <v>520513315</v>
          </cell>
          <cell r="H2362" t="str">
            <v>DIST. LEWIS</v>
          </cell>
          <cell r="I2362">
            <v>14.92</v>
          </cell>
        </row>
        <row r="2363">
          <cell r="A2363" t="str">
            <v>19-02362</v>
          </cell>
          <cell r="B2363" t="str">
            <v>DIST. LEWIS</v>
          </cell>
          <cell r="C2363" t="str">
            <v>A</v>
          </cell>
          <cell r="D2363" t="str">
            <v>NO</v>
          </cell>
          <cell r="E2363" t="str">
            <v>KARMA CON EL DINERO BEMONTE JOSE</v>
          </cell>
          <cell r="F2363" t="str">
            <v>LIBRO</v>
          </cell>
          <cell r="G2363">
            <v>530000584</v>
          </cell>
          <cell r="H2363" t="str">
            <v>DIST. LEWIS</v>
          </cell>
          <cell r="I2363">
            <v>9.07</v>
          </cell>
        </row>
        <row r="2364">
          <cell r="A2364" t="str">
            <v>19-02363</v>
          </cell>
          <cell r="B2364" t="str">
            <v>DIST. LEWIS</v>
          </cell>
          <cell r="C2364" t="str">
            <v>A</v>
          </cell>
          <cell r="D2364" t="str">
            <v>NO</v>
          </cell>
          <cell r="E2364" t="str">
            <v>DESDE MI MURO BENITO TAIBO</v>
          </cell>
          <cell r="F2364" t="str">
            <v>LIBRO</v>
          </cell>
          <cell r="G2364">
            <v>520513340</v>
          </cell>
          <cell r="H2364" t="str">
            <v>DIST. LEWIS</v>
          </cell>
          <cell r="I2364">
            <v>0</v>
          </cell>
        </row>
        <row r="2365">
          <cell r="A2365" t="str">
            <v>19-02364</v>
          </cell>
          <cell r="B2365" t="str">
            <v>DIST. LEWIS</v>
          </cell>
          <cell r="C2365" t="str">
            <v>A</v>
          </cell>
          <cell r="D2365" t="str">
            <v>NO</v>
          </cell>
          <cell r="E2365" t="str">
            <v>PARECIDO A UN ASESINO BOLEA, JUAN</v>
          </cell>
          <cell r="F2365" t="str">
            <v>LIBRO</v>
          </cell>
          <cell r="G2365">
            <v>520513868</v>
          </cell>
          <cell r="H2365" t="str">
            <v>DIST. LEWIS</v>
          </cell>
          <cell r="I2365">
            <v>0</v>
          </cell>
        </row>
        <row r="2366">
          <cell r="A2366" t="str">
            <v>19-02365</v>
          </cell>
          <cell r="B2366" t="str">
            <v>DIST. LEWIS</v>
          </cell>
          <cell r="C2366" t="str">
            <v>A</v>
          </cell>
          <cell r="D2366" t="str">
            <v>NO</v>
          </cell>
          <cell r="E2366" t="str">
            <v>ATAUD DE USO BRITTON ROSA MARIA</v>
          </cell>
          <cell r="F2366" t="str">
            <v>LIBRO</v>
          </cell>
          <cell r="G2366">
            <v>520511683</v>
          </cell>
          <cell r="H2366" t="str">
            <v>DIST. LEWIS</v>
          </cell>
          <cell r="I2366">
            <v>0</v>
          </cell>
        </row>
        <row r="2367">
          <cell r="A2367" t="str">
            <v>19-02366</v>
          </cell>
          <cell r="B2367" t="str">
            <v>DIST. LEWIS</v>
          </cell>
          <cell r="C2367" t="str">
            <v>A</v>
          </cell>
          <cell r="D2367" t="str">
            <v>NO</v>
          </cell>
          <cell r="E2367" t="str">
            <v>SENOR DE LA LLUVIA Y EL VIENTO BRITTON ROSA MARIA</v>
          </cell>
          <cell r="F2367" t="str">
            <v>LIBRO</v>
          </cell>
          <cell r="G2367">
            <v>520511684</v>
          </cell>
          <cell r="H2367" t="str">
            <v>DIST. LEWIS</v>
          </cell>
          <cell r="I2367">
            <v>0</v>
          </cell>
        </row>
        <row r="2368">
          <cell r="A2368" t="str">
            <v>19-02367</v>
          </cell>
          <cell r="B2368" t="str">
            <v>DIST. LEWIS</v>
          </cell>
          <cell r="C2368" t="str">
            <v>D</v>
          </cell>
          <cell r="D2368" t="str">
            <v>N/A</v>
          </cell>
          <cell r="E2368" t="str">
            <v>INFERNO BROWN DAN</v>
          </cell>
          <cell r="F2368" t="str">
            <v>LIBRO</v>
          </cell>
          <cell r="G2368">
            <v>520503162</v>
          </cell>
          <cell r="H2368" t="str">
            <v>DIST. LEWIS</v>
          </cell>
          <cell r="I2368">
            <v>7.883</v>
          </cell>
        </row>
        <row r="2369">
          <cell r="A2369" t="str">
            <v>19-02368</v>
          </cell>
          <cell r="B2369" t="str">
            <v>DIST. LEWIS</v>
          </cell>
          <cell r="C2369" t="str">
            <v>A</v>
          </cell>
          <cell r="D2369" t="str">
            <v>NO</v>
          </cell>
          <cell r="E2369" t="str">
            <v>FRANKENWEENNIE BURTON TIM</v>
          </cell>
          <cell r="F2369" t="str">
            <v>LIBRO</v>
          </cell>
          <cell r="G2369">
            <v>520513240</v>
          </cell>
          <cell r="H2369" t="str">
            <v>DIST. LEWIS</v>
          </cell>
          <cell r="I2369">
            <v>0</v>
          </cell>
        </row>
        <row r="2370">
          <cell r="A2370" t="str">
            <v>19-02369</v>
          </cell>
          <cell r="B2370" t="str">
            <v>DIST. LEWIS</v>
          </cell>
          <cell r="C2370" t="str">
            <v>A</v>
          </cell>
          <cell r="D2370" t="str">
            <v>NO</v>
          </cell>
          <cell r="E2370" t="str">
            <v>MOON LIVING PANAMA BUTTERMAN MIRAM</v>
          </cell>
          <cell r="F2370" t="str">
            <v>LIBRO</v>
          </cell>
          <cell r="G2370">
            <v>520400030</v>
          </cell>
          <cell r="H2370" t="str">
            <v>DIST. LEWIS</v>
          </cell>
          <cell r="I2370">
            <v>0</v>
          </cell>
        </row>
        <row r="2371">
          <cell r="A2371" t="str">
            <v>19-02370</v>
          </cell>
          <cell r="B2371" t="str">
            <v>DIST. LEWIS</v>
          </cell>
          <cell r="C2371" t="str">
            <v>A</v>
          </cell>
          <cell r="D2371" t="str">
            <v>NO</v>
          </cell>
          <cell r="E2371" t="str">
            <v>SECRETO DEL BAMBU, EL - CALA ISMAEL</v>
          </cell>
          <cell r="F2371" t="str">
            <v>LIBRO</v>
          </cell>
          <cell r="G2371">
            <v>522904421</v>
          </cell>
          <cell r="H2371" t="str">
            <v>DIST. LEWIS</v>
          </cell>
          <cell r="I2371">
            <v>11.02</v>
          </cell>
        </row>
        <row r="2372">
          <cell r="A2372" t="str">
            <v>19-02371</v>
          </cell>
          <cell r="B2372" t="str">
            <v>DIST. LEWIS</v>
          </cell>
          <cell r="C2372" t="str">
            <v>A</v>
          </cell>
          <cell r="D2372" t="str">
            <v>NO</v>
          </cell>
          <cell r="E2372" t="str">
            <v>UN BUEN HIJO DE P... CALA ISMAEL</v>
          </cell>
          <cell r="F2372" t="str">
            <v>LIBRO</v>
          </cell>
          <cell r="G2372">
            <v>520402322</v>
          </cell>
          <cell r="H2372" t="str">
            <v>DIST. LEWIS</v>
          </cell>
          <cell r="I2372">
            <v>11.02</v>
          </cell>
        </row>
        <row r="2373">
          <cell r="A2373" t="str">
            <v>19-02372</v>
          </cell>
          <cell r="B2373" t="str">
            <v>DIST. LEWIS</v>
          </cell>
          <cell r="C2373" t="str">
            <v>A</v>
          </cell>
          <cell r="D2373" t="str">
            <v>NO</v>
          </cell>
          <cell r="E2373" t="str">
            <v>SABIDURIA ELEMENTAL CAMUER SOLANGE</v>
          </cell>
          <cell r="F2373" t="str">
            <v>LIBRO</v>
          </cell>
          <cell r="G2373">
            <v>520504261</v>
          </cell>
          <cell r="H2373" t="str">
            <v>DIST. LEWIS</v>
          </cell>
          <cell r="I2373">
            <v>0</v>
          </cell>
        </row>
        <row r="2374">
          <cell r="A2374" t="str">
            <v>19-02373</v>
          </cell>
          <cell r="B2374" t="str">
            <v>DIST. LEWIS</v>
          </cell>
          <cell r="C2374" t="str">
            <v>A</v>
          </cell>
          <cell r="D2374" t="str">
            <v>NO</v>
          </cell>
          <cell r="E2374" t="str">
            <v>DESCUBRASE COMO LIDER  CARNEGIE DALE</v>
          </cell>
          <cell r="F2374" t="str">
            <v>LIBRO</v>
          </cell>
          <cell r="G2374">
            <v>520506561</v>
          </cell>
          <cell r="H2374" t="str">
            <v>DIST. LEWIS</v>
          </cell>
          <cell r="I2374">
            <v>0</v>
          </cell>
        </row>
        <row r="2375">
          <cell r="A2375" t="str">
            <v>19-02374</v>
          </cell>
          <cell r="B2375" t="str">
            <v>DIST. LEWIS</v>
          </cell>
          <cell r="C2375" t="str">
            <v>A</v>
          </cell>
          <cell r="D2375" t="str">
            <v>NO</v>
          </cell>
          <cell r="E2375" t="str">
            <v>FRANCOTIRADOR, EL - CHRIS KYLE</v>
          </cell>
          <cell r="F2375" t="str">
            <v>LIBRO</v>
          </cell>
          <cell r="G2375">
            <v>522904408</v>
          </cell>
          <cell r="H2375" t="str">
            <v>DIST. LEWIS</v>
          </cell>
          <cell r="I2375">
            <v>8.42</v>
          </cell>
        </row>
        <row r="2376">
          <cell r="A2376" t="str">
            <v>19-02375</v>
          </cell>
          <cell r="B2376" t="str">
            <v>DIST. LEWIS</v>
          </cell>
          <cell r="C2376" t="str">
            <v>A</v>
          </cell>
          <cell r="D2376" t="str">
            <v>NO</v>
          </cell>
          <cell r="E2376" t="str">
            <v>ANOS PERDIDOS DE JESUS CLARE ELIZABETH</v>
          </cell>
          <cell r="F2376" t="str">
            <v>LIBRO</v>
          </cell>
          <cell r="G2376">
            <v>540001880</v>
          </cell>
          <cell r="H2376" t="str">
            <v>DIST. LEWIS</v>
          </cell>
          <cell r="I2376">
            <v>0</v>
          </cell>
        </row>
        <row r="2377">
          <cell r="A2377" t="str">
            <v>19-02376</v>
          </cell>
          <cell r="B2377" t="str">
            <v>DIST. LEWIS</v>
          </cell>
          <cell r="C2377" t="str">
            <v>A</v>
          </cell>
          <cell r="D2377" t="str">
            <v>NO</v>
          </cell>
          <cell r="E2377" t="str">
            <v>EINSTEIN   CLARK RONALD</v>
          </cell>
          <cell r="F2377" t="str">
            <v>LIBRO</v>
          </cell>
          <cell r="G2377">
            <v>19204</v>
          </cell>
          <cell r="H2377" t="str">
            <v>DIST. LEWIS</v>
          </cell>
          <cell r="I2377">
            <v>0</v>
          </cell>
        </row>
        <row r="2378">
          <cell r="A2378" t="str">
            <v>19-02377</v>
          </cell>
          <cell r="B2378" t="str">
            <v>DIST. LEWIS</v>
          </cell>
          <cell r="C2378" t="str">
            <v>A</v>
          </cell>
          <cell r="D2378" t="str">
            <v>NO</v>
          </cell>
          <cell r="E2378" t="str">
            <v>ADULTERIO COELHO PAULO</v>
          </cell>
          <cell r="F2378" t="str">
            <v>LIBRO</v>
          </cell>
          <cell r="G2378">
            <v>520511240</v>
          </cell>
          <cell r="H2378" t="str">
            <v>DIST. LEWIS</v>
          </cell>
          <cell r="I2378">
            <v>0</v>
          </cell>
        </row>
        <row r="2379">
          <cell r="A2379" t="str">
            <v>19-02378</v>
          </cell>
          <cell r="B2379" t="str">
            <v>DIST. LEWIS</v>
          </cell>
          <cell r="C2379" t="str">
            <v>D</v>
          </cell>
          <cell r="D2379" t="str">
            <v>N/A</v>
          </cell>
          <cell r="E2379" t="str">
            <v>ALEPH COELHO PAULO</v>
          </cell>
          <cell r="F2379" t="str">
            <v>LIBRO</v>
          </cell>
          <cell r="G2379">
            <v>520511650</v>
          </cell>
          <cell r="H2379" t="str">
            <v>DIST. LEWIS</v>
          </cell>
          <cell r="I2379">
            <v>0</v>
          </cell>
        </row>
        <row r="2380">
          <cell r="A2380" t="str">
            <v>19-02379</v>
          </cell>
          <cell r="B2380" t="str">
            <v>DIST. LEWIS</v>
          </cell>
          <cell r="C2380" t="str">
            <v>A</v>
          </cell>
          <cell r="D2380" t="str">
            <v>NO</v>
          </cell>
          <cell r="E2380" t="str">
            <v>BRUJA DE PORTOBELLO COELHO PAULO</v>
          </cell>
          <cell r="F2380" t="str">
            <v>LIBRO</v>
          </cell>
          <cell r="G2380">
            <v>522702084</v>
          </cell>
          <cell r="H2380" t="str">
            <v>DIST. LEWIS</v>
          </cell>
          <cell r="I2380">
            <v>0</v>
          </cell>
        </row>
        <row r="2381">
          <cell r="A2381" t="str">
            <v>19-02380</v>
          </cell>
          <cell r="B2381" t="str">
            <v>DIST. LEWIS</v>
          </cell>
          <cell r="C2381" t="str">
            <v>A</v>
          </cell>
          <cell r="D2381" t="str">
            <v>NO</v>
          </cell>
          <cell r="E2381" t="str">
            <v>MANUSCRITO ENCONTRADO EN ACCRA COELHO PAULO</v>
          </cell>
          <cell r="F2381" t="str">
            <v>LIBRO</v>
          </cell>
          <cell r="G2381">
            <v>520511660</v>
          </cell>
          <cell r="H2381" t="str">
            <v>DIST. LEWIS</v>
          </cell>
          <cell r="I2381">
            <v>14.27</v>
          </cell>
        </row>
        <row r="2382">
          <cell r="A2382" t="str">
            <v>19-02381</v>
          </cell>
          <cell r="B2382" t="str">
            <v>DIST. LEWIS</v>
          </cell>
          <cell r="C2382" t="str">
            <v>A</v>
          </cell>
          <cell r="D2382" t="str">
            <v>NO</v>
          </cell>
          <cell r="E2382" t="str">
            <v>QUINTA MONTANA, LA COELHO PAULO</v>
          </cell>
          <cell r="F2382" t="str">
            <v>LIBRO</v>
          </cell>
          <cell r="G2382">
            <v>520511453</v>
          </cell>
          <cell r="H2382" t="str">
            <v>DIST. LEWIS</v>
          </cell>
          <cell r="I2382">
            <v>0</v>
          </cell>
        </row>
        <row r="2383">
          <cell r="A2383" t="str">
            <v>19-02382</v>
          </cell>
          <cell r="B2383" t="str">
            <v>DIST. LEWIS</v>
          </cell>
          <cell r="C2383" t="str">
            <v>A</v>
          </cell>
          <cell r="D2383" t="str">
            <v>NO</v>
          </cell>
          <cell r="E2383" t="str">
            <v>VALKIRIA COELHO PAULO</v>
          </cell>
          <cell r="F2383" t="str">
            <v>LIBRO</v>
          </cell>
          <cell r="G2383">
            <v>520511570</v>
          </cell>
          <cell r="H2383" t="str">
            <v>DIST. LEWIS</v>
          </cell>
          <cell r="I2383">
            <v>0</v>
          </cell>
        </row>
        <row r="2384">
          <cell r="A2384" t="str">
            <v>19-02383</v>
          </cell>
          <cell r="B2384" t="str">
            <v>DIST. LEWIS</v>
          </cell>
          <cell r="C2384" t="str">
            <v>A</v>
          </cell>
          <cell r="D2384" t="str">
            <v>NO</v>
          </cell>
          <cell r="E2384" t="str">
            <v>VERONICA DECIDE MORIR COELHO PAULO</v>
          </cell>
          <cell r="F2384" t="str">
            <v>LIBRO</v>
          </cell>
          <cell r="G2384">
            <v>520511478</v>
          </cell>
          <cell r="H2384" t="str">
            <v>DIST. LEWIS</v>
          </cell>
          <cell r="I2384">
            <v>10.37</v>
          </cell>
        </row>
        <row r="2385">
          <cell r="A2385" t="str">
            <v>19-02384</v>
          </cell>
          <cell r="B2385" t="str">
            <v>DIST. LEWIS</v>
          </cell>
          <cell r="C2385" t="str">
            <v>A</v>
          </cell>
          <cell r="D2385" t="str">
            <v>NO</v>
          </cell>
          <cell r="E2385" t="str">
            <v>ZAHIR, EL  COELHO PAULO</v>
          </cell>
          <cell r="F2385" t="str">
            <v>LIBRO</v>
          </cell>
          <cell r="G2385">
            <v>520511263</v>
          </cell>
          <cell r="H2385" t="str">
            <v>DIST. LEWIS</v>
          </cell>
          <cell r="I2385">
            <v>0</v>
          </cell>
        </row>
        <row r="2386">
          <cell r="A2386" t="str">
            <v>19-02385</v>
          </cell>
          <cell r="B2386" t="str">
            <v>DIST. LEWIS</v>
          </cell>
          <cell r="C2386" t="str">
            <v>A</v>
          </cell>
          <cell r="D2386" t="str">
            <v>NO</v>
          </cell>
          <cell r="E2386" t="str">
            <v>LA PERDICION COLLMORE ANA</v>
          </cell>
          <cell r="F2386" t="str">
            <v>LIBRO</v>
          </cell>
          <cell r="G2386">
            <v>522611775</v>
          </cell>
          <cell r="H2386" t="str">
            <v>DIST. LEWIS</v>
          </cell>
          <cell r="I2386">
            <v>0</v>
          </cell>
        </row>
        <row r="2387">
          <cell r="A2387" t="str">
            <v>19-02386</v>
          </cell>
          <cell r="B2387" t="str">
            <v>DIST. LEWIS</v>
          </cell>
          <cell r="C2387" t="str">
            <v>A</v>
          </cell>
          <cell r="D2387" t="str">
            <v>NO</v>
          </cell>
          <cell r="E2387" t="str">
            <v>EN BUSCA DE LA FELICIDAD - CORNNER CHRIS</v>
          </cell>
          <cell r="F2387" t="str">
            <v>LIBRO</v>
          </cell>
          <cell r="G2387">
            <v>522904407</v>
          </cell>
          <cell r="H2387" t="str">
            <v>DIST. LEWIS</v>
          </cell>
          <cell r="I2387">
            <v>14.91</v>
          </cell>
        </row>
        <row r="2388">
          <cell r="A2388" t="str">
            <v>19-02387</v>
          </cell>
          <cell r="B2388" t="str">
            <v>DIST. LEWIS</v>
          </cell>
          <cell r="C2388" t="str">
            <v>A</v>
          </cell>
          <cell r="D2388" t="str">
            <v>NO</v>
          </cell>
          <cell r="E2388" t="str">
            <v>SECRETOS DEL SIMBOLO PERDIDO COX SIMONS</v>
          </cell>
          <cell r="F2388" t="str">
            <v>LIBRO</v>
          </cell>
          <cell r="G2388">
            <v>520506654</v>
          </cell>
          <cell r="H2388" t="str">
            <v>DIST. LEWIS</v>
          </cell>
          <cell r="I2388">
            <v>0</v>
          </cell>
        </row>
        <row r="2389">
          <cell r="A2389" t="str">
            <v>19-02388</v>
          </cell>
          <cell r="B2389" t="str">
            <v>DIST. LEWIS</v>
          </cell>
          <cell r="C2389" t="str">
            <v>A</v>
          </cell>
          <cell r="D2389" t="str">
            <v>NO</v>
          </cell>
          <cell r="E2389" t="str">
            <v>CONTRAVENENO CUAUHTEMOC CARLOS</v>
          </cell>
          <cell r="F2389" t="str">
            <v>LIBRO</v>
          </cell>
          <cell r="G2389">
            <v>522707124</v>
          </cell>
          <cell r="H2389" t="str">
            <v>DIST. LEWIS</v>
          </cell>
          <cell r="I2389">
            <v>0</v>
          </cell>
        </row>
        <row r="2390">
          <cell r="A2390" t="str">
            <v>19-02389</v>
          </cell>
          <cell r="B2390" t="str">
            <v>DIST. LEWIS</v>
          </cell>
          <cell r="C2390" t="str">
            <v>A</v>
          </cell>
          <cell r="D2390" t="str">
            <v>NO</v>
          </cell>
          <cell r="E2390" t="str">
            <v>DECISION CRUCIAL CUAUHTEMOC CARLOS</v>
          </cell>
          <cell r="F2390" t="str">
            <v>LIBRO</v>
          </cell>
          <cell r="G2390">
            <v>522707113</v>
          </cell>
          <cell r="H2390" t="str">
            <v>DIST. LEWIS</v>
          </cell>
          <cell r="I2390">
            <v>12.68</v>
          </cell>
        </row>
        <row r="2391">
          <cell r="A2391" t="str">
            <v>19-02390</v>
          </cell>
          <cell r="B2391" t="str">
            <v>DIST. LEWIS</v>
          </cell>
          <cell r="C2391" t="str">
            <v>A</v>
          </cell>
          <cell r="D2391" t="str">
            <v>NO</v>
          </cell>
          <cell r="E2391" t="str">
            <v>DIRIGENTES DEL MUNDO FUTURO CUAUHTEMOC CARLOS</v>
          </cell>
          <cell r="F2391" t="str">
            <v>LIBRO</v>
          </cell>
          <cell r="G2391">
            <v>522707123</v>
          </cell>
          <cell r="H2391" t="str">
            <v>DIST. LEWIS</v>
          </cell>
          <cell r="I2391">
            <v>11.02</v>
          </cell>
        </row>
        <row r="2392">
          <cell r="A2392" t="str">
            <v>19-02391</v>
          </cell>
          <cell r="B2392" t="str">
            <v>DIST. LEWIS</v>
          </cell>
          <cell r="C2392" t="str">
            <v>A</v>
          </cell>
          <cell r="D2392" t="str">
            <v>NO</v>
          </cell>
          <cell r="E2392" t="str">
            <v>FANTASMA DEL ESPEJO CUAUHTEMOC CARLOS</v>
          </cell>
          <cell r="F2392" t="str">
            <v>LIBRO</v>
          </cell>
          <cell r="G2392">
            <v>522707110</v>
          </cell>
          <cell r="H2392" t="str">
            <v>DIST. LEWIS</v>
          </cell>
          <cell r="I2392">
            <v>0</v>
          </cell>
        </row>
        <row r="2393">
          <cell r="A2393" t="str">
            <v>19-02392</v>
          </cell>
          <cell r="B2393" t="str">
            <v>DIST. LEWIS</v>
          </cell>
          <cell r="C2393" t="str">
            <v>A</v>
          </cell>
          <cell r="D2393" t="str">
            <v>NO</v>
          </cell>
          <cell r="E2393" t="str">
            <v>FEO, EL  CUAUHTEMOC CARLOS</v>
          </cell>
          <cell r="F2393" t="str">
            <v>LIBRO</v>
          </cell>
          <cell r="G2393">
            <v>522707114</v>
          </cell>
          <cell r="H2393" t="str">
            <v>DIST. LEWIS</v>
          </cell>
          <cell r="I2393">
            <v>12.68</v>
          </cell>
        </row>
        <row r="2394">
          <cell r="A2394" t="str">
            <v>19-02393</v>
          </cell>
          <cell r="B2394" t="str">
            <v>DIST. LEWIS</v>
          </cell>
          <cell r="C2394" t="str">
            <v>A</v>
          </cell>
          <cell r="D2394" t="str">
            <v>NO</v>
          </cell>
          <cell r="E2394" t="str">
            <v>FUERZA DE SHECCIDS  CUAUHTEMOC CARLOS</v>
          </cell>
          <cell r="F2394" t="str">
            <v>LIBRO</v>
          </cell>
          <cell r="G2394">
            <v>522707121</v>
          </cell>
          <cell r="H2394" t="str">
            <v>DIST. LEWIS</v>
          </cell>
          <cell r="I2394">
            <v>0</v>
          </cell>
        </row>
        <row r="2395">
          <cell r="A2395" t="str">
            <v>19-02394</v>
          </cell>
          <cell r="B2395" t="str">
            <v>DIST. LEWIS</v>
          </cell>
          <cell r="C2395" t="str">
            <v>A</v>
          </cell>
          <cell r="D2395" t="str">
            <v>NO</v>
          </cell>
          <cell r="E2395" t="str">
            <v>JUVENTUD EN EXTASIS CUAUHTEMOC CARLOS</v>
          </cell>
          <cell r="F2395" t="str">
            <v>LIBRO</v>
          </cell>
          <cell r="G2395">
            <v>522707111</v>
          </cell>
          <cell r="H2395" t="str">
            <v>DIST. LEWIS</v>
          </cell>
          <cell r="I2395">
            <v>0</v>
          </cell>
        </row>
        <row r="2396">
          <cell r="A2396" t="str">
            <v>19-02395</v>
          </cell>
          <cell r="B2396" t="str">
            <v>DIST. LEWIS</v>
          </cell>
          <cell r="C2396" t="str">
            <v>A</v>
          </cell>
          <cell r="D2396" t="str">
            <v>NO</v>
          </cell>
          <cell r="E2396" t="str">
            <v>LUZ EN LA TORMENTA CUAUHTEMOC CARLOS</v>
          </cell>
          <cell r="F2396" t="str">
            <v>LIBRO</v>
          </cell>
          <cell r="G2396">
            <v>522707101</v>
          </cell>
          <cell r="H2396" t="str">
            <v>DIST. LEWIS</v>
          </cell>
          <cell r="I2396">
            <v>13.98</v>
          </cell>
        </row>
        <row r="2397">
          <cell r="A2397" t="str">
            <v>19-02396</v>
          </cell>
          <cell r="B2397" t="str">
            <v>DIST. LEWIS</v>
          </cell>
          <cell r="C2397" t="str">
            <v>A</v>
          </cell>
          <cell r="D2397" t="str">
            <v>NO</v>
          </cell>
          <cell r="E2397" t="str">
            <v>MIENTRAS RESPIRE CUAUHTEMOC CARLOS</v>
          </cell>
          <cell r="F2397" t="str">
            <v>LIBRO</v>
          </cell>
          <cell r="G2397">
            <v>522707118</v>
          </cell>
          <cell r="H2397" t="str">
            <v>DIST. LEWIS</v>
          </cell>
          <cell r="I2397">
            <v>0</v>
          </cell>
        </row>
        <row r="2398">
          <cell r="A2398" t="str">
            <v>19-02397</v>
          </cell>
          <cell r="B2398" t="str">
            <v>DIST. LEWIS</v>
          </cell>
          <cell r="C2398" t="str">
            <v>A</v>
          </cell>
          <cell r="D2398" t="str">
            <v>NO</v>
          </cell>
          <cell r="E2398" t="str">
            <v>MUJERES EN CONQUISTA CUAUHTEMOC CARLOS</v>
          </cell>
          <cell r="F2398" t="str">
            <v>LIBRO</v>
          </cell>
          <cell r="G2398">
            <v>522707107</v>
          </cell>
          <cell r="H2398" t="str">
            <v>DIST. LEWIS</v>
          </cell>
          <cell r="I2398">
            <v>0</v>
          </cell>
        </row>
        <row r="2399">
          <cell r="A2399" t="str">
            <v>19-02398</v>
          </cell>
          <cell r="B2399" t="str">
            <v>DIST. LEWIS</v>
          </cell>
          <cell r="C2399" t="str">
            <v>A</v>
          </cell>
          <cell r="D2399" t="str">
            <v>NO</v>
          </cell>
          <cell r="E2399" t="str">
            <v>OJOS DE MI PRICNESA CUAUHTEMOC CARLOS</v>
          </cell>
          <cell r="F2399" t="str">
            <v>LIBRO</v>
          </cell>
          <cell r="G2399">
            <v>522707106</v>
          </cell>
          <cell r="H2399" t="str">
            <v>DIST. LEWIS</v>
          </cell>
          <cell r="I2399">
            <v>13.3</v>
          </cell>
        </row>
        <row r="2400">
          <cell r="A2400" t="str">
            <v>19-02399</v>
          </cell>
          <cell r="B2400" t="str">
            <v>DIST. LEWIS</v>
          </cell>
          <cell r="C2400" t="str">
            <v>A</v>
          </cell>
          <cell r="D2400" t="str">
            <v>NO</v>
          </cell>
          <cell r="E2400" t="str">
            <v>SANGRE DE CAMPEON  CUAUHTEMOC CARLOS</v>
          </cell>
          <cell r="F2400" t="str">
            <v>LIBRO</v>
          </cell>
          <cell r="G2400">
            <v>522707125</v>
          </cell>
          <cell r="H2400" t="str">
            <v>DIST. LEWIS</v>
          </cell>
          <cell r="I2400">
            <v>0</v>
          </cell>
        </row>
        <row r="2401">
          <cell r="A2401" t="str">
            <v>19-02400</v>
          </cell>
          <cell r="B2401" t="str">
            <v>DIST. LEWIS</v>
          </cell>
          <cell r="C2401" t="str">
            <v>A</v>
          </cell>
          <cell r="D2401" t="str">
            <v>NO</v>
          </cell>
          <cell r="E2401" t="str">
            <v>SANGRE DE CAMPEON EN PIE DE GUERRA CUAUHTEMOC CARLOS</v>
          </cell>
          <cell r="F2401" t="str">
            <v>LIBRO</v>
          </cell>
          <cell r="G2401">
            <v>522707108</v>
          </cell>
          <cell r="H2401" t="str">
            <v>DIST. LEWIS</v>
          </cell>
          <cell r="I2401">
            <v>11.67</v>
          </cell>
        </row>
        <row r="2402">
          <cell r="A2402" t="str">
            <v>19-02401</v>
          </cell>
          <cell r="B2402" t="str">
            <v>DIST. LEWIS</v>
          </cell>
          <cell r="C2402" t="str">
            <v>A</v>
          </cell>
          <cell r="D2402" t="str">
            <v>NO</v>
          </cell>
          <cell r="E2402" t="str">
            <v>SANGRE DE CAMPEON SIN CADENAS CUAUHTEMOC CARLOS</v>
          </cell>
          <cell r="F2402" t="str">
            <v>LIBRO</v>
          </cell>
          <cell r="G2402">
            <v>522707104</v>
          </cell>
          <cell r="H2402" t="str">
            <v>DIST. LEWIS</v>
          </cell>
          <cell r="I2402">
            <v>0</v>
          </cell>
        </row>
        <row r="2403">
          <cell r="A2403" t="str">
            <v>19-02402</v>
          </cell>
          <cell r="B2403" t="str">
            <v>DIST. LEWIS</v>
          </cell>
          <cell r="C2403" t="str">
            <v>A</v>
          </cell>
          <cell r="D2403" t="str">
            <v>NO</v>
          </cell>
          <cell r="E2403" t="str">
            <v>SER FELIZ ES LA META CUAUHTEMOC CARLOS</v>
          </cell>
          <cell r="F2403" t="str">
            <v>LIBRO</v>
          </cell>
          <cell r="G2403">
            <v>5227071115</v>
          </cell>
          <cell r="H2403" t="str">
            <v>DIST. LEWIS</v>
          </cell>
          <cell r="I2403">
            <v>11.67</v>
          </cell>
        </row>
        <row r="2404">
          <cell r="A2404" t="str">
            <v>19-02403</v>
          </cell>
          <cell r="B2404" t="str">
            <v>DIST. LEWIS</v>
          </cell>
          <cell r="C2404" t="str">
            <v>A</v>
          </cell>
          <cell r="D2404" t="str">
            <v>NO</v>
          </cell>
          <cell r="E2404" t="str">
            <v>SI QUIERES CASARTE CON MI HIJA CUAUHTEMOC CARLOS</v>
          </cell>
          <cell r="F2404" t="str">
            <v>LIBRO</v>
          </cell>
          <cell r="G2404">
            <v>522707102</v>
          </cell>
          <cell r="H2404" t="str">
            <v>DIST. LEWIS</v>
          </cell>
          <cell r="I2404">
            <v>13.33</v>
          </cell>
        </row>
        <row r="2405">
          <cell r="A2405" t="str">
            <v>19-02404</v>
          </cell>
          <cell r="B2405" t="str">
            <v>DIST. LEWIS</v>
          </cell>
          <cell r="C2405" t="str">
            <v>A</v>
          </cell>
          <cell r="D2405" t="str">
            <v>NO</v>
          </cell>
          <cell r="E2405" t="str">
            <v>TE DESAFIO A PROSPERAR CUAUHTEMOC CARLOS</v>
          </cell>
          <cell r="F2405" t="str">
            <v>LIBRO</v>
          </cell>
          <cell r="G2405">
            <v>522707109</v>
          </cell>
          <cell r="H2405" t="str">
            <v>DIST. LEWIS</v>
          </cell>
          <cell r="I2405">
            <v>0</v>
          </cell>
        </row>
        <row r="2406">
          <cell r="A2406" t="str">
            <v>19-02405</v>
          </cell>
          <cell r="B2406" t="str">
            <v>DIST. LEWIS</v>
          </cell>
          <cell r="C2406" t="str">
            <v>A</v>
          </cell>
          <cell r="D2406" t="str">
            <v>NO</v>
          </cell>
          <cell r="E2406" t="str">
            <v>TIEMPO DE GANAR CUAUHTEMOC CARLOS</v>
          </cell>
          <cell r="F2406" t="str">
            <v>LIBRO</v>
          </cell>
          <cell r="G2406">
            <v>522707117</v>
          </cell>
          <cell r="H2406" t="str">
            <v>DIST. LEWIS</v>
          </cell>
          <cell r="I2406">
            <v>0</v>
          </cell>
        </row>
        <row r="2407">
          <cell r="A2407" t="str">
            <v>19-02406</v>
          </cell>
          <cell r="B2407" t="str">
            <v>DIST. LEWIS</v>
          </cell>
          <cell r="C2407" t="str">
            <v>A</v>
          </cell>
          <cell r="D2407" t="str">
            <v>NO</v>
          </cell>
          <cell r="E2407" t="str">
            <v>ULTIMA OPORTUNIDAD CUAUHTEMOC CARLOS</v>
          </cell>
          <cell r="F2407" t="str">
            <v>LIBRO</v>
          </cell>
          <cell r="G2407">
            <v>522707119</v>
          </cell>
          <cell r="H2407" t="str">
            <v>DIST. LEWIS</v>
          </cell>
          <cell r="I2407">
            <v>0</v>
          </cell>
        </row>
        <row r="2408">
          <cell r="A2408" t="str">
            <v>19-02407</v>
          </cell>
          <cell r="B2408" t="str">
            <v>DIST. LEWIS</v>
          </cell>
          <cell r="C2408" t="str">
            <v>A</v>
          </cell>
          <cell r="D2408" t="str">
            <v>NO</v>
          </cell>
          <cell r="E2408" t="str">
            <v>UN GRITO DESESPERADO CUAUHTEMOC CARLOS</v>
          </cell>
          <cell r="F2408" t="str">
            <v>LIBRO</v>
          </cell>
          <cell r="G2408">
            <v>522707103</v>
          </cell>
          <cell r="H2408" t="str">
            <v>DIST. LEWIS</v>
          </cell>
          <cell r="I2408">
            <v>11.02</v>
          </cell>
        </row>
        <row r="2409">
          <cell r="A2409" t="str">
            <v>19-02408</v>
          </cell>
          <cell r="B2409" t="str">
            <v>DIST. LEWIS</v>
          </cell>
          <cell r="C2409" t="str">
            <v>A</v>
          </cell>
          <cell r="D2409" t="str">
            <v>NO</v>
          </cell>
          <cell r="E2409" t="str">
            <v>MILAGROSO PODER DEL PENSAMIENTO  CUSTER DAN</v>
          </cell>
          <cell r="F2409" t="str">
            <v>LIBRO</v>
          </cell>
          <cell r="G2409">
            <v>520504269</v>
          </cell>
          <cell r="H2409" t="str">
            <v>DIST. LEWIS</v>
          </cell>
          <cell r="I2409">
            <v>12.68</v>
          </cell>
        </row>
        <row r="2410">
          <cell r="A2410" t="str">
            <v>19-02409</v>
          </cell>
          <cell r="B2410" t="str">
            <v>DIST. LEWIS</v>
          </cell>
          <cell r="C2410" t="str">
            <v>A</v>
          </cell>
          <cell r="D2410" t="str">
            <v>NO</v>
          </cell>
          <cell r="E2410" t="str">
            <v>MUNDO SEGUN SHELDON, EL DE LA TORRE TONI</v>
          </cell>
          <cell r="F2410" t="str">
            <v>LIBRO</v>
          </cell>
          <cell r="G2410">
            <v>520515196</v>
          </cell>
          <cell r="H2410" t="str">
            <v>DIST. LEWIS</v>
          </cell>
          <cell r="I2410">
            <v>15.57</v>
          </cell>
        </row>
        <row r="2411">
          <cell r="A2411" t="str">
            <v>19-02410</v>
          </cell>
          <cell r="B2411" t="str">
            <v>DIST. LEWIS</v>
          </cell>
          <cell r="C2411" t="str">
            <v>A</v>
          </cell>
          <cell r="D2411" t="str">
            <v>NO</v>
          </cell>
          <cell r="E2411" t="str">
            <v>ME HALLARA LA MUERTE DE PRADA JUAN</v>
          </cell>
          <cell r="F2411" t="str">
            <v>LIBRO</v>
          </cell>
          <cell r="G2411">
            <v>520513867</v>
          </cell>
          <cell r="H2411" t="str">
            <v>DIST. LEWIS</v>
          </cell>
          <cell r="I2411">
            <v>11.02</v>
          </cell>
        </row>
        <row r="2412">
          <cell r="A2412" t="str">
            <v>19-02411</v>
          </cell>
          <cell r="B2412" t="str">
            <v>DIST. LEWIS</v>
          </cell>
          <cell r="C2412" t="str">
            <v>A</v>
          </cell>
          <cell r="D2412" t="str">
            <v>NO</v>
          </cell>
          <cell r="E2412" t="str">
            <v>NOVEL JOURNAL GREAT EXPECTATIONS DICKENS CHARLES</v>
          </cell>
          <cell r="F2412" t="str">
            <v>LIBRO</v>
          </cell>
          <cell r="G2412">
            <v>520400311</v>
          </cell>
          <cell r="H2412" t="str">
            <v>DIST. LEWIS</v>
          </cell>
          <cell r="I2412">
            <v>12.32</v>
          </cell>
        </row>
        <row r="2413">
          <cell r="A2413" t="str">
            <v>19-02412</v>
          </cell>
          <cell r="B2413" t="str">
            <v>DIST. LEWIS</v>
          </cell>
          <cell r="C2413" t="str">
            <v>A</v>
          </cell>
          <cell r="D2413" t="str">
            <v>NO</v>
          </cell>
          <cell r="E2413" t="str">
            <v>OLIVER TWIST DICKENS CHARLES</v>
          </cell>
          <cell r="F2413" t="str">
            <v>LIBRO</v>
          </cell>
          <cell r="G2413">
            <v>520515130</v>
          </cell>
          <cell r="H2413" t="str">
            <v>DIST. LEWIS</v>
          </cell>
          <cell r="I2413">
            <v>12.97</v>
          </cell>
        </row>
        <row r="2414">
          <cell r="A2414" t="str">
            <v>19-02413</v>
          </cell>
          <cell r="B2414" t="str">
            <v>DIST. LEWIS</v>
          </cell>
          <cell r="C2414" t="str">
            <v>A</v>
          </cell>
          <cell r="D2414" t="str">
            <v>NO</v>
          </cell>
          <cell r="E2414" t="str">
            <v>TERAPIA CON LOS CHAKRAS DIEMER DEEDRE</v>
          </cell>
          <cell r="F2414" t="str">
            <v>LIBRO</v>
          </cell>
          <cell r="G2414">
            <v>520504262</v>
          </cell>
          <cell r="H2414" t="str">
            <v>DIST. LEWIS</v>
          </cell>
          <cell r="I2414">
            <v>10.37</v>
          </cell>
        </row>
        <row r="2415">
          <cell r="A2415" t="str">
            <v>19-02414</v>
          </cell>
          <cell r="B2415" t="str">
            <v>DIST. LEWIS</v>
          </cell>
          <cell r="C2415" t="str">
            <v>A</v>
          </cell>
          <cell r="D2415" t="str">
            <v>NO</v>
          </cell>
          <cell r="E2415" t="str">
            <v>PABLO ESCOBAR, MI PADRE - ESCOBAR, PABLO</v>
          </cell>
          <cell r="F2415" t="str">
            <v>LIBRO</v>
          </cell>
          <cell r="G2415">
            <v>520513323</v>
          </cell>
          <cell r="H2415" t="str">
            <v>DIST. LEWIS</v>
          </cell>
          <cell r="I2415">
            <v>21.564</v>
          </cell>
        </row>
        <row r="2416">
          <cell r="A2416" t="str">
            <v>19-02415</v>
          </cell>
          <cell r="B2416" t="str">
            <v>DIST. LEWIS</v>
          </cell>
          <cell r="C2416" t="str">
            <v>A</v>
          </cell>
          <cell r="D2416" t="str">
            <v>NO</v>
          </cell>
          <cell r="E2416" t="str">
            <v>EL CIELO NO EXISTE FERNANDEZ INES</v>
          </cell>
          <cell r="F2416" t="str">
            <v>LIBRO</v>
          </cell>
          <cell r="G2416">
            <v>520515663</v>
          </cell>
          <cell r="H2416" t="str">
            <v>DIST. LEWIS</v>
          </cell>
          <cell r="I2416">
            <v>15.28</v>
          </cell>
        </row>
        <row r="2417">
          <cell r="A2417" t="str">
            <v>19-02416</v>
          </cell>
          <cell r="B2417" t="str">
            <v>DIST. LEWIS</v>
          </cell>
          <cell r="C2417" t="str">
            <v>A</v>
          </cell>
          <cell r="D2417" t="str">
            <v>NO</v>
          </cell>
          <cell r="E2417" t="str">
            <v>RETA TU VIDA FERNANDEZ JOSE</v>
          </cell>
          <cell r="F2417" t="str">
            <v>LIBRO</v>
          </cell>
          <cell r="G2417">
            <v>520416133</v>
          </cell>
          <cell r="H2417" t="str">
            <v>DIST. LEWIS</v>
          </cell>
          <cell r="I2417">
            <v>12.97</v>
          </cell>
        </row>
        <row r="2418">
          <cell r="A2418" t="str">
            <v>19-02417</v>
          </cell>
          <cell r="B2418" t="str">
            <v>DIST. LEWIS</v>
          </cell>
          <cell r="C2418" t="str">
            <v>A</v>
          </cell>
          <cell r="D2418" t="str">
            <v>NO</v>
          </cell>
          <cell r="E2418" t="str">
            <v>HIELO NEGRO FITZPATRICK BECCA</v>
          </cell>
          <cell r="F2418" t="str">
            <v>LIBRO</v>
          </cell>
          <cell r="G2418">
            <v>522706455</v>
          </cell>
          <cell r="H2418" t="str">
            <v>DIST. LEWIS</v>
          </cell>
          <cell r="I2418">
            <v>14.92</v>
          </cell>
        </row>
        <row r="2419">
          <cell r="A2419" t="str">
            <v>19-02418</v>
          </cell>
          <cell r="B2419" t="str">
            <v>DIST. LEWIS</v>
          </cell>
          <cell r="C2419" t="str">
            <v>A</v>
          </cell>
          <cell r="D2419" t="str">
            <v>NO</v>
          </cell>
          <cell r="E2419" t="str">
            <v>ARTE DE TENER ESTILO FLAHERTY,SOMER</v>
          </cell>
          <cell r="F2419" t="str">
            <v>LIBRO</v>
          </cell>
          <cell r="G2419">
            <v>520504264</v>
          </cell>
          <cell r="H2419" t="str">
            <v>DIST. LEWIS</v>
          </cell>
          <cell r="I2419">
            <v>13.62</v>
          </cell>
        </row>
        <row r="2420">
          <cell r="A2420" t="str">
            <v>19-02419</v>
          </cell>
          <cell r="B2420" t="str">
            <v>DIST. LEWIS</v>
          </cell>
          <cell r="C2420" t="str">
            <v>A</v>
          </cell>
          <cell r="D2420" t="str">
            <v>NO</v>
          </cell>
          <cell r="E2420" t="str">
            <v>INVIERNO DEL MUNDO FOLLET KEN</v>
          </cell>
          <cell r="F2420" t="str">
            <v>LIBRO</v>
          </cell>
          <cell r="G2420">
            <v>520515616</v>
          </cell>
          <cell r="H2420" t="str">
            <v>DIST. LEWIS</v>
          </cell>
          <cell r="I2420">
            <v>10.045</v>
          </cell>
        </row>
        <row r="2421">
          <cell r="A2421" t="str">
            <v>19-02420</v>
          </cell>
          <cell r="B2421" t="str">
            <v>DIST. LEWIS</v>
          </cell>
          <cell r="C2421" t="str">
            <v>A</v>
          </cell>
          <cell r="D2421" t="str">
            <v>NO</v>
          </cell>
          <cell r="E2421" t="str">
            <v>MOON HANDBOOK PANAMA 4TH FRIAR WILLIAMS</v>
          </cell>
          <cell r="F2421" t="str">
            <v>LIBRO</v>
          </cell>
          <cell r="G2421">
            <v>520400090</v>
          </cell>
          <cell r="H2421" t="str">
            <v>DIST. LEWIS</v>
          </cell>
          <cell r="I2421">
            <v>15.57</v>
          </cell>
        </row>
        <row r="2422">
          <cell r="A2422" t="str">
            <v>19-02421</v>
          </cell>
          <cell r="B2422" t="str">
            <v>DIST. LEWIS</v>
          </cell>
          <cell r="C2422" t="str">
            <v>A</v>
          </cell>
          <cell r="D2422" t="str">
            <v>NO</v>
          </cell>
          <cell r="E2422" t="str">
            <v>CIEN ANOS DE SOLEDAD GARCIA GABRIEL</v>
          </cell>
          <cell r="F2422" t="str">
            <v>LIBRO</v>
          </cell>
          <cell r="G2422">
            <v>520507592</v>
          </cell>
          <cell r="H2422" t="str">
            <v>DIST. LEWIS</v>
          </cell>
          <cell r="I2422">
            <v>0</v>
          </cell>
        </row>
        <row r="2423">
          <cell r="A2423" t="str">
            <v>19-02422</v>
          </cell>
          <cell r="B2423" t="str">
            <v>DIST. LEWIS</v>
          </cell>
          <cell r="C2423" t="str">
            <v>A</v>
          </cell>
          <cell r="D2423" t="str">
            <v>NO</v>
          </cell>
          <cell r="E2423" t="str">
            <v>CRONICA DE UNA MUERTE ANUNCIADA GARCIA GABRIEL</v>
          </cell>
          <cell r="F2423" t="str">
            <v>LIBRO</v>
          </cell>
          <cell r="G2423">
            <v>520507563</v>
          </cell>
          <cell r="H2423" t="str">
            <v>DIST. LEWIS</v>
          </cell>
          <cell r="I2423">
            <v>0</v>
          </cell>
        </row>
        <row r="2424">
          <cell r="A2424" t="str">
            <v>19-02423</v>
          </cell>
          <cell r="B2424" t="str">
            <v>DIST. LEWIS</v>
          </cell>
          <cell r="C2424" t="str">
            <v>A</v>
          </cell>
          <cell r="D2424" t="str">
            <v>NO</v>
          </cell>
          <cell r="E2424" t="str">
            <v>CONSEJO Y SECRETOS PARA LOGRAR EL EXITO GARCIA NORBERTO</v>
          </cell>
          <cell r="F2424" t="str">
            <v>LIBRO</v>
          </cell>
          <cell r="G2424">
            <v>522705719</v>
          </cell>
          <cell r="H2424" t="str">
            <v>DIST. LEWIS</v>
          </cell>
          <cell r="I2424">
            <v>0</v>
          </cell>
        </row>
        <row r="2425">
          <cell r="A2425" t="str">
            <v>19-02424</v>
          </cell>
          <cell r="B2425" t="str">
            <v>DIST. LEWIS</v>
          </cell>
          <cell r="C2425" t="str">
            <v>A</v>
          </cell>
          <cell r="D2425" t="str">
            <v>NO</v>
          </cell>
          <cell r="E2425" t="str">
            <v>LEY DE ATRACCION - GARCIA NORBERTO</v>
          </cell>
          <cell r="F2425" t="str">
            <v>LIBRO</v>
          </cell>
          <cell r="G2425">
            <v>522705643</v>
          </cell>
          <cell r="H2425" t="str">
            <v>DIST. LEWIS</v>
          </cell>
          <cell r="I2425">
            <v>7.2</v>
          </cell>
        </row>
        <row r="2426">
          <cell r="A2426" t="str">
            <v>19-02425</v>
          </cell>
          <cell r="B2426" t="str">
            <v>DIST. LEWIS</v>
          </cell>
          <cell r="C2426" t="str">
            <v>A</v>
          </cell>
          <cell r="D2426" t="str">
            <v>NO</v>
          </cell>
          <cell r="E2426" t="str">
            <v>BREVE HISTORIA DE ARQUEOLOGIA  GARCIA SANCHEZ JORGE</v>
          </cell>
          <cell r="F2426" t="str">
            <v>LIBRO</v>
          </cell>
          <cell r="G2426">
            <v>522611495</v>
          </cell>
          <cell r="H2426" t="str">
            <v>DIST. LEWIS</v>
          </cell>
          <cell r="I2426">
            <v>14.27</v>
          </cell>
        </row>
        <row r="2427">
          <cell r="A2427" t="str">
            <v>19-02426</v>
          </cell>
          <cell r="B2427" t="str">
            <v>DIST. LEWIS</v>
          </cell>
          <cell r="C2427" t="str">
            <v>A</v>
          </cell>
          <cell r="D2427" t="str">
            <v>NO</v>
          </cell>
          <cell r="E2427" t="str">
            <v>LA CONDESA SE CONFIESA GONZALEZ LUIS</v>
          </cell>
          <cell r="F2427" t="str">
            <v>LIBRO</v>
          </cell>
          <cell r="G2427">
            <v>522612850</v>
          </cell>
          <cell r="H2427" t="str">
            <v>DIST. LEWIS</v>
          </cell>
          <cell r="I2427">
            <v>0</v>
          </cell>
        </row>
        <row r="2428">
          <cell r="A2428" t="str">
            <v>19-02427</v>
          </cell>
          <cell r="B2428" t="str">
            <v>DIST. LEWIS</v>
          </cell>
          <cell r="C2428" t="str">
            <v>A</v>
          </cell>
          <cell r="D2428" t="str">
            <v>NO</v>
          </cell>
          <cell r="E2428" t="str">
            <v>INCREIBLE Y TRISTE HISTORIA DE LA CANDIDA ERERND GRACIA GABRIEL</v>
          </cell>
          <cell r="F2428" t="str">
            <v>LIBRO</v>
          </cell>
          <cell r="G2428">
            <v>520507567</v>
          </cell>
          <cell r="H2428" t="str">
            <v>DIST. LEWIS</v>
          </cell>
          <cell r="I2428">
            <v>9.07</v>
          </cell>
        </row>
        <row r="2429">
          <cell r="A2429" t="str">
            <v>19-02428</v>
          </cell>
          <cell r="B2429" t="str">
            <v>DIST. LEWIS</v>
          </cell>
          <cell r="C2429" t="str">
            <v>A</v>
          </cell>
          <cell r="D2429" t="str">
            <v>NO</v>
          </cell>
          <cell r="E2429" t="str">
            <v>LUNA ROJA  GRAY MRONADO</v>
          </cell>
          <cell r="F2429" t="str">
            <v>LIBRO</v>
          </cell>
          <cell r="G2429">
            <v>540001894</v>
          </cell>
          <cell r="H2429" t="str">
            <v>DIST. LEWIS</v>
          </cell>
          <cell r="I2429">
            <v>12.97</v>
          </cell>
        </row>
        <row r="2430">
          <cell r="A2430" t="str">
            <v>19-02429</v>
          </cell>
          <cell r="B2430" t="str">
            <v>DIST. LEWIS</v>
          </cell>
          <cell r="C2430" t="str">
            <v>A</v>
          </cell>
          <cell r="D2430" t="str">
            <v>NO</v>
          </cell>
          <cell r="E2430" t="str">
            <v>BAJO LA MISMA ESTRELLA GREEN JOHN</v>
          </cell>
          <cell r="F2430" t="str">
            <v>LIBRO</v>
          </cell>
          <cell r="G2430">
            <v>520511201</v>
          </cell>
          <cell r="H2430" t="str">
            <v>DIST. LEWIS</v>
          </cell>
          <cell r="I2430">
            <v>16.22</v>
          </cell>
        </row>
        <row r="2431">
          <cell r="A2431" t="str">
            <v>19-02430</v>
          </cell>
          <cell r="B2431" t="str">
            <v>H. MANCHA</v>
          </cell>
          <cell r="C2431" t="str">
            <v>A</v>
          </cell>
          <cell r="D2431" t="str">
            <v>SI</v>
          </cell>
          <cell r="E2431" t="str">
            <v>CIUDADES DE PAPEL GREEN JOHN</v>
          </cell>
          <cell r="F2431" t="str">
            <v>LIBRO</v>
          </cell>
          <cell r="G2431">
            <v>520511287</v>
          </cell>
          <cell r="H2431" t="str">
            <v>H. MANCHA</v>
          </cell>
          <cell r="I2431">
            <v>7.883</v>
          </cell>
        </row>
        <row r="2432">
          <cell r="A2432" t="str">
            <v>19-02431</v>
          </cell>
          <cell r="B2432" t="str">
            <v>DIST. LEWIS</v>
          </cell>
          <cell r="C2432" t="str">
            <v>A</v>
          </cell>
          <cell r="D2432" t="str">
            <v>NO</v>
          </cell>
          <cell r="E2432" t="str">
            <v>HERMANDAD, LA GRISHMAN JOHN</v>
          </cell>
          <cell r="F2432" t="str">
            <v>LIBRO</v>
          </cell>
          <cell r="G2432">
            <v>520515666</v>
          </cell>
          <cell r="H2432" t="str">
            <v>DIST. LEWIS</v>
          </cell>
          <cell r="I2432">
            <v>15.57</v>
          </cell>
        </row>
        <row r="2433">
          <cell r="A2433" t="str">
            <v>19-02432</v>
          </cell>
          <cell r="B2433" t="str">
            <v>DIST. LEWIS</v>
          </cell>
          <cell r="C2433" t="str">
            <v>A</v>
          </cell>
          <cell r="D2433" t="str">
            <v>NO</v>
          </cell>
          <cell r="E2433" t="str">
            <v>SENDA DEL EXITO, LA GUERRERO, JUAN</v>
          </cell>
          <cell r="F2433" t="str">
            <v>LIBRO</v>
          </cell>
          <cell r="G2433">
            <v>522605597</v>
          </cell>
          <cell r="H2433" t="str">
            <v>DIST. LEWIS</v>
          </cell>
          <cell r="I2433">
            <v>8.42</v>
          </cell>
        </row>
        <row r="2434">
          <cell r="A2434" t="str">
            <v>19-02433</v>
          </cell>
          <cell r="B2434" t="str">
            <v>DIST. LEWIS</v>
          </cell>
          <cell r="C2434" t="str">
            <v>A</v>
          </cell>
          <cell r="D2434" t="str">
            <v>NO</v>
          </cell>
          <cell r="E2434" t="str">
            <v>BIBLIA DE LOS CRISTALES  HALL JUDY</v>
          </cell>
          <cell r="F2434" t="str">
            <v>LIBRO</v>
          </cell>
          <cell r="G2434">
            <v>530000516</v>
          </cell>
          <cell r="H2434" t="str">
            <v>DIST. LEWIS</v>
          </cell>
          <cell r="I2434">
            <v>23.07</v>
          </cell>
        </row>
        <row r="2435">
          <cell r="A2435" t="str">
            <v>19-02434</v>
          </cell>
          <cell r="B2435" t="str">
            <v>DIST. LEWIS</v>
          </cell>
          <cell r="C2435" t="str">
            <v>A</v>
          </cell>
          <cell r="D2435" t="str">
            <v>NO</v>
          </cell>
          <cell r="E2435" t="str">
            <v>CRISTALES Y PROSPERIDAD HALL JUDY</v>
          </cell>
          <cell r="F2435" t="str">
            <v>LIBRO</v>
          </cell>
          <cell r="G2435">
            <v>530000791</v>
          </cell>
          <cell r="H2435" t="str">
            <v>DIST. LEWIS</v>
          </cell>
          <cell r="I2435">
            <v>16.87</v>
          </cell>
        </row>
        <row r="2436">
          <cell r="A2436" t="str">
            <v>19-02435</v>
          </cell>
          <cell r="B2436" t="str">
            <v>DIST. LEWIS</v>
          </cell>
          <cell r="C2436" t="str">
            <v>A</v>
          </cell>
          <cell r="D2436" t="str">
            <v>NO</v>
          </cell>
          <cell r="E2436" t="str">
            <v>HBR GUIDE TO GETTING THE RIGHT WORK DONE HARVARD BUSINESS REVIEW</v>
          </cell>
          <cell r="F2436" t="str">
            <v>LIBRO</v>
          </cell>
          <cell r="G2436">
            <v>520400273</v>
          </cell>
          <cell r="H2436" t="str">
            <v>DIST. LEWIS</v>
          </cell>
          <cell r="I2436">
            <v>16.760000000000002</v>
          </cell>
        </row>
        <row r="2437">
          <cell r="A2437" t="str">
            <v>19-02436</v>
          </cell>
          <cell r="B2437" t="str">
            <v>DIST. LEWIS</v>
          </cell>
          <cell r="C2437" t="str">
            <v>A</v>
          </cell>
          <cell r="D2437" t="str">
            <v>NO</v>
          </cell>
          <cell r="E2437" t="str">
            <v>CUIDADO FACIL DEL JARDIN HENDY JENNY</v>
          </cell>
          <cell r="F2437" t="str">
            <v>LIBRO</v>
          </cell>
          <cell r="G2437">
            <v>520515145</v>
          </cell>
          <cell r="H2437" t="str">
            <v>DIST. LEWIS</v>
          </cell>
          <cell r="I2437">
            <v>14.92</v>
          </cell>
        </row>
        <row r="2438">
          <cell r="A2438" t="str">
            <v>19-02437</v>
          </cell>
          <cell r="B2438" t="str">
            <v>DIST. LEWIS</v>
          </cell>
          <cell r="C2438" t="str">
            <v>A</v>
          </cell>
          <cell r="D2438" t="str">
            <v>NO</v>
          </cell>
          <cell r="E2438" t="str">
            <v>BREVE HISTORIA DE HITLER HERNANDEZ JESUS</v>
          </cell>
          <cell r="F2438" t="str">
            <v>LIBRO</v>
          </cell>
          <cell r="G2438">
            <v>522611526</v>
          </cell>
          <cell r="H2438" t="str">
            <v>DIST. LEWIS</v>
          </cell>
          <cell r="I2438">
            <v>0</v>
          </cell>
        </row>
        <row r="2439">
          <cell r="A2439" t="str">
            <v>19-02438</v>
          </cell>
          <cell r="B2439" t="str">
            <v>DIST. LEWIS</v>
          </cell>
          <cell r="C2439" t="str">
            <v>A</v>
          </cell>
          <cell r="D2439" t="str">
            <v>NO</v>
          </cell>
          <cell r="E2439" t="str">
            <v>BREVE HISTORIA DE LA GUERRA MODERNA HERNANDEZ XAVIER</v>
          </cell>
          <cell r="F2439" t="str">
            <v>LIBRO</v>
          </cell>
          <cell r="G2439">
            <v>522611513</v>
          </cell>
          <cell r="H2439" t="str">
            <v>DIST. LEWIS</v>
          </cell>
          <cell r="I2439">
            <v>10.37</v>
          </cell>
        </row>
        <row r="2440">
          <cell r="A2440" t="str">
            <v>19-02439</v>
          </cell>
          <cell r="B2440" t="str">
            <v>DIST. LEWIS</v>
          </cell>
          <cell r="C2440" t="str">
            <v>A</v>
          </cell>
          <cell r="D2440" t="str">
            <v>NO</v>
          </cell>
          <cell r="E2440" t="str">
            <v>ANA FRANK JACKOBSON SID</v>
          </cell>
          <cell r="F2440" t="str">
            <v>LIBRO</v>
          </cell>
          <cell r="G2440">
            <v>520515662</v>
          </cell>
          <cell r="H2440" t="str">
            <v>DIST. LEWIS</v>
          </cell>
          <cell r="I2440">
            <v>15.57</v>
          </cell>
        </row>
        <row r="2441">
          <cell r="A2441" t="str">
            <v>19-02440</v>
          </cell>
          <cell r="B2441" t="str">
            <v>DIST. LEWIS</v>
          </cell>
          <cell r="C2441" t="str">
            <v>A</v>
          </cell>
          <cell r="D2441" t="str">
            <v>NO</v>
          </cell>
          <cell r="E2441" t="str">
            <v>FIFTY SHADES FREED JAMES, E. L.</v>
          </cell>
          <cell r="F2441" t="str">
            <v>LIBRO</v>
          </cell>
          <cell r="G2441">
            <v>520512479</v>
          </cell>
          <cell r="H2441" t="str">
            <v>DIST. LEWIS</v>
          </cell>
          <cell r="I2441">
            <v>10.37</v>
          </cell>
        </row>
        <row r="2442">
          <cell r="A2442" t="str">
            <v>19-02441</v>
          </cell>
          <cell r="B2442" t="str">
            <v>DIST. LEWIS</v>
          </cell>
          <cell r="C2442" t="str">
            <v>A</v>
          </cell>
          <cell r="D2442" t="str">
            <v>NO</v>
          </cell>
          <cell r="E2442" t="str">
            <v>FIFTY SHADES OF GREY JAMES, E. L.</v>
          </cell>
          <cell r="F2442" t="str">
            <v>LIBRO</v>
          </cell>
          <cell r="G2442">
            <v>520402331</v>
          </cell>
          <cell r="H2442" t="str">
            <v>DIST. LEWIS</v>
          </cell>
          <cell r="I2442">
            <v>12.202999999999999</v>
          </cell>
        </row>
        <row r="2443">
          <cell r="A2443" t="str">
            <v>19-02442</v>
          </cell>
          <cell r="B2443" t="str">
            <v>DIST. LEWIS</v>
          </cell>
          <cell r="C2443" t="str">
            <v>A</v>
          </cell>
          <cell r="D2443" t="str">
            <v>NO</v>
          </cell>
          <cell r="E2443" t="str">
            <v>CINCUENTA SOMBRAS DE GREY JAMES, E. L.</v>
          </cell>
          <cell r="F2443" t="str">
            <v>LIBRO</v>
          </cell>
          <cell r="G2443">
            <v>522609837</v>
          </cell>
          <cell r="H2443" t="str">
            <v>DIST. LEWIS</v>
          </cell>
          <cell r="I2443">
            <v>8.6039999999999992</v>
          </cell>
        </row>
        <row r="2444">
          <cell r="A2444" t="str">
            <v>19-02443</v>
          </cell>
          <cell r="B2444" t="str">
            <v>DIST. LEWIS</v>
          </cell>
          <cell r="C2444" t="str">
            <v>A</v>
          </cell>
          <cell r="D2444" t="str">
            <v>NO</v>
          </cell>
          <cell r="E2444" t="str">
            <v>CINCUENTA SOMBRAS DE GREY LIBERADAS JAMES, E. L.</v>
          </cell>
          <cell r="F2444" t="str">
            <v>LIBRO</v>
          </cell>
          <cell r="G2444">
            <v>522609838</v>
          </cell>
          <cell r="H2444" t="str">
            <v>DIST. LEWIS</v>
          </cell>
          <cell r="I2444">
            <v>7.8840000000000003</v>
          </cell>
        </row>
        <row r="2445">
          <cell r="A2445" t="str">
            <v>19-02444</v>
          </cell>
          <cell r="B2445" t="str">
            <v>DIST. LEWIS</v>
          </cell>
          <cell r="C2445" t="str">
            <v>A</v>
          </cell>
          <cell r="D2445" t="str">
            <v>NO</v>
          </cell>
          <cell r="E2445" t="str">
            <v>GREY JAMES, E. L.</v>
          </cell>
          <cell r="F2445" t="str">
            <v>LIBRO</v>
          </cell>
          <cell r="G2445">
            <v>520515967</v>
          </cell>
          <cell r="H2445" t="str">
            <v>DIST. LEWIS</v>
          </cell>
          <cell r="I2445">
            <v>14.92</v>
          </cell>
        </row>
        <row r="2446">
          <cell r="A2446" t="str">
            <v>19-02445</v>
          </cell>
          <cell r="B2446" t="str">
            <v>DIST. LEWIS</v>
          </cell>
          <cell r="C2446" t="str">
            <v>A</v>
          </cell>
          <cell r="D2446" t="str">
            <v>NO</v>
          </cell>
          <cell r="E2446" t="str">
            <v>CANCER Y REIKI JIMENEZ JOSE</v>
          </cell>
          <cell r="F2446" t="str">
            <v>LIBRO</v>
          </cell>
          <cell r="G2446">
            <v>540001881</v>
          </cell>
          <cell r="H2446" t="str">
            <v>DIST. LEWIS</v>
          </cell>
          <cell r="I2446">
            <v>19.47</v>
          </cell>
        </row>
        <row r="2447">
          <cell r="A2447" t="str">
            <v>19-02446</v>
          </cell>
          <cell r="B2447" t="str">
            <v>DIST. LEWIS</v>
          </cell>
          <cell r="C2447" t="str">
            <v>A</v>
          </cell>
          <cell r="D2447" t="str">
            <v>NO</v>
          </cell>
          <cell r="E2447" t="str">
            <v>AGUAS CURATIVAS JOHNSON BEN</v>
          </cell>
          <cell r="F2447" t="str">
            <v>LIBRO</v>
          </cell>
          <cell r="G2447">
            <v>520504266</v>
          </cell>
          <cell r="H2447" t="str">
            <v>DIST. LEWIS</v>
          </cell>
          <cell r="I2447">
            <v>10.37</v>
          </cell>
        </row>
        <row r="2448">
          <cell r="A2448" t="str">
            <v>19-02447</v>
          </cell>
          <cell r="B2448" t="str">
            <v>DIST. LEWIS</v>
          </cell>
          <cell r="C2448" t="str">
            <v>A</v>
          </cell>
          <cell r="D2448" t="str">
            <v>NO</v>
          </cell>
          <cell r="E2448" t="str">
            <v>EL LIBRO DE LA SABIDURIA KEATING KEIDI</v>
          </cell>
          <cell r="F2448" t="str">
            <v>LIBRO</v>
          </cell>
          <cell r="G2448">
            <v>520513330</v>
          </cell>
          <cell r="H2448" t="str">
            <v>DIST. LEWIS</v>
          </cell>
          <cell r="I2448">
            <v>0</v>
          </cell>
        </row>
        <row r="2449">
          <cell r="A2449" t="str">
            <v>19-02448</v>
          </cell>
          <cell r="B2449" t="str">
            <v>DIST. LEWIS</v>
          </cell>
          <cell r="C2449" t="str">
            <v>A</v>
          </cell>
          <cell r="D2449" t="str">
            <v>NO</v>
          </cell>
          <cell r="E2449" t="str">
            <v>INSIGNIA KINCAIT, S. J.</v>
          </cell>
          <cell r="F2449" t="str">
            <v>LIBRO</v>
          </cell>
          <cell r="G2449">
            <v>521002071</v>
          </cell>
          <cell r="H2449" t="str">
            <v>DIST. LEWIS</v>
          </cell>
          <cell r="I2449">
            <v>11.67</v>
          </cell>
        </row>
        <row r="2450">
          <cell r="A2450" t="str">
            <v>19-02449</v>
          </cell>
          <cell r="B2450" t="str">
            <v>DIST. LEWIS</v>
          </cell>
          <cell r="C2450" t="str">
            <v>A</v>
          </cell>
          <cell r="D2450" t="str">
            <v>NO</v>
          </cell>
          <cell r="E2450" t="str">
            <v>THE WALKING DEAD LA CAIDA DEL GOBERNADOR KIRKMAN ROBERT</v>
          </cell>
          <cell r="F2450" t="str">
            <v>LIBRO</v>
          </cell>
          <cell r="G2450">
            <v>520513305</v>
          </cell>
          <cell r="H2450" t="str">
            <v>DIST. LEWIS</v>
          </cell>
          <cell r="I2450">
            <v>14.92</v>
          </cell>
        </row>
        <row r="2451">
          <cell r="A2451" t="str">
            <v>19-02450</v>
          </cell>
          <cell r="B2451" t="str">
            <v>DIST. LEWIS</v>
          </cell>
          <cell r="C2451" t="str">
            <v>A</v>
          </cell>
          <cell r="D2451" t="str">
            <v>NO</v>
          </cell>
          <cell r="E2451" t="str">
            <v>PADRE RICO, PADRE POBRE KIYOSAKI T. ROBERTS</v>
          </cell>
          <cell r="F2451" t="str">
            <v>LIBRO</v>
          </cell>
          <cell r="G2451">
            <v>520511678</v>
          </cell>
          <cell r="H2451" t="str">
            <v>DIST. LEWIS</v>
          </cell>
          <cell r="I2451">
            <v>7.883</v>
          </cell>
        </row>
        <row r="2452">
          <cell r="A2452" t="str">
            <v>19-02451</v>
          </cell>
          <cell r="B2452" t="str">
            <v>DIST. LEWIS</v>
          </cell>
          <cell r="C2452" t="str">
            <v>A</v>
          </cell>
          <cell r="D2452" t="str">
            <v>NO</v>
          </cell>
          <cell r="E2452" t="str">
            <v>SEGUNDA ORPORTUNIDAD KIYOSAKI T. ROBERTS</v>
          </cell>
          <cell r="F2452" t="str">
            <v>LIBRO</v>
          </cell>
          <cell r="G2452">
            <v>520511696</v>
          </cell>
          <cell r="H2452" t="str">
            <v>DIST. LEWIS</v>
          </cell>
          <cell r="I2452">
            <v>16.22</v>
          </cell>
        </row>
        <row r="2453">
          <cell r="A2453" t="str">
            <v>19-02452</v>
          </cell>
          <cell r="B2453" t="str">
            <v>DIST. LEWIS</v>
          </cell>
          <cell r="C2453" t="str">
            <v>A</v>
          </cell>
          <cell r="D2453" t="str">
            <v>NO</v>
          </cell>
          <cell r="E2453" t="str">
            <v>VENTAJA DEL GANADOR, LA KIYOSAKI T. ROBERTS</v>
          </cell>
          <cell r="F2453" t="str">
            <v>LIBRO</v>
          </cell>
          <cell r="G2453">
            <v>520511682</v>
          </cell>
          <cell r="H2453" t="str">
            <v>DIST. LEWIS</v>
          </cell>
          <cell r="I2453">
            <v>0</v>
          </cell>
        </row>
        <row r="2454">
          <cell r="A2454" t="str">
            <v>19-02453</v>
          </cell>
          <cell r="B2454" t="str">
            <v>DIST. LEWIS</v>
          </cell>
          <cell r="C2454" t="str">
            <v>A</v>
          </cell>
          <cell r="D2454" t="str">
            <v>NO</v>
          </cell>
          <cell r="E2454" t="str">
            <v>8 PASOS PARA INCREMENTAR SUS VENTAS FACILMENTE LARC LOIS</v>
          </cell>
          <cell r="F2454" t="str">
            <v>LIBRO</v>
          </cell>
          <cell r="G2454">
            <v>522605588</v>
          </cell>
          <cell r="H2454" t="str">
            <v>DIST. LEWIS</v>
          </cell>
          <cell r="I2454">
            <v>9.07</v>
          </cell>
        </row>
        <row r="2455">
          <cell r="A2455" t="str">
            <v>19-02454</v>
          </cell>
          <cell r="B2455" t="str">
            <v>DIST. LEWIS</v>
          </cell>
          <cell r="C2455" t="str">
            <v>A</v>
          </cell>
          <cell r="D2455" t="str">
            <v>NO</v>
          </cell>
          <cell r="E2455" t="str">
            <v>LA CASA CHICA LAVIN MONICA</v>
          </cell>
          <cell r="F2455" t="str">
            <v>LIBRO</v>
          </cell>
          <cell r="G2455">
            <v>520513136</v>
          </cell>
          <cell r="H2455" t="str">
            <v>DIST. LEWIS</v>
          </cell>
          <cell r="I2455">
            <v>14.92</v>
          </cell>
        </row>
        <row r="2456">
          <cell r="A2456" t="str">
            <v>19-02455</v>
          </cell>
          <cell r="B2456" t="str">
            <v>DIST. LEWIS</v>
          </cell>
          <cell r="C2456" t="str">
            <v>A</v>
          </cell>
          <cell r="D2456" t="str">
            <v>NO</v>
          </cell>
          <cell r="E2456" t="str">
            <v>SECRETOS DEL VATICANO LECOMTE BERNARD</v>
          </cell>
          <cell r="F2456" t="str">
            <v>LIBRO</v>
          </cell>
          <cell r="G2456">
            <v>520515154</v>
          </cell>
          <cell r="H2456" t="str">
            <v>DIST. LEWIS</v>
          </cell>
          <cell r="I2456">
            <v>17.52</v>
          </cell>
        </row>
        <row r="2457">
          <cell r="A2457" t="str">
            <v>19-02456</v>
          </cell>
          <cell r="B2457" t="str">
            <v>DIST. LEWIS</v>
          </cell>
          <cell r="C2457" t="str">
            <v>A</v>
          </cell>
          <cell r="D2457" t="str">
            <v>NO</v>
          </cell>
          <cell r="E2457" t="str">
            <v>VEN Y PON UN CENTINELLA - LEE HARPER</v>
          </cell>
          <cell r="F2457" t="str">
            <v>LIBRO</v>
          </cell>
          <cell r="G2457">
            <v>522904417</v>
          </cell>
          <cell r="H2457" t="str">
            <v>DIST. LEWIS</v>
          </cell>
          <cell r="I2457">
            <v>17.52</v>
          </cell>
        </row>
        <row r="2458">
          <cell r="A2458" t="str">
            <v>19-02457</v>
          </cell>
          <cell r="B2458" t="str">
            <v>DIST. LEWIS</v>
          </cell>
          <cell r="C2458" t="str">
            <v>A</v>
          </cell>
          <cell r="D2458" t="str">
            <v>NO</v>
          </cell>
          <cell r="E2458" t="str">
            <v>SI PUDIERA VOLVER ATRAS - LEVY MARC</v>
          </cell>
          <cell r="F2458" t="str">
            <v>LIBRO</v>
          </cell>
          <cell r="G2458">
            <v>520513308</v>
          </cell>
          <cell r="H2458" t="str">
            <v>DIST. LEWIS</v>
          </cell>
          <cell r="I2458">
            <v>21.67</v>
          </cell>
        </row>
        <row r="2459">
          <cell r="A2459" t="str">
            <v>19-02458</v>
          </cell>
          <cell r="B2459" t="str">
            <v>DIST. LEWIS</v>
          </cell>
          <cell r="C2459" t="str">
            <v>A</v>
          </cell>
          <cell r="D2459" t="str">
            <v>NO</v>
          </cell>
          <cell r="E2459" t="str">
            <v>CARTAS AL DIABLO LEWIS, C. S.</v>
          </cell>
          <cell r="F2459" t="str">
            <v>LIBRO</v>
          </cell>
          <cell r="G2459">
            <v>520418356</v>
          </cell>
          <cell r="H2459" t="str">
            <v>DIST. LEWIS</v>
          </cell>
          <cell r="I2459">
            <v>0</v>
          </cell>
        </row>
        <row r="2460">
          <cell r="A2460" t="str">
            <v>19-02459</v>
          </cell>
          <cell r="B2460" t="str">
            <v>DIST. LEWIS</v>
          </cell>
          <cell r="C2460" t="str">
            <v>A</v>
          </cell>
          <cell r="D2460" t="str">
            <v>NO</v>
          </cell>
          <cell r="E2460" t="str">
            <v>DIARIO DEL INQUISIDOR, EL LEWIS, JEFFREY</v>
          </cell>
          <cell r="F2460" t="str">
            <v>LIBRO</v>
          </cell>
          <cell r="G2460">
            <v>520515172</v>
          </cell>
          <cell r="H2460" t="str">
            <v>DIST. LEWIS</v>
          </cell>
          <cell r="I2460">
            <v>12.32</v>
          </cell>
        </row>
        <row r="2461">
          <cell r="A2461" t="str">
            <v>19-02460</v>
          </cell>
          <cell r="B2461" t="str">
            <v>DIST. LEWIS</v>
          </cell>
          <cell r="C2461" t="str">
            <v>A</v>
          </cell>
          <cell r="D2461" t="str">
            <v>NO</v>
          </cell>
          <cell r="E2461" t="str">
            <v>LIDER LIPTEIN NICOLE</v>
          </cell>
          <cell r="F2461" t="str">
            <v>LIBRO</v>
          </cell>
          <cell r="G2461">
            <v>522904410</v>
          </cell>
          <cell r="H2461" t="str">
            <v>DIST. LEWIS</v>
          </cell>
          <cell r="I2461">
            <v>14.27</v>
          </cell>
        </row>
        <row r="2462">
          <cell r="A2462" t="str">
            <v>19-02461</v>
          </cell>
          <cell r="B2462" t="str">
            <v>DIST. LEWIS</v>
          </cell>
          <cell r="C2462" t="str">
            <v>A</v>
          </cell>
          <cell r="D2462" t="str">
            <v>NO</v>
          </cell>
          <cell r="E2462" t="str">
            <v>ARTE DE CONOCERTE LLAMAS ALEJANDRA</v>
          </cell>
          <cell r="F2462" t="str">
            <v>LIBRO</v>
          </cell>
          <cell r="G2462">
            <v>520515955</v>
          </cell>
          <cell r="H2462" t="str">
            <v>DIST. LEWIS</v>
          </cell>
          <cell r="I2462">
            <v>7.77</v>
          </cell>
        </row>
        <row r="2463">
          <cell r="A2463" t="str">
            <v>19-02462</v>
          </cell>
          <cell r="B2463" t="str">
            <v>DIST. LEWIS</v>
          </cell>
          <cell r="C2463" t="str">
            <v>A</v>
          </cell>
          <cell r="D2463" t="str">
            <v>NO</v>
          </cell>
          <cell r="E2463" t="str">
            <v>ARTE DE EDUCAR LLAMAS ALEJANDRA</v>
          </cell>
          <cell r="F2463" t="str">
            <v>LIBRO</v>
          </cell>
          <cell r="G2463">
            <v>520515954</v>
          </cell>
          <cell r="H2463" t="str">
            <v>DIST. LEWIS</v>
          </cell>
          <cell r="I2463">
            <v>11.02</v>
          </cell>
        </row>
        <row r="2464">
          <cell r="A2464" t="str">
            <v>19-02463</v>
          </cell>
          <cell r="B2464" t="str">
            <v>DIST. LEWIS</v>
          </cell>
          <cell r="C2464" t="str">
            <v>A</v>
          </cell>
          <cell r="D2464" t="str">
            <v>NO</v>
          </cell>
          <cell r="E2464" t="str">
            <v>EROTISMO INFINITO LOPEZ EZEQUIEL</v>
          </cell>
          <cell r="F2464" t="str">
            <v>LIBRO</v>
          </cell>
          <cell r="G2464">
            <v>522705847</v>
          </cell>
          <cell r="H2464" t="str">
            <v>DIST. LEWIS</v>
          </cell>
          <cell r="I2464">
            <v>14.27</v>
          </cell>
        </row>
        <row r="2465">
          <cell r="A2465" t="str">
            <v>19-02464</v>
          </cell>
          <cell r="B2465" t="str">
            <v>DIST. LEWIS</v>
          </cell>
          <cell r="C2465" t="str">
            <v>A</v>
          </cell>
          <cell r="D2465" t="str">
            <v>NO</v>
          </cell>
          <cell r="E2465" t="str">
            <v>PLACER DE SEDUCIR - LOPEZ EZEQUIEL</v>
          </cell>
          <cell r="F2465" t="str">
            <v>LIBRO</v>
          </cell>
          <cell r="G2465">
            <v>522705851</v>
          </cell>
          <cell r="H2465" t="str">
            <v>DIST. LEWIS</v>
          </cell>
          <cell r="I2465">
            <v>15.28</v>
          </cell>
        </row>
        <row r="2466">
          <cell r="A2466" t="str">
            <v>19-02465</v>
          </cell>
          <cell r="B2466" t="str">
            <v>DIST. LEWIS</v>
          </cell>
          <cell r="C2466" t="str">
            <v>A</v>
          </cell>
          <cell r="D2466" t="str">
            <v>NO</v>
          </cell>
          <cell r="E2466" t="str">
            <v>NEURO COACH LUPI J J</v>
          </cell>
          <cell r="F2466" t="str">
            <v>LIBRO</v>
          </cell>
          <cell r="G2466">
            <v>520504263</v>
          </cell>
          <cell r="H2466" t="str">
            <v>DIST. LEWIS</v>
          </cell>
          <cell r="I2466">
            <v>13.62</v>
          </cell>
        </row>
        <row r="2467">
          <cell r="A2467" t="str">
            <v>19-02466</v>
          </cell>
          <cell r="B2467" t="str">
            <v>DIST. LEWIS</v>
          </cell>
          <cell r="C2467" t="str">
            <v>A</v>
          </cell>
          <cell r="D2467" t="str">
            <v>NO</v>
          </cell>
          <cell r="E2467" t="str">
            <v>PANAMA 6 TH  MACCARTHY</v>
          </cell>
          <cell r="F2467" t="str">
            <v>LIBRO</v>
          </cell>
          <cell r="G2467">
            <v>520406085</v>
          </cell>
          <cell r="H2467" t="str">
            <v>DIST. LEWIS</v>
          </cell>
          <cell r="I2467">
            <v>19.47</v>
          </cell>
        </row>
        <row r="2468">
          <cell r="A2468" t="str">
            <v>19-02467</v>
          </cell>
          <cell r="B2468" t="str">
            <v>DIST. LEWIS</v>
          </cell>
          <cell r="C2468" t="str">
            <v>A</v>
          </cell>
          <cell r="D2468" t="str">
            <v>NO</v>
          </cell>
          <cell r="E2468" t="str">
            <v>VENDEDOR MAS GRANDE DEL MUNDO 1° PARTE MANDINO OG</v>
          </cell>
          <cell r="F2468" t="str">
            <v>LIBRO</v>
          </cell>
          <cell r="G2468">
            <v>520505214</v>
          </cell>
          <cell r="H2468" t="str">
            <v>DIST. LEWIS</v>
          </cell>
          <cell r="I2468">
            <v>10.37</v>
          </cell>
        </row>
        <row r="2469">
          <cell r="A2469" t="str">
            <v>19-02468</v>
          </cell>
          <cell r="B2469" t="str">
            <v>DIST. LEWIS</v>
          </cell>
          <cell r="C2469" t="str">
            <v>A</v>
          </cell>
          <cell r="D2469" t="str">
            <v>NO</v>
          </cell>
          <cell r="E2469" t="str">
            <v>CHOQUE DE REYES - MARTIN GEORGE, R.R.</v>
          </cell>
          <cell r="F2469" t="str">
            <v>LIBRO</v>
          </cell>
          <cell r="G2469">
            <v>520511285</v>
          </cell>
          <cell r="H2469" t="str">
            <v>DIST. LEWIS</v>
          </cell>
          <cell r="I2469">
            <v>18.82</v>
          </cell>
        </row>
        <row r="2470">
          <cell r="A2470" t="str">
            <v>19-02469</v>
          </cell>
          <cell r="B2470" t="str">
            <v>DIST. LEWIS</v>
          </cell>
          <cell r="C2470" t="str">
            <v>A</v>
          </cell>
          <cell r="D2470" t="str">
            <v>NO</v>
          </cell>
          <cell r="E2470" t="str">
            <v>21 LEYES IRREFUTABLES MAXWELL JOHN</v>
          </cell>
          <cell r="F2470" t="str">
            <v>LIBRO</v>
          </cell>
          <cell r="G2470">
            <v>522904409</v>
          </cell>
          <cell r="H2470" t="str">
            <v>DIST. LEWIS</v>
          </cell>
          <cell r="I2470">
            <v>0</v>
          </cell>
        </row>
        <row r="2471">
          <cell r="A2471" t="str">
            <v>19-02470</v>
          </cell>
          <cell r="B2471" t="str">
            <v>DIST. LEWIS</v>
          </cell>
          <cell r="C2471" t="str">
            <v>A</v>
          </cell>
          <cell r="D2471" t="str">
            <v>NO</v>
          </cell>
          <cell r="E2471" t="str">
            <v>MANUAL DEL LIDERAZGO MAXWELL JOHN</v>
          </cell>
          <cell r="F2471" t="str">
            <v>LIBRO</v>
          </cell>
          <cell r="G2471">
            <v>522904411</v>
          </cell>
          <cell r="H2471" t="str">
            <v>DIST. LEWIS</v>
          </cell>
          <cell r="I2471">
            <v>12.97</v>
          </cell>
        </row>
        <row r="2472">
          <cell r="A2472" t="str">
            <v>19-02471</v>
          </cell>
          <cell r="B2472" t="str">
            <v>DIST. LEWIS</v>
          </cell>
          <cell r="C2472" t="str">
            <v>A</v>
          </cell>
          <cell r="D2472" t="str">
            <v>NO</v>
          </cell>
          <cell r="E2472" t="str">
            <v>QUE TAN ALTO QUIERES LLEGAR MAXWELL JOHN</v>
          </cell>
          <cell r="F2472" t="str">
            <v>LIBRO</v>
          </cell>
          <cell r="G2472">
            <v>522904415</v>
          </cell>
          <cell r="H2472" t="str">
            <v>DIST. LEWIS</v>
          </cell>
          <cell r="I2472">
            <v>11.02</v>
          </cell>
        </row>
        <row r="2473">
          <cell r="A2473" t="str">
            <v>19-02472</v>
          </cell>
          <cell r="B2473" t="str">
            <v>DIST. LEWIS</v>
          </cell>
          <cell r="C2473" t="str">
            <v>A</v>
          </cell>
          <cell r="D2473" t="str">
            <v>NO</v>
          </cell>
          <cell r="E2473" t="str">
            <v>PATH BETWEEN THE SEAS - MCCULLOUGH, DAVID</v>
          </cell>
          <cell r="F2473" t="str">
            <v>LIBRO</v>
          </cell>
          <cell r="G2473">
            <v>520701008</v>
          </cell>
          <cell r="H2473" t="str">
            <v>DIST. LEWIS</v>
          </cell>
          <cell r="I2473">
            <v>14.364000000000001</v>
          </cell>
        </row>
        <row r="2474">
          <cell r="A2474" t="str">
            <v>19-02473</v>
          </cell>
          <cell r="B2474" t="str">
            <v>DIST. LEWIS</v>
          </cell>
          <cell r="C2474" t="str">
            <v>A</v>
          </cell>
          <cell r="D2474" t="str">
            <v>NO</v>
          </cell>
          <cell r="E2474" t="str">
            <v>UN CAMINO ENTRE DOS MARES - MCCULLOUGH, DAVID</v>
          </cell>
          <cell r="F2474" t="str">
            <v>LIBRO</v>
          </cell>
          <cell r="G2474">
            <v>520506051</v>
          </cell>
          <cell r="H2474" t="str">
            <v>DIST. LEWIS</v>
          </cell>
          <cell r="I2474">
            <v>19.404</v>
          </cell>
        </row>
        <row r="2475">
          <cell r="A2475" t="str">
            <v>19-02474</v>
          </cell>
          <cell r="B2475" t="str">
            <v>DIST. LEWIS</v>
          </cell>
          <cell r="C2475" t="str">
            <v>A</v>
          </cell>
          <cell r="D2475" t="str">
            <v>NO</v>
          </cell>
          <cell r="E2475" t="str">
            <v>ANOTHER LIFE MCDONALD SARA</v>
          </cell>
          <cell r="F2475" t="str">
            <v>LIBRO</v>
          </cell>
          <cell r="G2475">
            <v>520513007</v>
          </cell>
          <cell r="H2475" t="str">
            <v>DIST. LEWIS</v>
          </cell>
          <cell r="I2475">
            <v>0</v>
          </cell>
        </row>
        <row r="2476">
          <cell r="A2476" t="str">
            <v>19-02475</v>
          </cell>
          <cell r="B2476" t="str">
            <v>DIST. LEWIS</v>
          </cell>
          <cell r="C2476" t="str">
            <v>A</v>
          </cell>
          <cell r="D2476" t="str">
            <v>NO</v>
          </cell>
          <cell r="E2476" t="str">
            <v>COMO INTERPRETAR EL TAROR MELDI DIEGO</v>
          </cell>
          <cell r="F2476" t="str">
            <v>LIBRO</v>
          </cell>
          <cell r="G2476">
            <v>510501722</v>
          </cell>
          <cell r="H2476" t="str">
            <v>DIST. LEWIS</v>
          </cell>
          <cell r="I2476">
            <v>9.7200000000000006</v>
          </cell>
        </row>
        <row r="2477">
          <cell r="A2477" t="str">
            <v>19-02476</v>
          </cell>
          <cell r="B2477" t="str">
            <v>DIST. LEWIS</v>
          </cell>
          <cell r="C2477" t="str">
            <v>A</v>
          </cell>
          <cell r="D2477" t="str">
            <v>NO</v>
          </cell>
          <cell r="E2477" t="str">
            <v>BIBLIA DE LOS SHAKRAS  MERCIER PATRICIA</v>
          </cell>
          <cell r="F2477" t="str">
            <v>LIBRO</v>
          </cell>
          <cell r="G2477">
            <v>530000514</v>
          </cell>
          <cell r="H2477" t="str">
            <v>DIST. LEWIS</v>
          </cell>
          <cell r="I2477">
            <v>19.47</v>
          </cell>
        </row>
        <row r="2478">
          <cell r="A2478" t="str">
            <v>19-02477</v>
          </cell>
          <cell r="B2478" t="str">
            <v>DIST. LEWIS</v>
          </cell>
          <cell r="C2478" t="str">
            <v>A</v>
          </cell>
          <cell r="D2478" t="str">
            <v>NO</v>
          </cell>
          <cell r="E2478" t="str">
            <v>SHORT SECOND LIFE OF BREE MEYER STEPHANIE</v>
          </cell>
          <cell r="F2478" t="str">
            <v>LIBRO</v>
          </cell>
          <cell r="G2478">
            <v>520401953</v>
          </cell>
          <cell r="H2478" t="str">
            <v>DIST. LEWIS</v>
          </cell>
          <cell r="I2478">
            <v>11.38</v>
          </cell>
        </row>
        <row r="2479">
          <cell r="A2479" t="str">
            <v>19-02478</v>
          </cell>
          <cell r="B2479" t="str">
            <v>DIST. LEWIS</v>
          </cell>
          <cell r="C2479" t="str">
            <v>A</v>
          </cell>
          <cell r="D2479" t="str">
            <v>NO</v>
          </cell>
          <cell r="E2479" t="str">
            <v>HUNDRED FOOT JOURNEY,THE MORAIS R. C.</v>
          </cell>
          <cell r="F2479" t="str">
            <v>LIBRO</v>
          </cell>
          <cell r="G2479">
            <v>520415499</v>
          </cell>
          <cell r="H2479" t="str">
            <v>DIST. LEWIS</v>
          </cell>
          <cell r="I2479">
            <v>5.82</v>
          </cell>
        </row>
        <row r="2480">
          <cell r="A2480" t="str">
            <v>19-02479</v>
          </cell>
          <cell r="B2480" t="str">
            <v>DIST. LEWIS</v>
          </cell>
          <cell r="C2480" t="str">
            <v>A</v>
          </cell>
          <cell r="D2480" t="str">
            <v>NO</v>
          </cell>
          <cell r="E2480" t="str">
            <v>TU PODER INFINITO   MURPHY JOSEPH</v>
          </cell>
          <cell r="F2480" t="str">
            <v>LIBRO</v>
          </cell>
          <cell r="G2480">
            <v>530000043</v>
          </cell>
          <cell r="H2480" t="str">
            <v>DIST. LEWIS</v>
          </cell>
          <cell r="I2480">
            <v>0</v>
          </cell>
        </row>
        <row r="2481">
          <cell r="A2481" t="str">
            <v>19-02480</v>
          </cell>
          <cell r="B2481" t="str">
            <v>DIST. LEWIS</v>
          </cell>
          <cell r="C2481" t="str">
            <v>A</v>
          </cell>
          <cell r="D2481" t="str">
            <v>NO</v>
          </cell>
          <cell r="E2481" t="str">
            <v>TU PODER INFINITO PARA ENRIQUECERTE MURPHY JOSEPH</v>
          </cell>
          <cell r="F2481" t="str">
            <v>LIBRO</v>
          </cell>
          <cell r="G2481">
            <v>530000043</v>
          </cell>
          <cell r="H2481" t="str">
            <v>DIST. LEWIS</v>
          </cell>
          <cell r="I2481">
            <v>0</v>
          </cell>
        </row>
        <row r="2482">
          <cell r="A2482" t="str">
            <v>19-02481</v>
          </cell>
          <cell r="B2482" t="str">
            <v>H. MANCHA</v>
          </cell>
          <cell r="C2482" t="str">
            <v>A</v>
          </cell>
          <cell r="D2482" t="str">
            <v>SI</v>
          </cell>
          <cell r="E2482" t="str">
            <v>MUJERES QUE AMAN DEMASIADO NORWOOD ROBIN</v>
          </cell>
          <cell r="F2482" t="str">
            <v>LIBRO</v>
          </cell>
          <cell r="G2482">
            <v>522703536</v>
          </cell>
          <cell r="H2482" t="str">
            <v>H. MANCHA</v>
          </cell>
          <cell r="I2482">
            <v>12.205</v>
          </cell>
        </row>
        <row r="2483">
          <cell r="A2483" t="str">
            <v>19-02482</v>
          </cell>
          <cell r="B2483" t="str">
            <v>DIST. LEWIS</v>
          </cell>
          <cell r="C2483" t="str">
            <v>A</v>
          </cell>
          <cell r="D2483" t="str">
            <v>NO</v>
          </cell>
          <cell r="E2483" t="str">
            <v>AMOR LIBERTAD SOLEDAD OSHO</v>
          </cell>
          <cell r="F2483" t="str">
            <v>LIBRO</v>
          </cell>
          <cell r="G2483">
            <v>540001878</v>
          </cell>
          <cell r="H2483" t="str">
            <v>DIST. LEWIS</v>
          </cell>
          <cell r="I2483">
            <v>14.92</v>
          </cell>
        </row>
        <row r="2484">
          <cell r="A2484" t="str">
            <v>19-02483</v>
          </cell>
          <cell r="B2484" t="str">
            <v>DIST. LEWIS</v>
          </cell>
          <cell r="C2484" t="str">
            <v>A</v>
          </cell>
          <cell r="D2484" t="str">
            <v>NO</v>
          </cell>
          <cell r="E2484" t="str">
            <v>PAIS DE LA CANELA OSPINA WILLIAMS</v>
          </cell>
          <cell r="F2484" t="str">
            <v>LIBRO</v>
          </cell>
          <cell r="G2484">
            <v>520515640</v>
          </cell>
          <cell r="H2484" t="str">
            <v>DIST. LEWIS</v>
          </cell>
          <cell r="I2484">
            <v>25.87</v>
          </cell>
        </row>
        <row r="2485">
          <cell r="A2485" t="str">
            <v>19-02484</v>
          </cell>
          <cell r="B2485" t="str">
            <v>DIST. LEWIS</v>
          </cell>
          <cell r="C2485" t="str">
            <v>A</v>
          </cell>
          <cell r="D2485" t="str">
            <v>NO</v>
          </cell>
          <cell r="E2485" t="str">
            <v>EINSTEIN PASIONES DE UN CIENTIFICO PARKER BARRY</v>
          </cell>
          <cell r="F2485" t="str">
            <v>LIBRO</v>
          </cell>
          <cell r="G2485">
            <v>520515117</v>
          </cell>
          <cell r="H2485" t="str">
            <v>DIST. LEWIS</v>
          </cell>
          <cell r="I2485">
            <v>16.87</v>
          </cell>
        </row>
        <row r="2486">
          <cell r="A2486" t="str">
            <v>19-02485</v>
          </cell>
          <cell r="B2486" t="str">
            <v>DIST. LEWIS</v>
          </cell>
          <cell r="C2486" t="str">
            <v>A</v>
          </cell>
          <cell r="D2486" t="str">
            <v>NO</v>
          </cell>
          <cell r="E2486" t="str">
            <v>WHAT IS THE PANAMA CANAL PASCAL JANET</v>
          </cell>
          <cell r="F2486" t="str">
            <v>LIBRO</v>
          </cell>
          <cell r="G2486">
            <v>520416124</v>
          </cell>
          <cell r="H2486" t="str">
            <v>DIST. LEWIS</v>
          </cell>
          <cell r="I2486">
            <v>4.54</v>
          </cell>
        </row>
        <row r="2487">
          <cell r="A2487" t="str">
            <v>19-02486</v>
          </cell>
          <cell r="B2487" t="str">
            <v>DIST. LEWIS</v>
          </cell>
          <cell r="C2487" t="str">
            <v>A</v>
          </cell>
          <cell r="D2487" t="str">
            <v>NO</v>
          </cell>
          <cell r="E2487" t="str">
            <v>AMANTES DE JUDEA, LOS PINAULT,DANIELLE</v>
          </cell>
          <cell r="F2487" t="str">
            <v>LIBRO</v>
          </cell>
          <cell r="G2487">
            <v>520515180</v>
          </cell>
          <cell r="H2487" t="str">
            <v>DIST. LEWIS</v>
          </cell>
          <cell r="I2487">
            <v>6.47</v>
          </cell>
        </row>
        <row r="2488">
          <cell r="A2488" t="str">
            <v>19-02487</v>
          </cell>
          <cell r="B2488" t="str">
            <v>DIST. LEWIS</v>
          </cell>
          <cell r="C2488" t="str">
            <v>A</v>
          </cell>
          <cell r="D2488" t="str">
            <v>NO</v>
          </cell>
          <cell r="E2488" t="str">
            <v>FRANCISCO VIDA Y REVOLUCION PIQUE,ELISABETTA</v>
          </cell>
          <cell r="F2488" t="str">
            <v>LIBRO</v>
          </cell>
          <cell r="G2488">
            <v>520515166</v>
          </cell>
          <cell r="H2488" t="str">
            <v>DIST. LEWIS</v>
          </cell>
          <cell r="I2488">
            <v>17.52</v>
          </cell>
        </row>
        <row r="2489">
          <cell r="A2489" t="str">
            <v>19-02488</v>
          </cell>
          <cell r="B2489" t="str">
            <v>DIST. LEWIS</v>
          </cell>
          <cell r="C2489" t="str">
            <v>A</v>
          </cell>
          <cell r="D2489" t="str">
            <v>NO</v>
          </cell>
          <cell r="E2489" t="str">
            <v>PUERTAS Y REJAS PLUTON EDICIONES</v>
          </cell>
          <cell r="F2489" t="str">
            <v>LIBRO</v>
          </cell>
          <cell r="G2489">
            <v>540002777</v>
          </cell>
          <cell r="H2489" t="str">
            <v>DIST. LEWIS</v>
          </cell>
          <cell r="I2489">
            <v>19.18</v>
          </cell>
        </row>
        <row r="2490">
          <cell r="A2490" t="str">
            <v>19-02489</v>
          </cell>
          <cell r="B2490" t="str">
            <v>DIST. LEWIS</v>
          </cell>
          <cell r="C2490" t="str">
            <v>A</v>
          </cell>
          <cell r="D2490" t="str">
            <v>NO</v>
          </cell>
          <cell r="E2490" t="str">
            <v>SANGRE DE LOS LIBROS  POSTEGUILLO SANTIAGO</v>
          </cell>
          <cell r="F2490" t="str">
            <v>LIBRO</v>
          </cell>
          <cell r="G2490">
            <v>520513310</v>
          </cell>
          <cell r="H2490" t="str">
            <v>DIST. LEWIS</v>
          </cell>
          <cell r="I2490">
            <v>18.170000000000002</v>
          </cell>
        </row>
        <row r="2491">
          <cell r="A2491" t="str">
            <v>19-02490</v>
          </cell>
          <cell r="B2491" t="str">
            <v>DIST. LEWIS</v>
          </cell>
          <cell r="C2491" t="str">
            <v>A</v>
          </cell>
          <cell r="D2491" t="str">
            <v>NO</v>
          </cell>
          <cell r="E2491" t="str">
            <v>SE COMO UN FERRARI PROVANA ROBERTO</v>
          </cell>
          <cell r="F2491" t="str">
            <v>LIBRO</v>
          </cell>
          <cell r="G2491">
            <v>522905564</v>
          </cell>
          <cell r="H2491" t="str">
            <v>DIST. LEWIS</v>
          </cell>
          <cell r="I2491">
            <v>0</v>
          </cell>
        </row>
        <row r="2492">
          <cell r="A2492" t="str">
            <v>19-02491</v>
          </cell>
          <cell r="B2492" t="str">
            <v>DIST. LEWIS</v>
          </cell>
          <cell r="C2492" t="str">
            <v>A</v>
          </cell>
          <cell r="D2492" t="str">
            <v>NO</v>
          </cell>
          <cell r="E2492" t="str">
            <v>MOMENTOS DE BUENA SUERTE QUICK MATTEW</v>
          </cell>
          <cell r="F2492" t="str">
            <v>LIBRO</v>
          </cell>
          <cell r="G2492">
            <v>520513309</v>
          </cell>
          <cell r="H2492" t="str">
            <v>DIST. LEWIS</v>
          </cell>
          <cell r="I2492">
            <v>18.170000000000002</v>
          </cell>
        </row>
        <row r="2493">
          <cell r="A2493" t="str">
            <v>19-02492</v>
          </cell>
          <cell r="B2493" t="str">
            <v>DIST. LEWIS</v>
          </cell>
          <cell r="C2493" t="str">
            <v>A</v>
          </cell>
          <cell r="D2493" t="str">
            <v>NO</v>
          </cell>
          <cell r="E2493" t="str">
            <v>SENOR DE LA SEDUCCION , EL QUINN PAULA</v>
          </cell>
          <cell r="F2493" t="str">
            <v>LIBRO</v>
          </cell>
          <cell r="G2493">
            <v>520515179</v>
          </cell>
          <cell r="H2493" t="str">
            <v>DIST. LEWIS</v>
          </cell>
          <cell r="I2493">
            <v>6.47</v>
          </cell>
        </row>
        <row r="2494">
          <cell r="A2494" t="str">
            <v>19-02493</v>
          </cell>
          <cell r="B2494" t="str">
            <v>DIST. LEWIS</v>
          </cell>
          <cell r="C2494" t="str">
            <v>A</v>
          </cell>
          <cell r="D2494" t="str">
            <v>NO</v>
          </cell>
          <cell r="E2494" t="str">
            <v>BREVE HISTORIA DE FIDEL CASTRO RIVERA JUAN CARLOS</v>
          </cell>
          <cell r="F2494" t="str">
            <v>LIBRO</v>
          </cell>
          <cell r="G2494">
            <v>522611462</v>
          </cell>
          <cell r="H2494" t="str">
            <v>DIST. LEWIS</v>
          </cell>
          <cell r="I2494">
            <v>10.37</v>
          </cell>
        </row>
        <row r="2495">
          <cell r="A2495" t="str">
            <v>19-02494</v>
          </cell>
          <cell r="B2495" t="str">
            <v>DIST. LEWIS</v>
          </cell>
          <cell r="C2495" t="str">
            <v>A</v>
          </cell>
          <cell r="D2495" t="str">
            <v>NO</v>
          </cell>
          <cell r="E2495" t="str">
            <v>DESESTRESATE ROJAS SANTIAGO</v>
          </cell>
          <cell r="F2495" t="str">
            <v>LIBRO</v>
          </cell>
          <cell r="G2495">
            <v>520513348</v>
          </cell>
          <cell r="H2495" t="str">
            <v>DIST. LEWIS</v>
          </cell>
          <cell r="I2495">
            <v>11.9</v>
          </cell>
        </row>
        <row r="2496">
          <cell r="A2496" t="str">
            <v>19-02495</v>
          </cell>
          <cell r="B2496" t="str">
            <v>DIST. LEWIS</v>
          </cell>
          <cell r="C2496" t="str">
            <v>A</v>
          </cell>
          <cell r="D2496" t="str">
            <v>NO</v>
          </cell>
          <cell r="E2496" t="str">
            <v>ESENCIAS FLORES PARA CADA MOMENTO ROJAS SANTIAGO</v>
          </cell>
          <cell r="F2496" t="str">
            <v>LIBRO</v>
          </cell>
          <cell r="G2496">
            <v>523000140</v>
          </cell>
          <cell r="H2496" t="str">
            <v>DIST. LEWIS</v>
          </cell>
          <cell r="I2496">
            <v>6.47</v>
          </cell>
        </row>
        <row r="2497">
          <cell r="A2497" t="str">
            <v>19-02496</v>
          </cell>
          <cell r="B2497" t="str">
            <v>DIST. LEWIS</v>
          </cell>
          <cell r="C2497" t="str">
            <v>A</v>
          </cell>
          <cell r="D2497" t="str">
            <v>NO</v>
          </cell>
          <cell r="E2497" t="str">
            <v>POMPEYA ROMERO MIRELLA</v>
          </cell>
          <cell r="F2497" t="str">
            <v>LIBRO</v>
          </cell>
          <cell r="G2497">
            <v>520515161</v>
          </cell>
          <cell r="H2497" t="str">
            <v>DIST. LEWIS</v>
          </cell>
          <cell r="I2497">
            <v>24.47</v>
          </cell>
        </row>
        <row r="2498">
          <cell r="A2498" t="str">
            <v>19-02497</v>
          </cell>
          <cell r="B2498" t="str">
            <v>DIST. LEWIS</v>
          </cell>
          <cell r="C2498" t="str">
            <v>A</v>
          </cell>
          <cell r="D2498" t="str">
            <v>NO</v>
          </cell>
          <cell r="E2498" t="str">
            <v>DIVERGENT ROTH VERONICA</v>
          </cell>
          <cell r="F2498" t="str">
            <v>LIBRO</v>
          </cell>
          <cell r="G2498">
            <v>5204183452</v>
          </cell>
          <cell r="H2498" t="str">
            <v>DIST. LEWIS</v>
          </cell>
          <cell r="I2498">
            <v>10.37</v>
          </cell>
        </row>
        <row r="2499">
          <cell r="A2499" t="str">
            <v>19-02498</v>
          </cell>
          <cell r="B2499" t="str">
            <v>DIST. LEWIS</v>
          </cell>
          <cell r="C2499" t="str">
            <v>A</v>
          </cell>
          <cell r="D2499" t="str">
            <v>NO</v>
          </cell>
          <cell r="E2499" t="str">
            <v>INSURGENT ROTH VERONICA</v>
          </cell>
          <cell r="F2499" t="str">
            <v>LIBRO</v>
          </cell>
          <cell r="G2499">
            <v>520418312</v>
          </cell>
          <cell r="H2499" t="str">
            <v>DIST. LEWIS</v>
          </cell>
          <cell r="I2499">
            <v>10.37</v>
          </cell>
        </row>
        <row r="2500">
          <cell r="A2500" t="str">
            <v>19-02499</v>
          </cell>
          <cell r="B2500" t="str">
            <v>DIST. LEWIS</v>
          </cell>
          <cell r="C2500" t="str">
            <v>A</v>
          </cell>
          <cell r="D2500" t="str">
            <v>NO</v>
          </cell>
          <cell r="E2500" t="str">
            <v>LEAL ROTH VERONICA</v>
          </cell>
          <cell r="F2500" t="str">
            <v>LIBRO</v>
          </cell>
          <cell r="G2500">
            <v>522611773</v>
          </cell>
          <cell r="H2500" t="str">
            <v>DIST. LEWIS</v>
          </cell>
          <cell r="I2500">
            <v>0</v>
          </cell>
        </row>
        <row r="2501">
          <cell r="A2501" t="str">
            <v>19-02500</v>
          </cell>
          <cell r="B2501" t="str">
            <v>DIST. LEWIS</v>
          </cell>
          <cell r="C2501" t="str">
            <v>A</v>
          </cell>
          <cell r="D2501" t="str">
            <v>NO</v>
          </cell>
          <cell r="E2501" t="str">
            <v>QUIEN SE HA COMIDO MI QUESO ROWLAND ROSE</v>
          </cell>
          <cell r="F2501" t="str">
            <v>LIBRO</v>
          </cell>
          <cell r="G2501">
            <v>522605701</v>
          </cell>
          <cell r="H2501" t="str">
            <v>DIST. LEWIS</v>
          </cell>
          <cell r="I2501">
            <v>9.07</v>
          </cell>
        </row>
        <row r="2502">
          <cell r="A2502" t="str">
            <v>19-02501</v>
          </cell>
          <cell r="B2502" t="str">
            <v>DIST. LEWIS</v>
          </cell>
          <cell r="C2502" t="str">
            <v>A</v>
          </cell>
          <cell r="D2502" t="str">
            <v>NO</v>
          </cell>
          <cell r="E2502" t="str">
            <v>PA RRIBA Y PA LANTE SARALEGUIE CRISTINA</v>
          </cell>
          <cell r="F2502" t="str">
            <v>LIBRO</v>
          </cell>
          <cell r="G2502">
            <v>520416134</v>
          </cell>
          <cell r="H2502" t="str">
            <v>DIST. LEWIS</v>
          </cell>
          <cell r="I2502">
            <v>11.02</v>
          </cell>
        </row>
        <row r="2503">
          <cell r="A2503" t="str">
            <v>19-02502</v>
          </cell>
          <cell r="B2503" t="str">
            <v>DIST. LEWIS</v>
          </cell>
          <cell r="C2503" t="str">
            <v>A</v>
          </cell>
          <cell r="D2503" t="str">
            <v>NO</v>
          </cell>
          <cell r="E2503" t="str">
            <v>MURMULLO DE LAS ABEJAS, EL SEGOVIA SOFIA</v>
          </cell>
          <cell r="F2503" t="str">
            <v>LIBRO</v>
          </cell>
          <cell r="G2503">
            <v>520511446</v>
          </cell>
          <cell r="H2503" t="str">
            <v>DIST. LEWIS</v>
          </cell>
          <cell r="I2503">
            <v>16.87</v>
          </cell>
        </row>
        <row r="2504">
          <cell r="A2504" t="str">
            <v>19-02503</v>
          </cell>
          <cell r="B2504" t="str">
            <v>DIST. LEWIS</v>
          </cell>
          <cell r="C2504" t="str">
            <v>A</v>
          </cell>
          <cell r="D2504" t="str">
            <v>NO</v>
          </cell>
          <cell r="E2504" t="str">
            <v>CUENTO DE INVIERNO SHAKESPEARE WILLIAMS</v>
          </cell>
          <cell r="F2504" t="str">
            <v>LIBRO</v>
          </cell>
          <cell r="G2504">
            <v>522302582</v>
          </cell>
          <cell r="H2504" t="str">
            <v>DIST. LEWIS</v>
          </cell>
          <cell r="I2504">
            <v>0</v>
          </cell>
        </row>
        <row r="2505">
          <cell r="A2505" t="str">
            <v>19-02504</v>
          </cell>
          <cell r="B2505" t="str">
            <v>DIST. LEWIS</v>
          </cell>
          <cell r="C2505" t="str">
            <v>A</v>
          </cell>
          <cell r="D2505" t="str">
            <v>NO</v>
          </cell>
          <cell r="E2505" t="str">
            <v>JULIO CESAR SHAKESPEARE WILLIAMS</v>
          </cell>
          <cell r="F2505" t="str">
            <v>LIBRO</v>
          </cell>
          <cell r="G2505">
            <v>522302584</v>
          </cell>
          <cell r="H2505" t="str">
            <v>DIST. LEWIS</v>
          </cell>
          <cell r="I2505">
            <v>0</v>
          </cell>
        </row>
        <row r="2506">
          <cell r="A2506" t="str">
            <v>19-02505</v>
          </cell>
          <cell r="B2506" t="str">
            <v>DIST. LEWIS</v>
          </cell>
          <cell r="C2506" t="str">
            <v>A</v>
          </cell>
          <cell r="D2506" t="str">
            <v>NO</v>
          </cell>
          <cell r="E2506" t="str">
            <v>MANK WHOSOLD SHARMA ROBIN</v>
          </cell>
          <cell r="F2506" t="str">
            <v>LIBRO</v>
          </cell>
          <cell r="G2506">
            <v>19242</v>
          </cell>
          <cell r="H2506" t="str">
            <v>DIST. LEWIS</v>
          </cell>
          <cell r="I2506">
            <v>0</v>
          </cell>
        </row>
        <row r="2507">
          <cell r="A2507" t="str">
            <v>19-02506</v>
          </cell>
          <cell r="B2507" t="str">
            <v>DIST. LEWIS</v>
          </cell>
          <cell r="C2507" t="str">
            <v>A</v>
          </cell>
          <cell r="D2507" t="str">
            <v>NO</v>
          </cell>
          <cell r="E2507" t="str">
            <v>8 CLAVES DE LIDERAZGO DEL MONJE QUE VENDIO SU FERRARI SHARMA ROBIN</v>
          </cell>
          <cell r="F2507" t="str">
            <v>LIBRO</v>
          </cell>
          <cell r="G2507">
            <v>520509159</v>
          </cell>
          <cell r="H2507" t="str">
            <v>DIST. LEWIS</v>
          </cell>
          <cell r="I2507">
            <v>0</v>
          </cell>
        </row>
        <row r="2508">
          <cell r="A2508" t="str">
            <v>19-02507</v>
          </cell>
          <cell r="B2508" t="str">
            <v>DIST. LEWIS</v>
          </cell>
          <cell r="C2508" t="str">
            <v>A</v>
          </cell>
          <cell r="D2508" t="str">
            <v>NO</v>
          </cell>
          <cell r="E2508" t="str">
            <v>MONJE QUE VENDIO DU FERRARI, EL SHARMA ROBIN</v>
          </cell>
          <cell r="F2508" t="str">
            <v>LIBRO</v>
          </cell>
          <cell r="G2508">
            <v>522609612</v>
          </cell>
          <cell r="H2508" t="str">
            <v>DIST. LEWIS</v>
          </cell>
          <cell r="I2508">
            <v>7.8840000000000003</v>
          </cell>
        </row>
        <row r="2509">
          <cell r="A2509" t="str">
            <v>19-02508</v>
          </cell>
          <cell r="B2509" t="str">
            <v>DIST. LEWIS</v>
          </cell>
          <cell r="C2509" t="str">
            <v>A</v>
          </cell>
          <cell r="D2509" t="str">
            <v>NO</v>
          </cell>
          <cell r="E2509" t="str">
            <v>SIDNEY SHELDON'S CHASING TOMORROW BAGSHAWE TILLY</v>
          </cell>
          <cell r="F2509" t="str">
            <v>LIBRO</v>
          </cell>
          <cell r="G2509">
            <v>19212</v>
          </cell>
          <cell r="H2509" t="str">
            <v>DIST. LEWIS</v>
          </cell>
          <cell r="I2509">
            <v>7.12</v>
          </cell>
        </row>
        <row r="2510">
          <cell r="A2510" t="str">
            <v>19-02509</v>
          </cell>
          <cell r="B2510" t="str">
            <v>DIST. LEWIS</v>
          </cell>
          <cell r="C2510" t="str">
            <v>A</v>
          </cell>
          <cell r="D2510" t="str">
            <v>NO</v>
          </cell>
          <cell r="E2510" t="str">
            <v>PIRAMIDE INMORTAL, LA SIERRA JAVIER</v>
          </cell>
          <cell r="F2510" t="str">
            <v>LIBRO</v>
          </cell>
          <cell r="G2510">
            <v>520513311</v>
          </cell>
          <cell r="H2510" t="str">
            <v>DIST. LEWIS</v>
          </cell>
          <cell r="I2510">
            <v>21.67</v>
          </cell>
        </row>
        <row r="2511">
          <cell r="A2511" t="str">
            <v>19-02510</v>
          </cell>
          <cell r="B2511" t="str">
            <v>DIST. LEWIS</v>
          </cell>
          <cell r="C2511" t="str">
            <v>A</v>
          </cell>
          <cell r="D2511" t="str">
            <v>NO</v>
          </cell>
          <cell r="E2511" t="str">
            <v>DAMON MEDIA NOCHE CRONICA VAMPIREZCA SMITH LJ</v>
          </cell>
          <cell r="F2511" t="str">
            <v>LIBRO</v>
          </cell>
          <cell r="G2511">
            <v>520506528</v>
          </cell>
          <cell r="H2511" t="str">
            <v>DIST. LEWIS</v>
          </cell>
          <cell r="I2511">
            <v>0</v>
          </cell>
        </row>
        <row r="2512">
          <cell r="A2512" t="str">
            <v>19-02511</v>
          </cell>
          <cell r="B2512" t="str">
            <v>DIST. LEWIS</v>
          </cell>
          <cell r="C2512" t="str">
            <v>A</v>
          </cell>
          <cell r="D2512" t="str">
            <v>NO</v>
          </cell>
          <cell r="E2512" t="str">
            <v>ULTIMO DIA DE ADOLF HITLER SOLAR DAVID</v>
          </cell>
          <cell r="F2512" t="str">
            <v>LIBRO</v>
          </cell>
          <cell r="G2512">
            <v>520515162</v>
          </cell>
          <cell r="H2512" t="str">
            <v>DIST. LEWIS</v>
          </cell>
          <cell r="I2512">
            <v>18.170000000000002</v>
          </cell>
        </row>
        <row r="2513">
          <cell r="A2513" t="str">
            <v>19-02512</v>
          </cell>
          <cell r="B2513" t="str">
            <v>DIST. LEWIS</v>
          </cell>
          <cell r="C2513" t="str">
            <v>A</v>
          </cell>
          <cell r="D2513" t="str">
            <v>NO</v>
          </cell>
          <cell r="E2513" t="str">
            <v>LUGARES SECRETOS SOLER PAULA</v>
          </cell>
          <cell r="F2513" t="str">
            <v>LIBRO</v>
          </cell>
          <cell r="G2513">
            <v>520515653</v>
          </cell>
          <cell r="H2513" t="str">
            <v>DIST. LEWIS</v>
          </cell>
          <cell r="I2513">
            <v>15.57</v>
          </cell>
        </row>
        <row r="2514">
          <cell r="A2514" t="str">
            <v>19-02513</v>
          </cell>
          <cell r="B2514" t="str">
            <v>DIST. LEWIS</v>
          </cell>
          <cell r="C2514" t="str">
            <v>A</v>
          </cell>
          <cell r="D2514" t="str">
            <v>NO</v>
          </cell>
          <cell r="E2514" t="str">
            <v>SLOW SEDUCTION  TAN CECILIA</v>
          </cell>
          <cell r="F2514" t="str">
            <v>LIBRO</v>
          </cell>
          <cell r="G2514">
            <v>39182</v>
          </cell>
          <cell r="H2514" t="str">
            <v>DIST. LEWIS</v>
          </cell>
          <cell r="I2514">
            <v>0</v>
          </cell>
        </row>
        <row r="2515">
          <cell r="A2515" t="str">
            <v>19-02514</v>
          </cell>
          <cell r="B2515" t="str">
            <v>DIST. LEWIS</v>
          </cell>
          <cell r="C2515" t="str">
            <v>A</v>
          </cell>
          <cell r="D2515" t="str">
            <v>NO</v>
          </cell>
          <cell r="E2515" t="str">
            <v>LORD OF THE RINGS TOLKIEN JRR</v>
          </cell>
          <cell r="F2515" t="str">
            <v>LIBRO</v>
          </cell>
          <cell r="G2515">
            <v>19171</v>
          </cell>
          <cell r="H2515" t="str">
            <v>DIST. LEWIS</v>
          </cell>
          <cell r="I2515">
            <v>6.47</v>
          </cell>
        </row>
        <row r="2516">
          <cell r="A2516" t="str">
            <v>19-02515</v>
          </cell>
          <cell r="B2516" t="str">
            <v>DIST. LEWIS</v>
          </cell>
          <cell r="C2516" t="str">
            <v>A</v>
          </cell>
          <cell r="D2516" t="str">
            <v>NO</v>
          </cell>
          <cell r="E2516" t="str">
            <v>PODER DEL AHORA, EL TOLLE,ECKHART</v>
          </cell>
          <cell r="F2516" t="str">
            <v>LIBRO</v>
          </cell>
          <cell r="G2516">
            <v>520400185</v>
          </cell>
          <cell r="H2516" t="str">
            <v>DIST. LEWIS</v>
          </cell>
          <cell r="I2516">
            <v>13.644</v>
          </cell>
        </row>
        <row r="2517">
          <cell r="A2517" t="str">
            <v>19-02516</v>
          </cell>
          <cell r="B2517" t="str">
            <v>DIST. LEWIS</v>
          </cell>
          <cell r="C2517" t="str">
            <v>A</v>
          </cell>
          <cell r="D2517" t="str">
            <v>NO</v>
          </cell>
          <cell r="E2517" t="str">
            <v>ONE DIRECTION V. V. A. A.</v>
          </cell>
          <cell r="F2517" t="str">
            <v>LIBRO</v>
          </cell>
          <cell r="G2517">
            <v>520513819</v>
          </cell>
          <cell r="H2517" t="str">
            <v>DIST. LEWIS</v>
          </cell>
          <cell r="I2517">
            <v>13.62</v>
          </cell>
        </row>
        <row r="2518">
          <cell r="A2518" t="str">
            <v>19-02517</v>
          </cell>
          <cell r="B2518" t="str">
            <v>DIST. LEWIS</v>
          </cell>
          <cell r="C2518" t="str">
            <v>A</v>
          </cell>
          <cell r="D2518" t="str">
            <v>NO</v>
          </cell>
          <cell r="E2518" t="str">
            <v>DINERO DE LA DROGA VARELA CID EDUARDO</v>
          </cell>
          <cell r="F2518" t="str">
            <v>LIBRO</v>
          </cell>
          <cell r="G2518">
            <v>540001887</v>
          </cell>
          <cell r="H2518" t="str">
            <v>DIST. LEWIS</v>
          </cell>
          <cell r="I2518">
            <v>0</v>
          </cell>
        </row>
        <row r="2519">
          <cell r="A2519" t="str">
            <v>19-02518</v>
          </cell>
          <cell r="B2519" t="str">
            <v>DIST. LEWIS</v>
          </cell>
          <cell r="C2519" t="str">
            <v>A</v>
          </cell>
          <cell r="D2519" t="str">
            <v>NO</v>
          </cell>
          <cell r="E2519" t="str">
            <v>NUEMOS DE LOS ANGELES VIRTUE DOREEN</v>
          </cell>
          <cell r="F2519" t="str">
            <v>LIBRO</v>
          </cell>
          <cell r="G2519">
            <v>530000796</v>
          </cell>
          <cell r="H2519" t="str">
            <v>DIST. LEWIS</v>
          </cell>
          <cell r="I2519">
            <v>0</v>
          </cell>
        </row>
        <row r="2520">
          <cell r="A2520" t="str">
            <v>19-02519</v>
          </cell>
          <cell r="B2520" t="str">
            <v>DIST. LEWIS</v>
          </cell>
          <cell r="C2520" t="str">
            <v>A</v>
          </cell>
          <cell r="D2520" t="str">
            <v>NO</v>
          </cell>
          <cell r="E2520" t="str">
            <v>TERAPIA DE LOS ANGELES VIRTUE DOREEN</v>
          </cell>
          <cell r="F2520" t="str">
            <v>LIBRO</v>
          </cell>
          <cell r="G2520">
            <v>540001907</v>
          </cell>
          <cell r="H2520" t="str">
            <v>DIST. LEWIS</v>
          </cell>
          <cell r="I2520">
            <v>0</v>
          </cell>
        </row>
        <row r="2521">
          <cell r="A2521" t="str">
            <v>19-02520</v>
          </cell>
          <cell r="B2521" t="str">
            <v>DIST. LEWIS</v>
          </cell>
          <cell r="C2521" t="str">
            <v>A</v>
          </cell>
          <cell r="D2521" t="str">
            <v>NO</v>
          </cell>
          <cell r="E2521" t="str">
            <v>LEY DE ATRACCION WALTER WILLIAMS</v>
          </cell>
          <cell r="F2521" t="str">
            <v>LIBRO</v>
          </cell>
          <cell r="G2521">
            <v>522602238</v>
          </cell>
          <cell r="H2521" t="str">
            <v>DIST. LEWIS</v>
          </cell>
          <cell r="I2521">
            <v>0</v>
          </cell>
        </row>
        <row r="2522">
          <cell r="A2522" t="str">
            <v>19-02521</v>
          </cell>
          <cell r="B2522" t="str">
            <v>DIST. LEWIS</v>
          </cell>
          <cell r="C2522" t="str">
            <v>A</v>
          </cell>
          <cell r="D2522" t="str">
            <v>NO</v>
          </cell>
          <cell r="E2522" t="str">
            <v>PODER TOTAL DE LA MENTE, EL WILSON DONALD</v>
          </cell>
          <cell r="F2522" t="str">
            <v>LIBRO</v>
          </cell>
          <cell r="G2522">
            <v>520504212</v>
          </cell>
          <cell r="H2522" t="str">
            <v>DIST. LEWIS</v>
          </cell>
          <cell r="I2522">
            <v>0</v>
          </cell>
        </row>
        <row r="2523">
          <cell r="A2523" t="str">
            <v>19-02522</v>
          </cell>
          <cell r="B2523" t="str">
            <v>DIST. LEWIS</v>
          </cell>
          <cell r="C2523" t="str">
            <v>A</v>
          </cell>
          <cell r="D2523" t="str">
            <v>NO</v>
          </cell>
          <cell r="E2523" t="str">
            <v>CORRUPTORES, LOS ZEPETA PATTERSON</v>
          </cell>
          <cell r="F2523" t="str">
            <v>LIBRO</v>
          </cell>
          <cell r="G2523">
            <v>520513270</v>
          </cell>
          <cell r="H2523" t="str">
            <v>DIST. LEWIS</v>
          </cell>
          <cell r="I2523">
            <v>17.52</v>
          </cell>
        </row>
        <row r="2524">
          <cell r="A2524" t="str">
            <v>19-02523</v>
          </cell>
          <cell r="B2524" t="str">
            <v>DIST. LEWIS</v>
          </cell>
          <cell r="C2524" t="str">
            <v>A</v>
          </cell>
          <cell r="D2524" t="str">
            <v>SI</v>
          </cell>
          <cell r="E2524" t="str">
            <v>¡HOLA! ESPECIAL VIAJES (ESPANA)</v>
          </cell>
          <cell r="F2524" t="str">
            <v>MAGAZINE</v>
          </cell>
          <cell r="G2524">
            <v>932001</v>
          </cell>
          <cell r="H2524" t="str">
            <v>DIST. LEWIS</v>
          </cell>
          <cell r="I2524">
            <v>0</v>
          </cell>
        </row>
        <row r="2525">
          <cell r="A2525" t="str">
            <v>19-02524</v>
          </cell>
          <cell r="B2525" t="str">
            <v>DIST. LEWIS</v>
          </cell>
          <cell r="C2525" t="str">
            <v>A</v>
          </cell>
          <cell r="D2525" t="str">
            <v>SI</v>
          </cell>
          <cell r="E2525" t="str">
            <v>¡HOLA! FASHION (ESPANA)</v>
          </cell>
          <cell r="F2525" t="str">
            <v>MAGAZINE</v>
          </cell>
          <cell r="G2525" t="str">
            <v>HOLAFASH</v>
          </cell>
          <cell r="H2525" t="str">
            <v>DIST. LEWIS</v>
          </cell>
          <cell r="I2525">
            <v>0</v>
          </cell>
        </row>
        <row r="2526">
          <cell r="A2526" t="str">
            <v>19-02525</v>
          </cell>
          <cell r="B2526" t="str">
            <v>DIST. LEWIS</v>
          </cell>
          <cell r="C2526" t="str">
            <v>A</v>
          </cell>
          <cell r="D2526" t="str">
            <v>SI</v>
          </cell>
          <cell r="E2526" t="str">
            <v>FLORIDA DESIGN (EE.UU. - EN ESPANOL)</v>
          </cell>
          <cell r="F2526" t="str">
            <v>MAGAZINE</v>
          </cell>
          <cell r="G2526">
            <v>36909</v>
          </cell>
          <cell r="H2526" t="str">
            <v>DIST. LEWIS</v>
          </cell>
          <cell r="I2526">
            <v>0</v>
          </cell>
        </row>
        <row r="2527">
          <cell r="A2527" t="str">
            <v>19-02526</v>
          </cell>
          <cell r="B2527" t="str">
            <v>DIST. LEWIS</v>
          </cell>
          <cell r="C2527" t="str">
            <v>D</v>
          </cell>
          <cell r="D2527" t="str">
            <v>N/A</v>
          </cell>
          <cell r="E2527" t="str">
            <v>PEOPLE (EE.UU. - EN ESPANOL) DISCONTINUED</v>
          </cell>
          <cell r="F2527" t="str">
            <v>MAGAZINE</v>
          </cell>
          <cell r="G2527">
            <v>10229</v>
          </cell>
          <cell r="H2527" t="str">
            <v>DIST. LEWIS</v>
          </cell>
          <cell r="I2527">
            <v>0</v>
          </cell>
        </row>
        <row r="2528">
          <cell r="A2528" t="str">
            <v>19-02527</v>
          </cell>
          <cell r="B2528" t="str">
            <v>DIST. LEWIS</v>
          </cell>
          <cell r="C2528" t="str">
            <v>A</v>
          </cell>
          <cell r="D2528" t="str">
            <v>SI</v>
          </cell>
          <cell r="E2528" t="str">
            <v>ACTION COMICS II</v>
          </cell>
          <cell r="F2528" t="str">
            <v>MAGAZINE</v>
          </cell>
          <cell r="G2528">
            <v>30410</v>
          </cell>
          <cell r="H2528" t="str">
            <v>DIST. LEWIS</v>
          </cell>
          <cell r="I2528">
            <v>0</v>
          </cell>
        </row>
        <row r="2529">
          <cell r="A2529" t="str">
            <v>19-02528</v>
          </cell>
          <cell r="B2529" t="str">
            <v>DIST. LEWIS</v>
          </cell>
          <cell r="C2529" t="str">
            <v>A</v>
          </cell>
          <cell r="D2529" t="str">
            <v>SI</v>
          </cell>
          <cell r="E2529" t="str">
            <v>AMERICAN SCIENTIST</v>
          </cell>
          <cell r="F2529" t="str">
            <v>MAGAZINE</v>
          </cell>
          <cell r="G2529">
            <v>3140</v>
          </cell>
          <cell r="H2529" t="str">
            <v>DIST. LEWIS</v>
          </cell>
          <cell r="I2529">
            <v>0</v>
          </cell>
        </row>
        <row r="2530">
          <cell r="A2530" t="str">
            <v>19-02529</v>
          </cell>
          <cell r="B2530" t="str">
            <v>DIST. LEWIS</v>
          </cell>
          <cell r="C2530" t="str">
            <v>A</v>
          </cell>
          <cell r="D2530" t="str">
            <v>SI</v>
          </cell>
          <cell r="E2530" t="str">
            <v>ARCHIE</v>
          </cell>
          <cell r="F2530" t="str">
            <v>MAGAZINE</v>
          </cell>
          <cell r="G2530">
            <v>46747</v>
          </cell>
          <cell r="H2530" t="str">
            <v>DIST. LEWIS</v>
          </cell>
          <cell r="I2530">
            <v>0</v>
          </cell>
        </row>
        <row r="2531">
          <cell r="A2531" t="str">
            <v>19-02530</v>
          </cell>
          <cell r="B2531" t="str">
            <v>DIST. LEWIS</v>
          </cell>
          <cell r="C2531" t="str">
            <v>A</v>
          </cell>
          <cell r="D2531" t="str">
            <v>SI</v>
          </cell>
          <cell r="E2531" t="str">
            <v>ARCHIE &amp; FRIENDS</v>
          </cell>
          <cell r="F2531" t="str">
            <v>MAGAZINE</v>
          </cell>
          <cell r="G2531">
            <v>46965</v>
          </cell>
          <cell r="H2531" t="str">
            <v>DIST. LEWIS</v>
          </cell>
          <cell r="I2531">
            <v>0</v>
          </cell>
        </row>
        <row r="2532">
          <cell r="A2532" t="str">
            <v>19-02531</v>
          </cell>
          <cell r="B2532" t="str">
            <v>DIST. LEWIS</v>
          </cell>
          <cell r="C2532" t="str">
            <v>A</v>
          </cell>
          <cell r="D2532" t="str">
            <v>SI</v>
          </cell>
          <cell r="E2532" t="str">
            <v>AVIATION HISTORY</v>
          </cell>
          <cell r="F2532" t="str">
            <v>MAGAZINE</v>
          </cell>
          <cell r="G2532">
            <v>64651</v>
          </cell>
          <cell r="H2532" t="str">
            <v>DIST. LEWIS</v>
          </cell>
          <cell r="I2532">
            <v>6.36</v>
          </cell>
        </row>
        <row r="2533">
          <cell r="A2533" t="str">
            <v>19-02532</v>
          </cell>
          <cell r="B2533" t="str">
            <v>DIST. LEWIS</v>
          </cell>
          <cell r="C2533" t="str">
            <v>A</v>
          </cell>
          <cell r="D2533" t="str">
            <v>SI</v>
          </cell>
          <cell r="E2533" t="str">
            <v>BHG - KITCHEN &amp; BATH IDEAS / GARDENING</v>
          </cell>
          <cell r="F2533" t="str">
            <v>MAGAZINE</v>
          </cell>
          <cell r="G2533">
            <v>14422</v>
          </cell>
          <cell r="H2533" t="str">
            <v>DIST. LEWIS</v>
          </cell>
          <cell r="I2533">
            <v>0</v>
          </cell>
        </row>
        <row r="2534">
          <cell r="A2534" t="str">
            <v>19-02533</v>
          </cell>
          <cell r="B2534" t="str">
            <v>DIST. LEWIS</v>
          </cell>
          <cell r="C2534" t="str">
            <v>A</v>
          </cell>
          <cell r="D2534" t="str">
            <v>SI</v>
          </cell>
          <cell r="E2534" t="str">
            <v>BHG – KITCHEN + BATH MAKEOVERS</v>
          </cell>
          <cell r="F2534" t="str">
            <v>MAGAZINE</v>
          </cell>
          <cell r="G2534">
            <v>14071</v>
          </cell>
          <cell r="H2534" t="str">
            <v>DIST. LEWIS</v>
          </cell>
          <cell r="I2534">
            <v>0</v>
          </cell>
        </row>
        <row r="2535">
          <cell r="A2535" t="str">
            <v>19-02534</v>
          </cell>
          <cell r="B2535" t="str">
            <v>DIST. LEWIS</v>
          </cell>
          <cell r="C2535" t="str">
            <v>A</v>
          </cell>
          <cell r="D2535" t="str">
            <v>SI</v>
          </cell>
          <cell r="E2535" t="str">
            <v>BHG COUNTRY GARDENS</v>
          </cell>
          <cell r="F2535" t="str">
            <v>MAGAZINE</v>
          </cell>
          <cell r="G2535">
            <v>14205</v>
          </cell>
          <cell r="H2535" t="str">
            <v>DIST. LEWIS</v>
          </cell>
          <cell r="I2535">
            <v>0</v>
          </cell>
        </row>
        <row r="2536">
          <cell r="A2536" t="str">
            <v>19-02535</v>
          </cell>
          <cell r="B2536" t="str">
            <v>DIST. LEWIS</v>
          </cell>
          <cell r="C2536" t="str">
            <v>A</v>
          </cell>
          <cell r="D2536" t="str">
            <v>SI</v>
          </cell>
          <cell r="E2536" t="str">
            <v>BICYCLING</v>
          </cell>
          <cell r="F2536" t="str">
            <v>MAGAZINE</v>
          </cell>
          <cell r="G2536">
            <v>2567</v>
          </cell>
          <cell r="H2536" t="str">
            <v>DIST. LEWIS</v>
          </cell>
          <cell r="I2536">
            <v>0</v>
          </cell>
        </row>
        <row r="2537">
          <cell r="A2537" t="str">
            <v>19-02536</v>
          </cell>
          <cell r="B2537" t="str">
            <v>DIST. LEWIS</v>
          </cell>
          <cell r="C2537" t="str">
            <v>A</v>
          </cell>
          <cell r="D2537" t="str">
            <v>SI</v>
          </cell>
          <cell r="E2537" t="str">
            <v>BRIDAL GUIDE - BIMENSUAL</v>
          </cell>
          <cell r="F2537" t="str">
            <v>MAGAZINE</v>
          </cell>
          <cell r="G2537">
            <v>6143</v>
          </cell>
          <cell r="H2537" t="str">
            <v>DIST. LEWIS</v>
          </cell>
          <cell r="I2537">
            <v>6.36</v>
          </cell>
        </row>
        <row r="2538">
          <cell r="A2538" t="str">
            <v>19-02537</v>
          </cell>
          <cell r="B2538" t="str">
            <v>DIST. LEWIS</v>
          </cell>
          <cell r="C2538" t="str">
            <v>A</v>
          </cell>
          <cell r="D2538" t="str">
            <v>SI</v>
          </cell>
          <cell r="E2538" t="str">
            <v>CAR CRAFT</v>
          </cell>
          <cell r="F2538" t="str">
            <v>MAGAZINE</v>
          </cell>
          <cell r="G2538">
            <v>34801</v>
          </cell>
          <cell r="H2538" t="str">
            <v>DIST. LEWIS</v>
          </cell>
          <cell r="I2538">
            <v>0</v>
          </cell>
        </row>
        <row r="2539">
          <cell r="A2539" t="str">
            <v>19-02538</v>
          </cell>
          <cell r="B2539" t="str">
            <v>DIST. LEWIS</v>
          </cell>
          <cell r="C2539" t="str">
            <v>A</v>
          </cell>
          <cell r="D2539" t="str">
            <v>SI</v>
          </cell>
          <cell r="E2539" t="str">
            <v>CELEBRITY - HAIRSTYLES REG.</v>
          </cell>
          <cell r="F2539" t="str">
            <v>MAGAZINE</v>
          </cell>
          <cell r="G2539">
            <v>2623</v>
          </cell>
          <cell r="H2539" t="str">
            <v>DIST. LEWIS</v>
          </cell>
          <cell r="I2539">
            <v>0</v>
          </cell>
        </row>
        <row r="2540">
          <cell r="A2540" t="str">
            <v>19-02539</v>
          </cell>
          <cell r="B2540" t="str">
            <v>DIST. LEWIS</v>
          </cell>
          <cell r="C2540" t="str">
            <v>A</v>
          </cell>
          <cell r="D2540" t="str">
            <v>SI</v>
          </cell>
          <cell r="E2540" t="str">
            <v>COSMOPOLITAN II</v>
          </cell>
          <cell r="F2540" t="str">
            <v>MAGAZINE</v>
          </cell>
          <cell r="G2540">
            <v>8233</v>
          </cell>
          <cell r="H2540" t="str">
            <v>DIST. LEWIS</v>
          </cell>
          <cell r="I2540">
            <v>0</v>
          </cell>
        </row>
        <row r="2541">
          <cell r="A2541" t="str">
            <v>19-02540</v>
          </cell>
          <cell r="B2541" t="str">
            <v>DIST. LEWIS</v>
          </cell>
          <cell r="C2541" t="str">
            <v>A</v>
          </cell>
          <cell r="D2541" t="str">
            <v>SI</v>
          </cell>
          <cell r="E2541" t="str">
            <v>CYCLE WORLD</v>
          </cell>
          <cell r="F2541" t="str">
            <v>MAGAZINE</v>
          </cell>
          <cell r="G2541">
            <v>71255</v>
          </cell>
          <cell r="H2541" t="str">
            <v>DIST. LEWIS</v>
          </cell>
          <cell r="I2541">
            <v>0</v>
          </cell>
        </row>
        <row r="2542">
          <cell r="A2542" t="str">
            <v>19-02541</v>
          </cell>
          <cell r="B2542" t="str">
            <v>DIST. LEWIS</v>
          </cell>
          <cell r="C2542" t="str">
            <v>A</v>
          </cell>
          <cell r="D2542" t="str">
            <v>SI</v>
          </cell>
          <cell r="E2542" t="str">
            <v>DC ACTION COMICS</v>
          </cell>
          <cell r="F2542" t="str">
            <v>MAGAZINE</v>
          </cell>
          <cell r="G2542">
            <v>30410</v>
          </cell>
          <cell r="H2542" t="str">
            <v>DIST. LEWIS</v>
          </cell>
          <cell r="I2542">
            <v>0</v>
          </cell>
        </row>
        <row r="2543">
          <cell r="A2543" t="str">
            <v>19-02542</v>
          </cell>
          <cell r="B2543" t="str">
            <v>DIST. LEWIS</v>
          </cell>
          <cell r="C2543" t="str">
            <v>A</v>
          </cell>
          <cell r="D2543" t="str">
            <v>SI</v>
          </cell>
          <cell r="E2543" t="str">
            <v>DC ACTION COMICS SPECIAL</v>
          </cell>
          <cell r="F2543" t="str">
            <v>MAGAZINE</v>
          </cell>
          <cell r="G2543">
            <v>30410</v>
          </cell>
          <cell r="H2543" t="str">
            <v>DIST. LEWIS</v>
          </cell>
          <cell r="I2543">
            <v>0</v>
          </cell>
        </row>
        <row r="2544">
          <cell r="A2544" t="str">
            <v>19-02543</v>
          </cell>
          <cell r="B2544" t="str">
            <v>DIST. LEWIS</v>
          </cell>
          <cell r="C2544" t="str">
            <v>A</v>
          </cell>
          <cell r="D2544" t="str">
            <v>SI</v>
          </cell>
          <cell r="E2544" t="str">
            <v>DC BATMAN DETECTIVE COMICS</v>
          </cell>
          <cell r="F2544" t="str">
            <v>MAGAZINE</v>
          </cell>
          <cell r="G2544">
            <v>30465</v>
          </cell>
          <cell r="H2544" t="str">
            <v>DIST. LEWIS</v>
          </cell>
          <cell r="I2544">
            <v>0</v>
          </cell>
        </row>
        <row r="2545">
          <cell r="A2545" t="str">
            <v>19-02544</v>
          </cell>
          <cell r="B2545" t="str">
            <v>DIST. LEWIS</v>
          </cell>
          <cell r="C2545" t="str">
            <v>A</v>
          </cell>
          <cell r="D2545" t="str">
            <v>SI</v>
          </cell>
          <cell r="E2545" t="str">
            <v>DC BATMAN DETECTIVE COMICS - ANNUAL</v>
          </cell>
          <cell r="F2545" t="str">
            <v>MAGAZINE</v>
          </cell>
          <cell r="G2545">
            <v>30465</v>
          </cell>
          <cell r="H2545" t="str">
            <v>DIST. LEWIS</v>
          </cell>
          <cell r="I2545">
            <v>0</v>
          </cell>
        </row>
        <row r="2546">
          <cell r="A2546" t="str">
            <v>19-02545</v>
          </cell>
          <cell r="B2546" t="str">
            <v>DIST. LEWIS</v>
          </cell>
          <cell r="C2546" t="str">
            <v>A</v>
          </cell>
          <cell r="D2546" t="str">
            <v>SI</v>
          </cell>
          <cell r="E2546" t="str">
            <v>DC JLA</v>
          </cell>
          <cell r="F2546" t="str">
            <v>MAGAZINE</v>
          </cell>
          <cell r="G2546">
            <v>30555</v>
          </cell>
          <cell r="H2546" t="str">
            <v>DIST. LEWIS</v>
          </cell>
          <cell r="I2546">
            <v>0</v>
          </cell>
        </row>
        <row r="2547">
          <cell r="A2547" t="str">
            <v>19-02546</v>
          </cell>
          <cell r="B2547" t="str">
            <v>DIST. LEWIS</v>
          </cell>
          <cell r="C2547" t="str">
            <v>A</v>
          </cell>
          <cell r="D2547" t="str">
            <v>SI</v>
          </cell>
          <cell r="E2547" t="str">
            <v>DC SCOOBY-DOO</v>
          </cell>
          <cell r="F2547" t="str">
            <v>MAGAZINE</v>
          </cell>
          <cell r="G2547">
            <v>30947</v>
          </cell>
          <cell r="H2547" t="str">
            <v>DIST. LEWIS</v>
          </cell>
          <cell r="I2547">
            <v>0</v>
          </cell>
        </row>
        <row r="2548">
          <cell r="A2548" t="str">
            <v>19-02547</v>
          </cell>
          <cell r="B2548" t="str">
            <v>DIST. LEWIS</v>
          </cell>
          <cell r="C2548" t="str">
            <v>A</v>
          </cell>
          <cell r="D2548" t="str">
            <v>SI</v>
          </cell>
          <cell r="E2548" t="str">
            <v>DC SUPERGIRL</v>
          </cell>
          <cell r="F2548" t="str">
            <v>MAGAZINE</v>
          </cell>
          <cell r="G2548">
            <v>30706</v>
          </cell>
          <cell r="H2548" t="str">
            <v>DIST. LEWIS</v>
          </cell>
          <cell r="I2548">
            <v>0</v>
          </cell>
        </row>
        <row r="2549">
          <cell r="A2549" t="str">
            <v>19-02548</v>
          </cell>
          <cell r="B2549" t="str">
            <v>DIST. LEWIS</v>
          </cell>
          <cell r="C2549" t="str">
            <v>A</v>
          </cell>
          <cell r="D2549" t="str">
            <v>SI</v>
          </cell>
          <cell r="E2549" t="str">
            <v>DELL – FUN TO SOLVE CROSSWORDS</v>
          </cell>
          <cell r="F2549" t="str">
            <v>MAGAZINE</v>
          </cell>
          <cell r="G2549">
            <v>8578</v>
          </cell>
          <cell r="H2549" t="str">
            <v>DIST. LEWIS</v>
          </cell>
          <cell r="I2549">
            <v>0</v>
          </cell>
        </row>
        <row r="2550">
          <cell r="A2550" t="str">
            <v>19-02549</v>
          </cell>
          <cell r="B2550" t="str">
            <v>DIST. LEWIS</v>
          </cell>
          <cell r="C2550" t="str">
            <v>A</v>
          </cell>
          <cell r="D2550" t="str">
            <v>SI</v>
          </cell>
          <cell r="E2550" t="str">
            <v>DELL – ORIGINAL SUDOKU</v>
          </cell>
          <cell r="F2550" t="str">
            <v>MAGAZINE</v>
          </cell>
          <cell r="G2550">
            <v>8296</v>
          </cell>
          <cell r="H2550" t="str">
            <v>DIST. LEWIS</v>
          </cell>
          <cell r="I2550">
            <v>0</v>
          </cell>
        </row>
        <row r="2551">
          <cell r="A2551" t="str">
            <v>19-02550</v>
          </cell>
          <cell r="B2551" t="str">
            <v>DIST. LEWIS</v>
          </cell>
          <cell r="C2551" t="str">
            <v>A</v>
          </cell>
          <cell r="D2551" t="str">
            <v>SI</v>
          </cell>
          <cell r="E2551" t="str">
            <v>DELL – ORIGINAL SUDOKU SPECIAL</v>
          </cell>
          <cell r="F2551" t="str">
            <v>MAGAZINE</v>
          </cell>
          <cell r="G2551">
            <v>8296</v>
          </cell>
          <cell r="H2551" t="str">
            <v>DIST. LEWIS</v>
          </cell>
          <cell r="I2551">
            <v>0</v>
          </cell>
        </row>
        <row r="2552">
          <cell r="A2552" t="str">
            <v>19-02551</v>
          </cell>
          <cell r="B2552" t="str">
            <v>DIST. LEWIS</v>
          </cell>
          <cell r="C2552" t="str">
            <v>A</v>
          </cell>
          <cell r="D2552" t="str">
            <v>SI</v>
          </cell>
          <cell r="E2552" t="str">
            <v>DELL – POCKET CROSSWORDS PUZZLES</v>
          </cell>
          <cell r="F2552" t="str">
            <v>MAGAZINE</v>
          </cell>
          <cell r="G2552">
            <v>8308</v>
          </cell>
          <cell r="H2552" t="str">
            <v>DIST. LEWIS</v>
          </cell>
          <cell r="I2552">
            <v>0</v>
          </cell>
        </row>
        <row r="2553">
          <cell r="A2553" t="str">
            <v>19-02552</v>
          </cell>
          <cell r="B2553" t="str">
            <v>DIST. LEWIS</v>
          </cell>
          <cell r="C2553" t="str">
            <v>D</v>
          </cell>
          <cell r="D2553" t="str">
            <v>N/A</v>
          </cell>
          <cell r="E2553" t="str">
            <v>DELL – PUZZLER'S WORD SEARCH DISCONTINUED</v>
          </cell>
          <cell r="F2553" t="str">
            <v>MAGAZINE</v>
          </cell>
          <cell r="G2553">
            <v>8446</v>
          </cell>
          <cell r="H2553" t="str">
            <v>DIST. LEWIS</v>
          </cell>
          <cell r="I2553">
            <v>3.4</v>
          </cell>
        </row>
        <row r="2554">
          <cell r="A2554" t="str">
            <v>19-02553</v>
          </cell>
          <cell r="B2554" t="str">
            <v>DIST. LEWIS</v>
          </cell>
          <cell r="C2554" t="str">
            <v>A</v>
          </cell>
          <cell r="D2554" t="str">
            <v>SI</v>
          </cell>
          <cell r="E2554" t="str">
            <v>DELL – SOLVER CHOICE – PENCIL VARIETY PUZZLES</v>
          </cell>
          <cell r="F2554" t="str">
            <v>MAGAZINE</v>
          </cell>
          <cell r="G2554">
            <v>8307</v>
          </cell>
          <cell r="H2554" t="str">
            <v>DIST. LEWIS</v>
          </cell>
          <cell r="I2554">
            <v>0</v>
          </cell>
        </row>
        <row r="2555">
          <cell r="A2555" t="str">
            <v>19-02554</v>
          </cell>
          <cell r="B2555" t="str">
            <v>DIST. LEWIS</v>
          </cell>
          <cell r="C2555" t="str">
            <v>A</v>
          </cell>
          <cell r="D2555" t="str">
            <v>SI</v>
          </cell>
          <cell r="E2555" t="str">
            <v>DELL – SOLVER CHOICE – PENCIL VARIETY PUZZLES II</v>
          </cell>
          <cell r="F2555" t="str">
            <v>MAGAZINE</v>
          </cell>
          <cell r="G2555">
            <v>8307</v>
          </cell>
          <cell r="H2555" t="str">
            <v>DIST. LEWIS</v>
          </cell>
          <cell r="I2555">
            <v>0</v>
          </cell>
        </row>
        <row r="2556">
          <cell r="A2556" t="str">
            <v>19-02555</v>
          </cell>
          <cell r="B2556" t="str">
            <v>DIST. LEWIS</v>
          </cell>
          <cell r="C2556" t="str">
            <v>A</v>
          </cell>
          <cell r="D2556" t="str">
            <v>SI</v>
          </cell>
          <cell r="E2556" t="str">
            <v>DELL – TOTALLY SUDOKU</v>
          </cell>
          <cell r="F2556" t="str">
            <v>MAGAZINE</v>
          </cell>
          <cell r="G2556">
            <v>8007</v>
          </cell>
          <cell r="H2556" t="str">
            <v>DIST. LEWIS</v>
          </cell>
          <cell r="I2556">
            <v>0</v>
          </cell>
        </row>
        <row r="2557">
          <cell r="A2557" t="str">
            <v>19-02556</v>
          </cell>
          <cell r="B2557" t="str">
            <v>DIST. LEWIS</v>
          </cell>
          <cell r="C2557" t="str">
            <v>A</v>
          </cell>
          <cell r="D2557" t="str">
            <v>SI</v>
          </cell>
          <cell r="E2557" t="str">
            <v>DELL – TOTALLY SUDOKU II</v>
          </cell>
          <cell r="F2557" t="str">
            <v>MAGAZINE</v>
          </cell>
          <cell r="G2557">
            <v>8007</v>
          </cell>
          <cell r="H2557" t="str">
            <v>DIST. LEWIS</v>
          </cell>
          <cell r="I2557">
            <v>0</v>
          </cell>
        </row>
        <row r="2558">
          <cell r="A2558" t="str">
            <v>19-02557</v>
          </cell>
          <cell r="B2558" t="str">
            <v>DIST. LEWIS</v>
          </cell>
          <cell r="C2558" t="str">
            <v>A</v>
          </cell>
          <cell r="D2558" t="str">
            <v>SI</v>
          </cell>
          <cell r="E2558" t="str">
            <v>DIGITAL PHOTO</v>
          </cell>
          <cell r="F2558" t="str">
            <v>MAGAZINE</v>
          </cell>
          <cell r="G2558">
            <v>3835</v>
          </cell>
          <cell r="H2558" t="str">
            <v>DIST. LEWIS</v>
          </cell>
          <cell r="I2558">
            <v>0</v>
          </cell>
        </row>
        <row r="2559">
          <cell r="A2559" t="str">
            <v>19-02558</v>
          </cell>
          <cell r="B2559" t="str">
            <v>DIST. LEWIS</v>
          </cell>
          <cell r="C2559" t="str">
            <v>A</v>
          </cell>
          <cell r="D2559" t="str">
            <v>SI</v>
          </cell>
          <cell r="E2559" t="str">
            <v>DIRT BIKE</v>
          </cell>
          <cell r="F2559" t="str">
            <v>MAGAZINE</v>
          </cell>
          <cell r="G2559">
            <v>2977</v>
          </cell>
          <cell r="H2559" t="str">
            <v>DIST. LEWIS</v>
          </cell>
          <cell r="I2559">
            <v>0</v>
          </cell>
        </row>
        <row r="2560">
          <cell r="A2560" t="str">
            <v>19-02559</v>
          </cell>
          <cell r="B2560" t="str">
            <v>DIST. LEWIS</v>
          </cell>
          <cell r="C2560" t="str">
            <v>A</v>
          </cell>
          <cell r="D2560" t="str">
            <v>SI</v>
          </cell>
          <cell r="E2560" t="str">
            <v>DISCOVER MAGAZINE</v>
          </cell>
          <cell r="F2560" t="str">
            <v>MAGAZINE</v>
          </cell>
          <cell r="G2560">
            <v>1373</v>
          </cell>
          <cell r="H2560" t="str">
            <v>DIST. LEWIS</v>
          </cell>
          <cell r="I2560">
            <v>0</v>
          </cell>
        </row>
        <row r="2561">
          <cell r="A2561" t="str">
            <v>19-02560</v>
          </cell>
          <cell r="B2561" t="str">
            <v>DIST. LEWIS</v>
          </cell>
          <cell r="C2561" t="str">
            <v>A</v>
          </cell>
          <cell r="D2561" t="str">
            <v>SI</v>
          </cell>
          <cell r="E2561" t="str">
            <v>DISCOVER MAGAZINE ANNUAL</v>
          </cell>
          <cell r="F2561" t="str">
            <v>MAGAZINE</v>
          </cell>
          <cell r="G2561">
            <v>1373</v>
          </cell>
          <cell r="H2561" t="str">
            <v>DIST. LEWIS</v>
          </cell>
          <cell r="I2561">
            <v>0</v>
          </cell>
        </row>
        <row r="2562">
          <cell r="A2562" t="str">
            <v>19-02561</v>
          </cell>
          <cell r="B2562" t="str">
            <v>DIST. LEWIS</v>
          </cell>
          <cell r="C2562" t="str">
            <v>A</v>
          </cell>
          <cell r="D2562" t="str">
            <v>SI</v>
          </cell>
          <cell r="E2562" t="str">
            <v>ESSENCE</v>
          </cell>
          <cell r="F2562" t="str">
            <v>MAGAZINE</v>
          </cell>
          <cell r="G2562">
            <v>10360</v>
          </cell>
          <cell r="H2562" t="str">
            <v>DIST. LEWIS</v>
          </cell>
          <cell r="I2562">
            <v>0</v>
          </cell>
        </row>
        <row r="2563">
          <cell r="A2563" t="str">
            <v>19-02562</v>
          </cell>
          <cell r="B2563" t="str">
            <v>DIST. LEWIS</v>
          </cell>
          <cell r="C2563" t="str">
            <v>A</v>
          </cell>
          <cell r="D2563" t="str">
            <v>SI</v>
          </cell>
          <cell r="E2563" t="str">
            <v>EXERCISE &amp; HEALTH</v>
          </cell>
          <cell r="F2563" t="str">
            <v>MAGAZINE</v>
          </cell>
          <cell r="G2563">
            <v>1330</v>
          </cell>
          <cell r="H2563" t="str">
            <v>DIST. LEWIS</v>
          </cell>
          <cell r="I2563">
            <v>0</v>
          </cell>
        </row>
        <row r="2564">
          <cell r="A2564" t="str">
            <v>19-02563</v>
          </cell>
          <cell r="B2564" t="str">
            <v>DIST. LEWIS</v>
          </cell>
          <cell r="C2564" t="str">
            <v>A</v>
          </cell>
          <cell r="D2564" t="str">
            <v>SI</v>
          </cell>
          <cell r="E2564" t="str">
            <v>FORBES SPECIAL (TRIMESTRAL)</v>
          </cell>
          <cell r="F2564" t="str">
            <v>MAGAZINE</v>
          </cell>
          <cell r="G2564">
            <v>1639</v>
          </cell>
          <cell r="H2564" t="str">
            <v>DIST. LEWIS</v>
          </cell>
          <cell r="I2564">
            <v>7.16</v>
          </cell>
        </row>
        <row r="2565">
          <cell r="A2565" t="str">
            <v>19-02564</v>
          </cell>
          <cell r="B2565" t="str">
            <v>DIST. LEWIS</v>
          </cell>
          <cell r="C2565" t="str">
            <v>A</v>
          </cell>
          <cell r="D2565" t="str">
            <v>SI</v>
          </cell>
          <cell r="E2565" t="str">
            <v>FUTURAMA COMICS</v>
          </cell>
          <cell r="F2565" t="str">
            <v>MAGAZINE</v>
          </cell>
          <cell r="G2565">
            <v>2859</v>
          </cell>
          <cell r="H2565" t="str">
            <v>DIST. LEWIS</v>
          </cell>
          <cell r="I2565">
            <v>0</v>
          </cell>
        </row>
        <row r="2566">
          <cell r="A2566" t="str">
            <v>19-02565</v>
          </cell>
          <cell r="B2566" t="str">
            <v>DIST. LEWIS</v>
          </cell>
          <cell r="C2566" t="str">
            <v>A</v>
          </cell>
          <cell r="D2566" t="str">
            <v>SI</v>
          </cell>
          <cell r="E2566" t="str">
            <v>FUTURAMA COMICS / SIMPSONS COMICS</v>
          </cell>
          <cell r="F2566" t="str">
            <v>MAGAZINE</v>
          </cell>
          <cell r="G2566">
            <v>2859</v>
          </cell>
          <cell r="H2566" t="str">
            <v>DIST. LEWIS</v>
          </cell>
          <cell r="I2566">
            <v>0</v>
          </cell>
        </row>
        <row r="2567">
          <cell r="A2567" t="str">
            <v>19-02566</v>
          </cell>
          <cell r="B2567" t="str">
            <v>DIST. LEWIS</v>
          </cell>
          <cell r="C2567" t="str">
            <v>A</v>
          </cell>
          <cell r="D2567" t="str">
            <v>SI</v>
          </cell>
          <cell r="E2567" t="str">
            <v>GOLF TIPS (ANNUAL / GUIDE)</v>
          </cell>
          <cell r="F2567" t="str">
            <v>MAGAZINE</v>
          </cell>
          <cell r="G2567">
            <v>64931</v>
          </cell>
          <cell r="H2567" t="str">
            <v>DIST. LEWIS</v>
          </cell>
          <cell r="I2567">
            <v>5.56</v>
          </cell>
        </row>
        <row r="2568">
          <cell r="A2568" t="str">
            <v>19-02567</v>
          </cell>
          <cell r="B2568" t="str">
            <v>DIST. LEWIS</v>
          </cell>
          <cell r="C2568" t="str">
            <v>A</v>
          </cell>
          <cell r="D2568" t="str">
            <v>SI</v>
          </cell>
          <cell r="E2568" t="str">
            <v>HARPER'S BAZAAR</v>
          </cell>
          <cell r="F2568" t="str">
            <v>MAGAZINE</v>
          </cell>
          <cell r="G2568">
            <v>8390</v>
          </cell>
          <cell r="H2568" t="str">
            <v>DIST. LEWIS</v>
          </cell>
          <cell r="I2568">
            <v>6.36</v>
          </cell>
        </row>
        <row r="2569">
          <cell r="A2569" t="str">
            <v>19-02568</v>
          </cell>
          <cell r="B2569" t="str">
            <v>DIST. LEWIS</v>
          </cell>
          <cell r="C2569" t="str">
            <v>A</v>
          </cell>
          <cell r="D2569" t="str">
            <v>SI</v>
          </cell>
          <cell r="E2569" t="str">
            <v>INKED</v>
          </cell>
          <cell r="F2569" t="str">
            <v>MAGAZINE</v>
          </cell>
          <cell r="G2569">
            <v>47300</v>
          </cell>
          <cell r="H2569" t="str">
            <v>DIST. LEWIS</v>
          </cell>
          <cell r="I2569">
            <v>0</v>
          </cell>
        </row>
        <row r="2570">
          <cell r="A2570" t="str">
            <v>19-02569</v>
          </cell>
          <cell r="B2570" t="str">
            <v>DIST. LEWIS</v>
          </cell>
          <cell r="C2570" t="str">
            <v>A</v>
          </cell>
          <cell r="D2570" t="str">
            <v>SI</v>
          </cell>
          <cell r="E2570" t="str">
            <v>INSIDE WEDDINGS</v>
          </cell>
          <cell r="F2570" t="str">
            <v>MAGAZINE</v>
          </cell>
          <cell r="G2570">
            <v>1715</v>
          </cell>
          <cell r="H2570" t="str">
            <v>DIST. LEWIS</v>
          </cell>
          <cell r="I2570">
            <v>0</v>
          </cell>
        </row>
        <row r="2571">
          <cell r="A2571" t="str">
            <v>19-02570</v>
          </cell>
          <cell r="B2571" t="str">
            <v>DIST. LEWIS</v>
          </cell>
          <cell r="C2571" t="str">
            <v>A</v>
          </cell>
          <cell r="D2571" t="str">
            <v>SI</v>
          </cell>
          <cell r="E2571" t="str">
            <v>LADIES HOME JOURNAL</v>
          </cell>
          <cell r="F2571" t="str">
            <v>MAGAZINE</v>
          </cell>
          <cell r="G2571">
            <v>14150</v>
          </cell>
          <cell r="H2571" t="str">
            <v>DIST. LEWIS</v>
          </cell>
          <cell r="I2571">
            <v>0</v>
          </cell>
        </row>
        <row r="2572">
          <cell r="A2572" t="str">
            <v>19-02571</v>
          </cell>
          <cell r="B2572" t="str">
            <v>DIST. LEWIS</v>
          </cell>
          <cell r="C2572" t="str">
            <v>A</v>
          </cell>
          <cell r="D2572" t="str">
            <v>SI</v>
          </cell>
          <cell r="E2572" t="str">
            <v>MARIE CLAIRE II</v>
          </cell>
          <cell r="F2572" t="str">
            <v>MAGAZINE</v>
          </cell>
          <cell r="G2572">
            <v>8530</v>
          </cell>
          <cell r="H2572" t="str">
            <v>DIST. LEWIS</v>
          </cell>
          <cell r="I2572">
            <v>5.56</v>
          </cell>
        </row>
        <row r="2573">
          <cell r="A2573" t="str">
            <v>19-02572</v>
          </cell>
          <cell r="B2573" t="str">
            <v>DIST. LEWIS</v>
          </cell>
          <cell r="C2573" t="str">
            <v>A</v>
          </cell>
          <cell r="D2573" t="str">
            <v>SI</v>
          </cell>
          <cell r="E2573" t="str">
            <v>MARTHA STEWART LIVING</v>
          </cell>
          <cell r="F2573" t="str">
            <v>MAGAZINE</v>
          </cell>
          <cell r="G2573">
            <v>10150</v>
          </cell>
          <cell r="H2573" t="str">
            <v>DIST. LEWIS</v>
          </cell>
          <cell r="I2573">
            <v>4.4000000000000004</v>
          </cell>
        </row>
        <row r="2574">
          <cell r="A2574" t="str">
            <v>19-02573</v>
          </cell>
          <cell r="B2574" t="str">
            <v>DIST. LEWIS</v>
          </cell>
          <cell r="C2574" t="str">
            <v>A</v>
          </cell>
          <cell r="D2574" t="str">
            <v>SI</v>
          </cell>
          <cell r="E2574" t="str">
            <v>PARENTS</v>
          </cell>
          <cell r="F2574" t="str">
            <v>MAGAZINE</v>
          </cell>
          <cell r="G2574">
            <v>14174</v>
          </cell>
          <cell r="H2574" t="str">
            <v>DIST. LEWIS</v>
          </cell>
          <cell r="I2574">
            <v>0</v>
          </cell>
        </row>
        <row r="2575">
          <cell r="A2575" t="str">
            <v>19-02574</v>
          </cell>
          <cell r="B2575" t="str">
            <v>DIST. LEWIS</v>
          </cell>
          <cell r="C2575" t="str">
            <v>A</v>
          </cell>
          <cell r="D2575" t="str">
            <v>SI</v>
          </cell>
          <cell r="E2575" t="str">
            <v>PLAYBOY INTERNATIONAL</v>
          </cell>
          <cell r="F2575" t="str">
            <v>MAGAZINE</v>
          </cell>
          <cell r="G2575">
            <v>47073</v>
          </cell>
          <cell r="H2575" t="str">
            <v>DIST. LEWIS</v>
          </cell>
          <cell r="I2575">
            <v>0</v>
          </cell>
        </row>
        <row r="2576">
          <cell r="A2576" t="str">
            <v>19-02575</v>
          </cell>
          <cell r="B2576" t="str">
            <v>DIST. LEWIS</v>
          </cell>
          <cell r="C2576" t="str">
            <v>A</v>
          </cell>
          <cell r="D2576" t="str">
            <v>SI</v>
          </cell>
          <cell r="E2576" t="str">
            <v>POPULAR MECHANICS II</v>
          </cell>
          <cell r="F2576" t="str">
            <v>MAGAZINE</v>
          </cell>
          <cell r="G2576">
            <v>8638</v>
          </cell>
          <cell r="H2576" t="str">
            <v>DIST. LEWIS</v>
          </cell>
          <cell r="I2576">
            <v>0</v>
          </cell>
        </row>
        <row r="2577">
          <cell r="A2577" t="str">
            <v>19-02576</v>
          </cell>
          <cell r="B2577" t="str">
            <v>DIST. LEWIS</v>
          </cell>
          <cell r="C2577" t="str">
            <v>A</v>
          </cell>
          <cell r="D2577" t="str">
            <v>SI</v>
          </cell>
          <cell r="E2577" t="str">
            <v>RIDE BMX</v>
          </cell>
          <cell r="F2577" t="str">
            <v>MAGAZINE</v>
          </cell>
          <cell r="G2577">
            <v>8830</v>
          </cell>
          <cell r="H2577" t="str">
            <v>DIST. LEWIS</v>
          </cell>
          <cell r="I2577">
            <v>0</v>
          </cell>
        </row>
        <row r="2578">
          <cell r="A2578" t="str">
            <v>19-02577</v>
          </cell>
          <cell r="B2578" t="str">
            <v>DIST. LEWIS</v>
          </cell>
          <cell r="C2578" t="str">
            <v>A</v>
          </cell>
          <cell r="D2578" t="str">
            <v>SI</v>
          </cell>
          <cell r="E2578" t="str">
            <v>ROAD RACER X</v>
          </cell>
          <cell r="F2578" t="str">
            <v>MAGAZINE</v>
          </cell>
          <cell r="G2578">
            <v>1992</v>
          </cell>
          <cell r="H2578" t="str">
            <v>DIST. LEWIS</v>
          </cell>
          <cell r="I2578">
            <v>0</v>
          </cell>
        </row>
        <row r="2579">
          <cell r="A2579" t="str">
            <v>19-02578</v>
          </cell>
          <cell r="B2579" t="str">
            <v>DIST. LEWIS</v>
          </cell>
          <cell r="C2579" t="str">
            <v>A</v>
          </cell>
          <cell r="D2579" t="str">
            <v>SI</v>
          </cell>
          <cell r="E2579" t="str">
            <v>RUNNER'S WORLD</v>
          </cell>
          <cell r="F2579" t="str">
            <v>MAGAZINE</v>
          </cell>
          <cell r="G2579">
            <v>2393</v>
          </cell>
          <cell r="H2579" t="str">
            <v>DIST. LEWIS</v>
          </cell>
          <cell r="I2579">
            <v>0</v>
          </cell>
        </row>
        <row r="2580">
          <cell r="A2580" t="str">
            <v>19-02579</v>
          </cell>
          <cell r="B2580" t="str">
            <v>DIST. LEWIS</v>
          </cell>
          <cell r="C2580" t="str">
            <v>A</v>
          </cell>
          <cell r="D2580" t="str">
            <v>SI</v>
          </cell>
          <cell r="E2580" t="str">
            <v>RUNNING TIMES</v>
          </cell>
          <cell r="F2580" t="str">
            <v>MAGAZINE</v>
          </cell>
          <cell r="G2580">
            <v>1097</v>
          </cell>
          <cell r="H2580" t="str">
            <v>DIST. LEWIS</v>
          </cell>
          <cell r="I2580">
            <v>0</v>
          </cell>
        </row>
        <row r="2581">
          <cell r="A2581" t="str">
            <v>19-02580</v>
          </cell>
          <cell r="B2581" t="str">
            <v>DIST. LEWIS</v>
          </cell>
          <cell r="C2581" t="str">
            <v>A</v>
          </cell>
          <cell r="D2581" t="str">
            <v>SI</v>
          </cell>
          <cell r="E2581" t="str">
            <v>SUCCESS</v>
          </cell>
          <cell r="F2581" t="str">
            <v>MAGAZINE</v>
          </cell>
          <cell r="G2581">
            <v>1047</v>
          </cell>
          <cell r="H2581" t="str">
            <v>DIST. LEWIS</v>
          </cell>
          <cell r="I2581">
            <v>0</v>
          </cell>
        </row>
        <row r="2582">
          <cell r="A2582" t="str">
            <v>19-02581</v>
          </cell>
          <cell r="B2582" t="str">
            <v>DIST. LEWIS</v>
          </cell>
          <cell r="C2582" t="str">
            <v>A</v>
          </cell>
          <cell r="D2582" t="str">
            <v>SI</v>
          </cell>
          <cell r="E2582" t="str">
            <v>SUPERMAN</v>
          </cell>
          <cell r="F2582" t="str">
            <v>MAGAZINE</v>
          </cell>
          <cell r="G2582">
            <v>30675</v>
          </cell>
          <cell r="H2582" t="str">
            <v>DIST. LEWIS</v>
          </cell>
          <cell r="I2582">
            <v>0</v>
          </cell>
        </row>
        <row r="2583">
          <cell r="A2583" t="str">
            <v>19-02582</v>
          </cell>
          <cell r="B2583" t="str">
            <v>DIST. LEWIS</v>
          </cell>
          <cell r="C2583" t="str">
            <v>A</v>
          </cell>
          <cell r="D2583" t="str">
            <v>SI</v>
          </cell>
          <cell r="E2583" t="str">
            <v>SURFER</v>
          </cell>
          <cell r="F2583" t="str">
            <v>MAGAZINE</v>
          </cell>
          <cell r="G2583">
            <v>34945</v>
          </cell>
          <cell r="H2583" t="str">
            <v>DIST. LEWIS</v>
          </cell>
          <cell r="I2583">
            <v>0</v>
          </cell>
        </row>
        <row r="2584">
          <cell r="A2584" t="str">
            <v>19-02583</v>
          </cell>
          <cell r="B2584" t="str">
            <v>DIST. LEWIS</v>
          </cell>
          <cell r="C2584" t="str">
            <v>A</v>
          </cell>
          <cell r="D2584" t="str">
            <v>SI</v>
          </cell>
          <cell r="E2584" t="str">
            <v>TATTOO FLASH</v>
          </cell>
          <cell r="F2584" t="str">
            <v>MAGAZINE</v>
          </cell>
          <cell r="G2584">
            <v>2594</v>
          </cell>
          <cell r="H2584" t="str">
            <v>DIST. LEWIS</v>
          </cell>
          <cell r="I2584">
            <v>0</v>
          </cell>
        </row>
        <row r="2585">
          <cell r="A2585" t="str">
            <v>19-02584</v>
          </cell>
          <cell r="B2585" t="str">
            <v>DIST. LEWIS</v>
          </cell>
          <cell r="C2585" t="str">
            <v>A</v>
          </cell>
          <cell r="D2585" t="str">
            <v>SI</v>
          </cell>
          <cell r="E2585" t="str">
            <v>THE FLASH</v>
          </cell>
          <cell r="F2585" t="str">
            <v>MAGAZINE</v>
          </cell>
          <cell r="G2585">
            <v>32222</v>
          </cell>
          <cell r="H2585" t="str">
            <v>DIST. LEWIS</v>
          </cell>
          <cell r="I2585">
            <v>0</v>
          </cell>
        </row>
        <row r="2586">
          <cell r="A2586" t="str">
            <v>19-02585</v>
          </cell>
          <cell r="B2586" t="str">
            <v>DIST. LEWIS</v>
          </cell>
          <cell r="C2586" t="str">
            <v>A</v>
          </cell>
          <cell r="D2586" t="str">
            <v>SI</v>
          </cell>
          <cell r="E2586" t="str">
            <v>VERANDA II</v>
          </cell>
          <cell r="F2586" t="str">
            <v>MAGAZINE</v>
          </cell>
          <cell r="G2586">
            <v>8785</v>
          </cell>
          <cell r="H2586" t="str">
            <v>DIST. LEWIS</v>
          </cell>
          <cell r="I2586">
            <v>0</v>
          </cell>
        </row>
        <row r="2587">
          <cell r="A2587" t="str">
            <v>19-02586</v>
          </cell>
          <cell r="B2587" t="str">
            <v>DIST. LEWIS</v>
          </cell>
          <cell r="C2587" t="str">
            <v>A</v>
          </cell>
          <cell r="D2587" t="str">
            <v>SI</v>
          </cell>
          <cell r="E2587" t="str">
            <v>CELEBRITY SKIN</v>
          </cell>
          <cell r="F2587" t="str">
            <v>MAGAZINE</v>
          </cell>
          <cell r="G2587">
            <v>1179</v>
          </cell>
          <cell r="H2587" t="str">
            <v>DIST. LEWIS</v>
          </cell>
          <cell r="I2587">
            <v>0</v>
          </cell>
        </row>
        <row r="2588">
          <cell r="A2588" t="str">
            <v>19-02587</v>
          </cell>
          <cell r="B2588" t="str">
            <v>DIST. LEWIS</v>
          </cell>
          <cell r="C2588" t="str">
            <v>A</v>
          </cell>
          <cell r="D2588" t="str">
            <v>SI</v>
          </cell>
          <cell r="E2588" t="str">
            <v>ARCHIE COMICS ANNUAL</v>
          </cell>
          <cell r="F2588" t="str">
            <v>MAGAZINE</v>
          </cell>
          <cell r="G2588">
            <v>46951</v>
          </cell>
          <cell r="H2588" t="str">
            <v>DIST. LEWIS</v>
          </cell>
          <cell r="I2588">
            <v>0</v>
          </cell>
        </row>
        <row r="2589">
          <cell r="A2589" t="str">
            <v>19-02588</v>
          </cell>
          <cell r="B2589" t="str">
            <v>DIST. LEWIS</v>
          </cell>
          <cell r="C2589" t="str">
            <v>A</v>
          </cell>
          <cell r="D2589" t="str">
            <v>SI</v>
          </cell>
          <cell r="E2589" t="str">
            <v>CHICKEN SOUP / QUALITY FIND THE WORD</v>
          </cell>
          <cell r="F2589" t="str">
            <v>MAGAZINE</v>
          </cell>
          <cell r="G2589">
            <v>49220</v>
          </cell>
          <cell r="H2589" t="str">
            <v>DIST. LEWIS</v>
          </cell>
          <cell r="I2589">
            <v>0</v>
          </cell>
        </row>
        <row r="2590">
          <cell r="A2590" t="str">
            <v>19-02589</v>
          </cell>
          <cell r="B2590" t="str">
            <v>DIST. LEWIS</v>
          </cell>
          <cell r="C2590" t="str">
            <v>A</v>
          </cell>
          <cell r="D2590" t="str">
            <v>SI</v>
          </cell>
          <cell r="E2590" t="str">
            <v>4 WHEEL &amp; OFF-ROAD BY PETERSEN</v>
          </cell>
          <cell r="F2590" t="str">
            <v>MAGAZINE</v>
          </cell>
          <cell r="G2590">
            <v>34800</v>
          </cell>
          <cell r="H2590" t="str">
            <v>DIST. LEWIS</v>
          </cell>
          <cell r="I2590">
            <v>5.56</v>
          </cell>
        </row>
        <row r="2591">
          <cell r="A2591" t="str">
            <v>19-02590</v>
          </cell>
          <cell r="B2591" t="str">
            <v>DIST. LEWIS</v>
          </cell>
          <cell r="C2591" t="str">
            <v>A</v>
          </cell>
          <cell r="D2591" t="str">
            <v>SI</v>
          </cell>
          <cell r="E2591" t="str">
            <v>AMERICAN PHOTO</v>
          </cell>
          <cell r="F2591" t="str">
            <v>MAGAZINE</v>
          </cell>
          <cell r="G2591">
            <v>8385</v>
          </cell>
          <cell r="H2591" t="str">
            <v>DIST. LEWIS</v>
          </cell>
          <cell r="I2591">
            <v>0</v>
          </cell>
        </row>
        <row r="2592">
          <cell r="A2592" t="str">
            <v>19-02591</v>
          </cell>
          <cell r="B2592" t="str">
            <v>DIST. LEWIS</v>
          </cell>
          <cell r="C2592" t="str">
            <v>A</v>
          </cell>
          <cell r="D2592" t="str">
            <v>SI</v>
          </cell>
          <cell r="E2592" t="str">
            <v>BHG – COUNTRY HOME</v>
          </cell>
          <cell r="F2592" t="str">
            <v>MAGAZINE</v>
          </cell>
          <cell r="G2592">
            <v>14262</v>
          </cell>
          <cell r="H2592" t="str">
            <v>DIST. LEWIS</v>
          </cell>
          <cell r="I2592">
            <v>0</v>
          </cell>
        </row>
        <row r="2593">
          <cell r="A2593" t="str">
            <v>19-02592</v>
          </cell>
          <cell r="B2593" t="str">
            <v>DIST. LEWIS</v>
          </cell>
          <cell r="C2593" t="str">
            <v>A</v>
          </cell>
          <cell r="D2593" t="str">
            <v>SI</v>
          </cell>
          <cell r="E2593" t="str">
            <v>BHG 100 DECORATING IDEAS</v>
          </cell>
          <cell r="F2593" t="str">
            <v>MAGAZINE</v>
          </cell>
          <cell r="G2593">
            <v>14052</v>
          </cell>
          <cell r="H2593" t="str">
            <v>DIST. LEWIS</v>
          </cell>
          <cell r="I2593">
            <v>0</v>
          </cell>
        </row>
        <row r="2594">
          <cell r="A2594" t="str">
            <v>19-02593</v>
          </cell>
          <cell r="B2594" t="str">
            <v>DIST. LEWIS</v>
          </cell>
          <cell r="C2594" t="str">
            <v>A</v>
          </cell>
          <cell r="D2594" t="str">
            <v>SI</v>
          </cell>
          <cell r="E2594" t="str">
            <v>BIKE</v>
          </cell>
          <cell r="F2594" t="str">
            <v>MAGAZINE</v>
          </cell>
          <cell r="G2594">
            <v>34946</v>
          </cell>
          <cell r="H2594" t="str">
            <v>DIST. LEWIS</v>
          </cell>
          <cell r="I2594">
            <v>0</v>
          </cell>
        </row>
        <row r="2595">
          <cell r="A2595" t="str">
            <v>19-02594</v>
          </cell>
          <cell r="B2595" t="str">
            <v>DIST. LEWIS</v>
          </cell>
          <cell r="C2595" t="str">
            <v>A</v>
          </cell>
          <cell r="D2595" t="str">
            <v>SI</v>
          </cell>
          <cell r="E2595" t="str">
            <v>BLACKMEN / URBAN INK</v>
          </cell>
          <cell r="F2595" t="str">
            <v>MAGAZINE</v>
          </cell>
          <cell r="G2595">
            <v>1546</v>
          </cell>
          <cell r="H2595" t="str">
            <v>DIST. LEWIS</v>
          </cell>
          <cell r="I2595">
            <v>0</v>
          </cell>
        </row>
        <row r="2596">
          <cell r="A2596" t="str">
            <v>19-02595</v>
          </cell>
          <cell r="B2596" t="str">
            <v>DIST. LEWIS</v>
          </cell>
          <cell r="C2596" t="str">
            <v>A</v>
          </cell>
          <cell r="D2596" t="str">
            <v>SI</v>
          </cell>
          <cell r="E2596" t="str">
            <v>CHOP CHOP</v>
          </cell>
          <cell r="F2596" t="str">
            <v>MAGAZINE</v>
          </cell>
          <cell r="G2596">
            <v>26888</v>
          </cell>
          <cell r="H2596" t="str">
            <v>DIST. LEWIS</v>
          </cell>
          <cell r="I2596">
            <v>0</v>
          </cell>
        </row>
        <row r="2597">
          <cell r="A2597" t="str">
            <v>19-02596</v>
          </cell>
          <cell r="B2597" t="str">
            <v>DIST. LEWIS</v>
          </cell>
          <cell r="C2597" t="str">
            <v>A</v>
          </cell>
          <cell r="D2597" t="str">
            <v>SI</v>
          </cell>
          <cell r="E2597" t="str">
            <v>DUB MAGAZINE SPECIAL</v>
          </cell>
          <cell r="F2597" t="str">
            <v>MAGAZINE</v>
          </cell>
          <cell r="G2597">
            <v>1686</v>
          </cell>
          <cell r="H2597" t="str">
            <v>DIST. LEWIS</v>
          </cell>
          <cell r="I2597">
            <v>0</v>
          </cell>
        </row>
        <row r="2598">
          <cell r="A2598" t="str">
            <v>19-02597</v>
          </cell>
          <cell r="B2598" t="str">
            <v>DIST. LEWIS</v>
          </cell>
          <cell r="C2598" t="str">
            <v>A</v>
          </cell>
          <cell r="D2598" t="str">
            <v>SI</v>
          </cell>
          <cell r="E2598" t="str">
            <v>ENTREPRENEURS STAR UP - SEASONAL</v>
          </cell>
          <cell r="F2598" t="str">
            <v>MAGAZINE</v>
          </cell>
          <cell r="G2598">
            <v>2471</v>
          </cell>
          <cell r="H2598" t="str">
            <v>DIST. LEWIS</v>
          </cell>
          <cell r="I2598">
            <v>4.4000000000000004</v>
          </cell>
        </row>
        <row r="2599">
          <cell r="A2599" t="str">
            <v>19-02598</v>
          </cell>
          <cell r="B2599" t="str">
            <v>DIST. LEWIS</v>
          </cell>
          <cell r="C2599" t="str">
            <v>A</v>
          </cell>
          <cell r="D2599" t="str">
            <v>SI</v>
          </cell>
          <cell r="E2599" t="str">
            <v>FACES – REBEL INK</v>
          </cell>
          <cell r="F2599" t="str">
            <v>MAGAZINE</v>
          </cell>
          <cell r="G2599">
            <v>2183</v>
          </cell>
          <cell r="H2599" t="str">
            <v>DIST. LEWIS</v>
          </cell>
          <cell r="I2599">
            <v>0</v>
          </cell>
        </row>
        <row r="2600">
          <cell r="A2600" t="str">
            <v>19-02599</v>
          </cell>
          <cell r="B2600" t="str">
            <v>DIST. LEWIS</v>
          </cell>
          <cell r="C2600" t="str">
            <v>A</v>
          </cell>
          <cell r="D2600" t="str">
            <v>SI</v>
          </cell>
          <cell r="E2600" t="str">
            <v>HOW - SEASONAL</v>
          </cell>
          <cell r="F2600" t="str">
            <v>MAGAZINE</v>
          </cell>
          <cell r="G2600">
            <v>1525</v>
          </cell>
          <cell r="H2600" t="str">
            <v>DIST. LEWIS</v>
          </cell>
          <cell r="I2600">
            <v>13.56</v>
          </cell>
        </row>
        <row r="2601">
          <cell r="A2601" t="str">
            <v>19-02600</v>
          </cell>
          <cell r="B2601" t="str">
            <v>DIST. LEWIS</v>
          </cell>
          <cell r="C2601" t="str">
            <v>A</v>
          </cell>
          <cell r="D2601" t="str">
            <v>SI</v>
          </cell>
          <cell r="E2601" t="str">
            <v>IMPORT TUNER</v>
          </cell>
          <cell r="F2601" t="str">
            <v>MAGAZINE</v>
          </cell>
          <cell r="G2601">
            <v>34015</v>
          </cell>
          <cell r="H2601" t="str">
            <v>DIST. LEWIS</v>
          </cell>
          <cell r="I2601">
            <v>0</v>
          </cell>
        </row>
        <row r="2602">
          <cell r="A2602" t="str">
            <v>19-02601</v>
          </cell>
          <cell r="B2602" t="str">
            <v>DIST. LEWIS</v>
          </cell>
          <cell r="C2602" t="str">
            <v>A</v>
          </cell>
          <cell r="D2602" t="str">
            <v>SI</v>
          </cell>
          <cell r="E2602" t="str">
            <v>KUNG FU TAI CHI</v>
          </cell>
          <cell r="F2602" t="str">
            <v>MAGAZINE</v>
          </cell>
          <cell r="G2602">
            <v>2035</v>
          </cell>
          <cell r="H2602" t="str">
            <v>DIST. LEWIS</v>
          </cell>
          <cell r="I2602">
            <v>0</v>
          </cell>
        </row>
        <row r="2603">
          <cell r="A2603" t="str">
            <v>19-02602</v>
          </cell>
          <cell r="B2603" t="str">
            <v>DIST. LEWIS</v>
          </cell>
          <cell r="C2603" t="str">
            <v>A</v>
          </cell>
          <cell r="D2603" t="str">
            <v>SI</v>
          </cell>
          <cell r="E2603" t="str">
            <v>MODERN DRUMMER</v>
          </cell>
          <cell r="F2603" t="str">
            <v>MAGAZINE</v>
          </cell>
          <cell r="G2603">
            <v>1203</v>
          </cell>
          <cell r="H2603" t="str">
            <v>DIST. LEWIS</v>
          </cell>
          <cell r="I2603">
            <v>0</v>
          </cell>
        </row>
        <row r="2604">
          <cell r="A2604" t="str">
            <v>19-02603</v>
          </cell>
          <cell r="B2604" t="str">
            <v>DIST. LEWIS</v>
          </cell>
          <cell r="C2604" t="str">
            <v>A</v>
          </cell>
          <cell r="D2604" t="str">
            <v>SI</v>
          </cell>
          <cell r="E2604" t="str">
            <v>MOTOR TREND</v>
          </cell>
          <cell r="F2604" t="str">
            <v>MAGAZINE</v>
          </cell>
          <cell r="G2604">
            <v>34809</v>
          </cell>
          <cell r="H2604" t="str">
            <v>DIST. LEWIS</v>
          </cell>
          <cell r="I2604">
            <v>5.56</v>
          </cell>
        </row>
        <row r="2605">
          <cell r="A2605" t="str">
            <v>19-02604</v>
          </cell>
          <cell r="B2605" t="str">
            <v>DIST. LEWIS</v>
          </cell>
          <cell r="C2605" t="str">
            <v>A</v>
          </cell>
          <cell r="D2605" t="str">
            <v>SI</v>
          </cell>
          <cell r="E2605" t="str">
            <v>PACIFIC WEDDINGS</v>
          </cell>
          <cell r="F2605" t="str">
            <v>MAGAZINE</v>
          </cell>
          <cell r="G2605">
            <v>94652</v>
          </cell>
          <cell r="H2605" t="str">
            <v>DIST. LEWIS</v>
          </cell>
          <cell r="I2605">
            <v>0</v>
          </cell>
        </row>
        <row r="2606">
          <cell r="A2606" t="str">
            <v>19-02605</v>
          </cell>
          <cell r="B2606" t="str">
            <v>DIST. LEWIS</v>
          </cell>
          <cell r="C2606" t="str">
            <v>A</v>
          </cell>
          <cell r="D2606" t="str">
            <v>SI</v>
          </cell>
          <cell r="E2606" t="str">
            <v>PC PHOTO / DIGITAL PHOTO</v>
          </cell>
          <cell r="F2606" t="str">
            <v>MAGAZINE</v>
          </cell>
          <cell r="G2606">
            <v>3835</v>
          </cell>
          <cell r="H2606" t="str">
            <v>DIST. LEWIS</v>
          </cell>
          <cell r="I2606">
            <v>0</v>
          </cell>
        </row>
        <row r="2607">
          <cell r="A2607" t="str">
            <v>19-02606</v>
          </cell>
          <cell r="B2607" t="str">
            <v>TDL</v>
          </cell>
          <cell r="C2607" t="str">
            <v>A</v>
          </cell>
          <cell r="D2607" t="str">
            <v>SI</v>
          </cell>
          <cell r="E2607" t="str">
            <v>12547-42795 LISTERINE COOLMINT 24X3.02OZ</v>
          </cell>
          <cell r="F2607" t="str">
            <v>ENJUAGUE BUCAL</v>
          </cell>
          <cell r="G2607" t="str">
            <v>12547-42795</v>
          </cell>
          <cell r="H2607" t="str">
            <v>LISTERINE</v>
          </cell>
          <cell r="I2607">
            <v>37.82</v>
          </cell>
        </row>
        <row r="2608">
          <cell r="A2608" t="str">
            <v>19-02607</v>
          </cell>
          <cell r="B2608" t="str">
            <v>ASTOR</v>
          </cell>
          <cell r="C2608" t="str">
            <v>A</v>
          </cell>
          <cell r="D2608" t="str">
            <v>SI</v>
          </cell>
          <cell r="E2608" t="str">
            <v>56546 LISTERINE TOTAL CARE 95 ML</v>
          </cell>
          <cell r="F2608" t="str">
            <v>ENJUAGUE BUCAL</v>
          </cell>
          <cell r="G2608">
            <v>56546</v>
          </cell>
          <cell r="H2608" t="str">
            <v>LISTERINE</v>
          </cell>
          <cell r="I2608">
            <v>1.81</v>
          </cell>
        </row>
        <row r="2609">
          <cell r="A2609" t="str">
            <v>19-02608</v>
          </cell>
          <cell r="B2609" t="str">
            <v>N/A</v>
          </cell>
          <cell r="C2609" t="str">
            <v>A</v>
          </cell>
          <cell r="D2609" t="str">
            <v>NO</v>
          </cell>
          <cell r="E2609" t="str">
            <v>40-038892 HILO DENTAL REGULAR REACH 24X50MT</v>
          </cell>
          <cell r="F2609" t="str">
            <v>HILO DENTAL</v>
          </cell>
          <cell r="G2609" t="str">
            <v>40-038892</v>
          </cell>
          <cell r="H2609" t="str">
            <v>JOHNSON AND JOHNSON</v>
          </cell>
          <cell r="I2609">
            <v>0</v>
          </cell>
        </row>
        <row r="2610">
          <cell r="A2610" t="str">
            <v>19-02609</v>
          </cell>
          <cell r="B2610" t="str">
            <v>N/A</v>
          </cell>
          <cell r="C2610" t="str">
            <v>A</v>
          </cell>
          <cell r="D2610" t="str">
            <v>NO</v>
          </cell>
          <cell r="E2610" t="str">
            <v>40-038908 HILO DENTAL MENTA REACH 24X50MT</v>
          </cell>
          <cell r="F2610" t="str">
            <v>HILO DENTAL</v>
          </cell>
          <cell r="G2610" t="str">
            <v>40-038908</v>
          </cell>
          <cell r="H2610" t="str">
            <v>JOHNSON AND JOHNSON</v>
          </cell>
          <cell r="I2610">
            <v>0</v>
          </cell>
        </row>
        <row r="2611">
          <cell r="A2611" t="str">
            <v>19-02610</v>
          </cell>
          <cell r="B2611" t="str">
            <v>CALOX</v>
          </cell>
          <cell r="C2611" t="str">
            <v>A</v>
          </cell>
          <cell r="D2611" t="str">
            <v>N/A</v>
          </cell>
          <cell r="E2611" t="str">
            <v>60-880002 YODORA FRESH 12X53G</v>
          </cell>
          <cell r="F2611" t="str">
            <v>DESODORANTE</v>
          </cell>
          <cell r="G2611" t="str">
            <v>60-880002</v>
          </cell>
          <cell r="H2611" t="str">
            <v>YODORA</v>
          </cell>
          <cell r="I2611">
            <v>0</v>
          </cell>
        </row>
        <row r="2612">
          <cell r="A2612" t="str">
            <v>19-02611</v>
          </cell>
          <cell r="B2612" t="str">
            <v>CALOX</v>
          </cell>
          <cell r="C2612" t="str">
            <v>A</v>
          </cell>
          <cell r="D2612" t="str">
            <v>N/A</v>
          </cell>
          <cell r="E2612" t="str">
            <v>60-880088 YODORA DYNAMIC 12X53G</v>
          </cell>
          <cell r="F2612" t="str">
            <v>DESODORANTE</v>
          </cell>
          <cell r="G2612" t="str">
            <v>60-880088</v>
          </cell>
          <cell r="H2612" t="str">
            <v>YODORA</v>
          </cell>
          <cell r="I2612">
            <v>0</v>
          </cell>
        </row>
        <row r="2613">
          <cell r="A2613" t="str">
            <v>19-02612</v>
          </cell>
          <cell r="B2613" t="str">
            <v>CALOX</v>
          </cell>
          <cell r="C2613" t="str">
            <v>A</v>
          </cell>
          <cell r="D2613" t="str">
            <v>N/A</v>
          </cell>
          <cell r="E2613" t="str">
            <v>60-087371 YODORA POWDER FRESH 12X53G</v>
          </cell>
          <cell r="F2613" t="str">
            <v>DESODORANTE</v>
          </cell>
          <cell r="G2613" t="str">
            <v>60-087371</v>
          </cell>
          <cell r="H2613" t="str">
            <v>YODORA</v>
          </cell>
          <cell r="I2613">
            <v>0</v>
          </cell>
        </row>
        <row r="2614">
          <cell r="A2614" t="str">
            <v>19-02613</v>
          </cell>
          <cell r="B2614" t="str">
            <v>CALOX</v>
          </cell>
          <cell r="C2614" t="str">
            <v>A</v>
          </cell>
          <cell r="D2614" t="str">
            <v>N/A</v>
          </cell>
          <cell r="E2614" t="str">
            <v>60-087364 YODORA ACTIVE 12X53G</v>
          </cell>
          <cell r="F2614" t="str">
            <v>DESODORANTE</v>
          </cell>
          <cell r="G2614" t="str">
            <v>60-087364</v>
          </cell>
          <cell r="H2614" t="str">
            <v>YODORA</v>
          </cell>
          <cell r="I2614">
            <v>0</v>
          </cell>
        </row>
        <row r="2615">
          <cell r="A2615" t="str">
            <v>19-02614</v>
          </cell>
          <cell r="B2615" t="str">
            <v>CESAR ARROCHA</v>
          </cell>
          <cell r="C2615" t="str">
            <v>A</v>
          </cell>
          <cell r="D2615" t="str">
            <v>SI</v>
          </cell>
          <cell r="E2615" t="str">
            <v>PLAYTEX PERSONAL CLEAN CLOTHS DISPENSER 40 CT</v>
          </cell>
          <cell r="F2615" t="str">
            <v>WIPES</v>
          </cell>
          <cell r="G2615" t="str">
            <v>INPL 6908</v>
          </cell>
          <cell r="H2615" t="str">
            <v>PLAYTEX</v>
          </cell>
          <cell r="I2615">
            <v>4.5</v>
          </cell>
        </row>
        <row r="2616">
          <cell r="A2616" t="str">
            <v>19-02615</v>
          </cell>
          <cell r="B2616" t="str">
            <v>CESAR ARROCHA</v>
          </cell>
          <cell r="C2616" t="str">
            <v>A</v>
          </cell>
          <cell r="D2616" t="str">
            <v>SI</v>
          </cell>
          <cell r="E2616" t="str">
            <v>PLAYTEX PERSONAL CLEAN CLOTHS REFILL 48 CT</v>
          </cell>
          <cell r="F2616" t="str">
            <v>WIPES</v>
          </cell>
          <cell r="G2616" t="str">
            <v>INPL 6921</v>
          </cell>
          <cell r="H2616" t="str">
            <v>PLAYTEX</v>
          </cell>
          <cell r="I2616">
            <v>3.15</v>
          </cell>
        </row>
        <row r="2617">
          <cell r="A2617" t="str">
            <v>19-02616</v>
          </cell>
          <cell r="B2617" t="str">
            <v>CESAR ARROCHA</v>
          </cell>
          <cell r="C2617" t="str">
            <v>A</v>
          </cell>
          <cell r="D2617" t="str">
            <v>NO</v>
          </cell>
          <cell r="E2617" t="str">
            <v>WET ONES WIPES CITRUS SCENT TUBO 40 CT</v>
          </cell>
          <cell r="F2617" t="str">
            <v>WIPES</v>
          </cell>
          <cell r="G2617" t="str">
            <v>INPL  04672</v>
          </cell>
          <cell r="H2617" t="str">
            <v>WET ONES</v>
          </cell>
          <cell r="I2617">
            <v>2.2000000000000002</v>
          </cell>
        </row>
        <row r="2618">
          <cell r="A2618" t="str">
            <v>19-02617</v>
          </cell>
          <cell r="B2618" t="str">
            <v>CESAR ARROCHA</v>
          </cell>
          <cell r="C2618" t="str">
            <v>A</v>
          </cell>
          <cell r="D2618" t="str">
            <v>SI</v>
          </cell>
          <cell r="E2618" t="str">
            <v>WET ONES ANTIBACTERIAL SINGLE 24</v>
          </cell>
          <cell r="F2618" t="str">
            <v>WIPES</v>
          </cell>
          <cell r="G2618" t="str">
            <v>INPL  04723</v>
          </cell>
          <cell r="H2618" t="str">
            <v>WET ONES</v>
          </cell>
          <cell r="I2618">
            <v>2.5499999999999998</v>
          </cell>
        </row>
        <row r="2619">
          <cell r="A2619" t="str">
            <v>19-02618</v>
          </cell>
          <cell r="B2619" t="str">
            <v>CESAR ARROCHA</v>
          </cell>
          <cell r="C2619" t="str">
            <v>A</v>
          </cell>
          <cell r="D2619" t="str">
            <v>NO</v>
          </cell>
          <cell r="E2619" t="str">
            <v>WET ONES WIPES ANTIBACTERIAL TUBO 40CT</v>
          </cell>
          <cell r="F2619" t="str">
            <v>WIPES</v>
          </cell>
          <cell r="G2619" t="str">
            <v>INPL  64703</v>
          </cell>
          <cell r="H2619" t="str">
            <v>WET ONES</v>
          </cell>
          <cell r="I2619">
            <v>2.2000000000000002</v>
          </cell>
        </row>
        <row r="2620">
          <cell r="A2620" t="str">
            <v>19-02619</v>
          </cell>
          <cell r="B2620" t="str">
            <v>CESAR ARROCHA</v>
          </cell>
          <cell r="C2620" t="str">
            <v>A</v>
          </cell>
          <cell r="D2620" t="str">
            <v>NO</v>
          </cell>
          <cell r="E2620" t="str">
            <v>BANANA BOAT AQUA PROTECT GENERAL PROTECTION LOTION SPF50+ 118ML</v>
          </cell>
          <cell r="F2620" t="str">
            <v>SUN BLOCK</v>
          </cell>
          <cell r="G2620" t="str">
            <v>INPL 55207</v>
          </cell>
          <cell r="H2620" t="str">
            <v>BANANA BOAT</v>
          </cell>
          <cell r="I2620">
            <v>6.2</v>
          </cell>
        </row>
        <row r="2621">
          <cell r="A2621" t="str">
            <v>19-02620</v>
          </cell>
          <cell r="B2621" t="str">
            <v>CESAR ARROCHA</v>
          </cell>
          <cell r="C2621" t="str">
            <v>A</v>
          </cell>
          <cell r="D2621" t="str">
            <v>NO</v>
          </cell>
          <cell r="E2621" t="str">
            <v>BANANA BOAT AQUA PROTECT GENERAL PROTECTION ULTRAMIST SPF50+</v>
          </cell>
          <cell r="F2621" t="str">
            <v>SUN BLOCK</v>
          </cell>
          <cell r="G2621" t="str">
            <v>INPL 54057</v>
          </cell>
          <cell r="H2621" t="str">
            <v>BANANA BOAT</v>
          </cell>
          <cell r="I2621">
            <v>9</v>
          </cell>
        </row>
        <row r="2622">
          <cell r="A2622" t="str">
            <v>19-02621</v>
          </cell>
          <cell r="B2622" t="str">
            <v>CESAR ARROCHA</v>
          </cell>
          <cell r="C2622" t="str">
            <v>A</v>
          </cell>
          <cell r="D2622" t="str">
            <v>NO</v>
          </cell>
          <cell r="E2622" t="str">
            <v>BANANA BOAT AQUA PROTECT KIDS SPF 50+ LOTION 118ML</v>
          </cell>
          <cell r="F2622" t="str">
            <v>SUN BLOCK</v>
          </cell>
          <cell r="G2622" t="str">
            <v>INPL 55208</v>
          </cell>
          <cell r="H2622" t="str">
            <v>BANANA BOAT</v>
          </cell>
          <cell r="I2622">
            <v>6.2</v>
          </cell>
        </row>
        <row r="2623">
          <cell r="A2623" t="str">
            <v>19-02622</v>
          </cell>
          <cell r="B2623" t="str">
            <v>CESAR ARROCHA</v>
          </cell>
          <cell r="C2623" t="str">
            <v>A</v>
          </cell>
          <cell r="D2623" t="str">
            <v>NO</v>
          </cell>
          <cell r="E2623" t="str">
            <v>BANANA BOAT AQUA PROTECT KIDS ULTRA MIST SPF 50+ 177ML</v>
          </cell>
          <cell r="F2623" t="str">
            <v>SUN BLOCK</v>
          </cell>
          <cell r="G2623" t="str">
            <v>INPL 54059</v>
          </cell>
          <cell r="H2623" t="str">
            <v>BANANA BOAT</v>
          </cell>
          <cell r="I2623">
            <v>11.2</v>
          </cell>
        </row>
        <row r="2624">
          <cell r="A2624" t="str">
            <v>19-02623</v>
          </cell>
          <cell r="B2624" t="str">
            <v>CESAR ARROCHA</v>
          </cell>
          <cell r="C2624" t="str">
            <v>A</v>
          </cell>
          <cell r="D2624" t="str">
            <v>NO</v>
          </cell>
          <cell r="E2624" t="str">
            <v>BANANA BOAT AQUA PROTECT SPORT LOTION SPF 50+ 118ML</v>
          </cell>
          <cell r="F2624" t="str">
            <v>SUN BLOCK</v>
          </cell>
          <cell r="G2624" t="str">
            <v>INPL 55209</v>
          </cell>
          <cell r="H2624" t="str">
            <v>BANANA BOAT</v>
          </cell>
          <cell r="I2624">
            <v>6.2</v>
          </cell>
        </row>
        <row r="2625">
          <cell r="A2625" t="str">
            <v>19-02624</v>
          </cell>
          <cell r="B2625" t="str">
            <v>CESAR ARROCHA</v>
          </cell>
          <cell r="C2625" t="str">
            <v>A</v>
          </cell>
          <cell r="D2625" t="str">
            <v>NO</v>
          </cell>
          <cell r="E2625" t="str">
            <v>BANANA BOAT AQUA PROTECT SPORT ULTRA MIST SPF 50+ 177ML</v>
          </cell>
          <cell r="F2625" t="str">
            <v>SUN BLOCK</v>
          </cell>
          <cell r="G2625" t="str">
            <v>INPL 54060</v>
          </cell>
          <cell r="H2625" t="str">
            <v>BANANA BOAT</v>
          </cell>
          <cell r="I2625">
            <v>9</v>
          </cell>
        </row>
        <row r="2626">
          <cell r="A2626" t="str">
            <v>19-02625</v>
          </cell>
          <cell r="B2626" t="str">
            <v>CESAR ARROCHA</v>
          </cell>
          <cell r="C2626" t="str">
            <v>A</v>
          </cell>
          <cell r="D2626" t="str">
            <v>NO</v>
          </cell>
          <cell r="E2626" t="str">
            <v>BANANA BOAT AFTER SUN GEL VITAMIN-E PUMP 16 ONZ</v>
          </cell>
          <cell r="F2626" t="str">
            <v>SUN BLOCK</v>
          </cell>
          <cell r="G2626" t="str">
            <v>INPL 50118</v>
          </cell>
          <cell r="H2626" t="str">
            <v>BANANA BOAT</v>
          </cell>
          <cell r="I2626">
            <v>6.4</v>
          </cell>
        </row>
        <row r="2627">
          <cell r="A2627" t="str">
            <v>19-02626</v>
          </cell>
          <cell r="B2627" t="str">
            <v>CESAR ARROCHA</v>
          </cell>
          <cell r="C2627" t="str">
            <v>A</v>
          </cell>
          <cell r="D2627" t="str">
            <v>NO</v>
          </cell>
          <cell r="E2627" t="str">
            <v>PALMER'S COCOA BUTTER BALSAMO PARA LABIOS CON VITAMINA E 4G</v>
          </cell>
          <cell r="F2627" t="str">
            <v>LIP BALM</v>
          </cell>
          <cell r="G2627" t="str">
            <v>PALM 1818</v>
          </cell>
          <cell r="H2627" t="str">
            <v>PALMER'S</v>
          </cell>
          <cell r="I2627">
            <v>1.57</v>
          </cell>
        </row>
        <row r="2628">
          <cell r="A2628" t="str">
            <v>19-02627</v>
          </cell>
          <cell r="B2628" t="str">
            <v>CESAR ARROCHA</v>
          </cell>
          <cell r="C2628" t="str">
            <v>A</v>
          </cell>
          <cell r="D2628" t="str">
            <v>NO</v>
          </cell>
          <cell r="E2628" t="str">
            <v>PALMER'S OLIVE BUTTERJABON CON VITAMINA E 125G</v>
          </cell>
          <cell r="F2628" t="str">
            <v>JABON</v>
          </cell>
          <cell r="G2628" t="str">
            <v>PALM 2555</v>
          </cell>
          <cell r="H2628" t="str">
            <v>PALMER'S</v>
          </cell>
          <cell r="I2628">
            <v>3.3</v>
          </cell>
        </row>
        <row r="2629">
          <cell r="A2629" t="str">
            <v>19-02628</v>
          </cell>
          <cell r="B2629" t="str">
            <v>CESAR ARROCHA</v>
          </cell>
          <cell r="C2629" t="str">
            <v>A</v>
          </cell>
          <cell r="D2629" t="str">
            <v>NO</v>
          </cell>
          <cell r="E2629" t="str">
            <v>PALMER'S COCOA BUTTER FORMULA POTE 3.5 ONZ</v>
          </cell>
          <cell r="F2629" t="str">
            <v>CREMAS</v>
          </cell>
          <cell r="G2629" t="str">
            <v>PALM 4000</v>
          </cell>
          <cell r="H2629" t="str">
            <v>PALMER'S</v>
          </cell>
          <cell r="I2629">
            <v>4.74</v>
          </cell>
        </row>
        <row r="2630">
          <cell r="A2630" t="str">
            <v>19-02629</v>
          </cell>
          <cell r="B2630" t="str">
            <v>CESAR ARROCHA</v>
          </cell>
          <cell r="C2630" t="str">
            <v>A</v>
          </cell>
          <cell r="D2630" t="str">
            <v>NO</v>
          </cell>
          <cell r="E2630" t="str">
            <v>PALMER'S MASSAGE CREAM FOR STRETCH MARKS TUBE 4.4 ONZ</v>
          </cell>
          <cell r="F2630" t="str">
            <v>CREMAS</v>
          </cell>
          <cell r="G2630" t="str">
            <v>PALM 4035</v>
          </cell>
          <cell r="H2630" t="str">
            <v>PALMER'S</v>
          </cell>
          <cell r="I2630">
            <v>5.39</v>
          </cell>
        </row>
        <row r="2631">
          <cell r="A2631" t="str">
            <v>19-02630</v>
          </cell>
          <cell r="B2631" t="str">
            <v>CESAR ARROCHA</v>
          </cell>
          <cell r="C2631" t="str">
            <v>A</v>
          </cell>
          <cell r="D2631" t="str">
            <v>NO</v>
          </cell>
          <cell r="E2631" t="str">
            <v>PALMER'S COCOA BUTTER SCAR SERUM VITAMIN E 30ML</v>
          </cell>
          <cell r="F2631" t="str">
            <v>CREMAS</v>
          </cell>
          <cell r="G2631" t="str">
            <v>PALM 4052</v>
          </cell>
          <cell r="H2631" t="str">
            <v>PALMER'S</v>
          </cell>
          <cell r="I2631">
            <v>11.28</v>
          </cell>
        </row>
        <row r="2632">
          <cell r="A2632" t="str">
            <v>19-02631</v>
          </cell>
          <cell r="B2632" t="str">
            <v>CESAR ARROCHA</v>
          </cell>
          <cell r="C2632" t="str">
            <v>A</v>
          </cell>
          <cell r="D2632" t="str">
            <v>NO</v>
          </cell>
          <cell r="E2632" t="str">
            <v>PALMER'S COCOA BUTTER NURSING CREAM 30G</v>
          </cell>
          <cell r="F2632" t="str">
            <v>CREMAS</v>
          </cell>
          <cell r="G2632" t="str">
            <v>PALM 4053</v>
          </cell>
          <cell r="H2632" t="str">
            <v>PALMER'S</v>
          </cell>
          <cell r="I2632">
            <v>5.19</v>
          </cell>
        </row>
        <row r="2633">
          <cell r="A2633" t="str">
            <v>19-02632</v>
          </cell>
          <cell r="B2633" t="str">
            <v>CESAR ARROCHA</v>
          </cell>
          <cell r="C2633" t="str">
            <v>A</v>
          </cell>
          <cell r="D2633" t="str">
            <v>NO</v>
          </cell>
          <cell r="E2633" t="str">
            <v>PALMER'S COCOA BUTTER BOTTOM BUTTER ZINC 125G</v>
          </cell>
          <cell r="F2633" t="str">
            <v>CREMAS</v>
          </cell>
          <cell r="G2633" t="str">
            <v>PALM 4058</v>
          </cell>
          <cell r="H2633" t="str">
            <v>PALMER'S</v>
          </cell>
          <cell r="I2633">
            <v>4.7300000000000004</v>
          </cell>
        </row>
        <row r="2634">
          <cell r="A2634" t="str">
            <v>19-02633</v>
          </cell>
          <cell r="B2634" t="str">
            <v>CESAR ARROCHA</v>
          </cell>
          <cell r="C2634" t="str">
            <v>A</v>
          </cell>
          <cell r="D2634" t="str">
            <v>NO</v>
          </cell>
          <cell r="E2634" t="str">
            <v>PALMER'S COCOA BUTTER CREMA REAFIRMANTE PARA EL BUSTO 4.4 ONZ</v>
          </cell>
          <cell r="F2634" t="str">
            <v>CREMAS</v>
          </cell>
          <cell r="G2634" t="str">
            <v>PALM 4070</v>
          </cell>
          <cell r="H2634" t="str">
            <v>PALMER'S</v>
          </cell>
          <cell r="I2634">
            <v>6.53</v>
          </cell>
        </row>
        <row r="2635">
          <cell r="A2635" t="str">
            <v>19-02634</v>
          </cell>
          <cell r="B2635" t="str">
            <v>CESAR ARROCHA</v>
          </cell>
          <cell r="C2635" t="str">
            <v>A</v>
          </cell>
          <cell r="D2635" t="str">
            <v>NO</v>
          </cell>
          <cell r="E2635" t="str">
            <v>PALMER'S COCOA BUTTER LIP BUTTER CHOCOLATE/PEPERMINT 10G</v>
          </cell>
          <cell r="F2635" t="str">
            <v>LIP BALM</v>
          </cell>
          <cell r="G2635" t="str">
            <v>PALM 4222</v>
          </cell>
          <cell r="H2635" t="str">
            <v>PALMER'S</v>
          </cell>
          <cell r="I2635">
            <v>2.35</v>
          </cell>
        </row>
        <row r="2636">
          <cell r="A2636" t="str">
            <v>19-02635</v>
          </cell>
          <cell r="B2636" t="str">
            <v>CESAR ARROCHA</v>
          </cell>
          <cell r="C2636" t="str">
            <v>A</v>
          </cell>
          <cell r="D2636" t="str">
            <v>NO</v>
          </cell>
          <cell r="E2636" t="str">
            <v>COCOA BUTTER CHOC/MINT LIP BALM 4G</v>
          </cell>
          <cell r="F2636" t="str">
            <v>LIP BALM</v>
          </cell>
          <cell r="G2636" t="str">
            <v>PALM 4227</v>
          </cell>
          <cell r="H2636" t="str">
            <v>PALMER'S</v>
          </cell>
          <cell r="I2636">
            <v>0</v>
          </cell>
        </row>
        <row r="2637">
          <cell r="A2637" t="str">
            <v>19-02636</v>
          </cell>
          <cell r="B2637" t="str">
            <v>CESAR ARROCHA</v>
          </cell>
          <cell r="C2637" t="str">
            <v>A</v>
          </cell>
          <cell r="D2637" t="str">
            <v>NO</v>
          </cell>
          <cell r="E2637" t="str">
            <v>COCOA BUTTER CHOC/CHERRY LIP BALM 10G</v>
          </cell>
          <cell r="F2637" t="str">
            <v>LIP BALM</v>
          </cell>
          <cell r="G2637" t="str">
            <v>PALM 4228</v>
          </cell>
          <cell r="H2637" t="str">
            <v>PALMER'S</v>
          </cell>
          <cell r="I2637">
            <v>2.2999999999999998</v>
          </cell>
        </row>
        <row r="2638">
          <cell r="A2638" t="str">
            <v>19-02637</v>
          </cell>
          <cell r="B2638" t="str">
            <v>CESAR ARROCHA</v>
          </cell>
          <cell r="C2638" t="str">
            <v>A</v>
          </cell>
          <cell r="D2638" t="str">
            <v>NO</v>
          </cell>
          <cell r="E2638" t="str">
            <v>COCOA BUTTER FORMULA TUBO 100G</v>
          </cell>
          <cell r="F2638" t="str">
            <v>CREMAS</v>
          </cell>
          <cell r="G2638" t="str">
            <v>PALM 4350</v>
          </cell>
          <cell r="H2638" t="str">
            <v>PALMER'S</v>
          </cell>
          <cell r="I2638">
            <v>3.8</v>
          </cell>
        </row>
        <row r="2639">
          <cell r="A2639" t="str">
            <v>19-02638</v>
          </cell>
          <cell r="B2639" t="str">
            <v>CESAR ARROCHA</v>
          </cell>
          <cell r="C2639" t="str">
            <v>A</v>
          </cell>
          <cell r="D2639" t="str">
            <v>NO</v>
          </cell>
          <cell r="E2639" t="str">
            <v>PALMER'S COCOA BUTTER BAR SOAP 100G</v>
          </cell>
          <cell r="F2639" t="str">
            <v>JABON</v>
          </cell>
          <cell r="G2639" t="str">
            <v>PALM 4555</v>
          </cell>
          <cell r="H2639" t="str">
            <v>PALMER'S</v>
          </cell>
          <cell r="I2639">
            <v>2.99</v>
          </cell>
        </row>
        <row r="2640">
          <cell r="A2640" t="str">
            <v>19-02639</v>
          </cell>
          <cell r="B2640" t="str">
            <v>CESAR ARROCHA</v>
          </cell>
          <cell r="C2640" t="str">
            <v>A</v>
          </cell>
          <cell r="D2640" t="str">
            <v>NO</v>
          </cell>
          <cell r="E2640" t="str">
            <v>PALMER'S SHEA BUTTER SOAP 100G</v>
          </cell>
          <cell r="F2640" t="str">
            <v>JABON</v>
          </cell>
          <cell r="G2640" t="str">
            <v>PALM  5505</v>
          </cell>
          <cell r="H2640" t="str">
            <v>PALMER'S</v>
          </cell>
          <cell r="I2640">
            <v>3.3</v>
          </cell>
        </row>
        <row r="2641">
          <cell r="A2641" t="str">
            <v>19-02640</v>
          </cell>
          <cell r="B2641" t="str">
            <v>CESAR ARROCHA</v>
          </cell>
          <cell r="C2641" t="str">
            <v>A</v>
          </cell>
          <cell r="D2641" t="str">
            <v>NO</v>
          </cell>
          <cell r="E2641" t="str">
            <v>PALMER'S SKIN SUCCESS SOAP 100G</v>
          </cell>
          <cell r="F2641" t="str">
            <v>JABON</v>
          </cell>
          <cell r="G2641" t="str">
            <v>PALM  7380</v>
          </cell>
          <cell r="H2641" t="str">
            <v>PALMER'S</v>
          </cell>
          <cell r="I2641">
            <v>3.3</v>
          </cell>
        </row>
        <row r="2642">
          <cell r="A2642" t="str">
            <v>19-02641</v>
          </cell>
          <cell r="B2642" t="str">
            <v>CESAR ARROCHA</v>
          </cell>
          <cell r="C2642" t="str">
            <v>A</v>
          </cell>
          <cell r="D2642" t="str">
            <v>NO</v>
          </cell>
          <cell r="E2642" t="str">
            <v>PALMER'S SKIN SUCCES ANTI BACTERIAL SOAP 100G</v>
          </cell>
          <cell r="F2642" t="str">
            <v>JABON</v>
          </cell>
          <cell r="G2642" t="str">
            <v>PALM  7386</v>
          </cell>
          <cell r="H2642" t="str">
            <v>PALMER'S</v>
          </cell>
          <cell r="I2642">
            <v>3.3</v>
          </cell>
        </row>
        <row r="2643">
          <cell r="A2643" t="str">
            <v>19-02642</v>
          </cell>
          <cell r="B2643" t="str">
            <v>CESAR ARROCHA</v>
          </cell>
          <cell r="C2643" t="str">
            <v>A</v>
          </cell>
          <cell r="D2643" t="str">
            <v>NO</v>
          </cell>
          <cell r="E2643" t="str">
            <v>PALMER'S SKIN SUCCESS FADE CREAM REGULAR 125G</v>
          </cell>
          <cell r="F2643" t="str">
            <v>CREMAS</v>
          </cell>
          <cell r="G2643" t="str">
            <v>PALM  7500</v>
          </cell>
          <cell r="H2643" t="str">
            <v>PALMER'S</v>
          </cell>
          <cell r="I2643">
            <v>5.75</v>
          </cell>
        </row>
        <row r="2644">
          <cell r="A2644" t="str">
            <v>19-02643</v>
          </cell>
          <cell r="B2644" t="str">
            <v>CESAR ARROCHA</v>
          </cell>
          <cell r="C2644" t="str">
            <v>A</v>
          </cell>
          <cell r="D2644" t="str">
            <v>NO</v>
          </cell>
          <cell r="E2644" t="str">
            <v>PALMER'S SKIN SUCCESS FADE CREAM OILY SKIN 75G</v>
          </cell>
          <cell r="F2644" t="str">
            <v>CREMAS</v>
          </cell>
          <cell r="G2644" t="str">
            <v>PALM  7505</v>
          </cell>
          <cell r="H2644" t="str">
            <v>PALMER'S</v>
          </cell>
          <cell r="I2644">
            <v>5.75</v>
          </cell>
        </row>
        <row r="2645">
          <cell r="A2645" t="str">
            <v>19-02644</v>
          </cell>
          <cell r="B2645" t="str">
            <v>CESAR ARROCHA</v>
          </cell>
          <cell r="C2645" t="str">
            <v>A</v>
          </cell>
          <cell r="D2645" t="str">
            <v>NO</v>
          </cell>
          <cell r="E2645" t="str">
            <v>PALMER'S SKIN SUCCESS FADE CREAMDRY SKIN 75G</v>
          </cell>
          <cell r="F2645" t="str">
            <v>CREMAS</v>
          </cell>
          <cell r="G2645" t="str">
            <v>PALM  7509</v>
          </cell>
          <cell r="H2645" t="str">
            <v>PALMER'S</v>
          </cell>
          <cell r="I2645">
            <v>5.75</v>
          </cell>
        </row>
        <row r="2646">
          <cell r="A2646" t="str">
            <v>19-02645</v>
          </cell>
          <cell r="B2646" t="str">
            <v>CESAR ARROCHA</v>
          </cell>
          <cell r="C2646" t="str">
            <v>A</v>
          </cell>
          <cell r="D2646" t="str">
            <v>SI</v>
          </cell>
          <cell r="E2646" t="str">
            <v>TROJAN PRESERVATIVO EXTASIS MUY SENSIBLE 2CT</v>
          </cell>
          <cell r="F2646" t="str">
            <v>CONDOMS</v>
          </cell>
          <cell r="G2646" t="str">
            <v>TROJ  1100336</v>
          </cell>
          <cell r="H2646" t="str">
            <v>TROJAN</v>
          </cell>
          <cell r="I2646">
            <v>1.84</v>
          </cell>
        </row>
        <row r="2647">
          <cell r="A2647" t="str">
            <v>19-02646</v>
          </cell>
          <cell r="B2647" t="str">
            <v>CESAR ARROCHA</v>
          </cell>
          <cell r="C2647" t="str">
            <v>A</v>
          </cell>
          <cell r="D2647" t="str">
            <v>SI</v>
          </cell>
          <cell r="E2647" t="str">
            <v>TROJAN PRESERVATIVO EXTASIS TEXTURIZADO 2CT</v>
          </cell>
          <cell r="F2647" t="str">
            <v>CONDOMS</v>
          </cell>
          <cell r="G2647" t="str">
            <v>TROJ  1100337</v>
          </cell>
          <cell r="H2647" t="str">
            <v>TROJAN</v>
          </cell>
          <cell r="I2647">
            <v>1.84</v>
          </cell>
        </row>
        <row r="2648">
          <cell r="A2648" t="str">
            <v>19-02647</v>
          </cell>
          <cell r="B2648" t="str">
            <v>CESAR ARROCHA</v>
          </cell>
          <cell r="C2648" t="str">
            <v>A</v>
          </cell>
          <cell r="D2648" t="str">
            <v>NO</v>
          </cell>
          <cell r="E2648" t="str">
            <v>TROJAN PRESERVATIVO MUY SENSIBLE LUBRICADO 12CT</v>
          </cell>
          <cell r="F2648" t="str">
            <v>CONDOMS</v>
          </cell>
          <cell r="G2648" t="str">
            <v>TROJ  2000038</v>
          </cell>
          <cell r="H2648" t="str">
            <v>TROJAN</v>
          </cell>
          <cell r="I2648">
            <v>0</v>
          </cell>
        </row>
        <row r="2649">
          <cell r="A2649" t="str">
            <v>19-02648</v>
          </cell>
          <cell r="B2649" t="str">
            <v>CESAR ARROCHA</v>
          </cell>
          <cell r="C2649" t="str">
            <v>A</v>
          </cell>
          <cell r="D2649" t="str">
            <v>SI</v>
          </cell>
          <cell r="E2649" t="str">
            <v>TROJAN INTENSIVE VIBRATING RING</v>
          </cell>
          <cell r="F2649" t="str">
            <v>CONDOMS</v>
          </cell>
          <cell r="G2649" t="str">
            <v>TROJ 20013322</v>
          </cell>
          <cell r="H2649" t="str">
            <v>TROJAN</v>
          </cell>
          <cell r="I2649">
            <v>6.4</v>
          </cell>
        </row>
        <row r="2650">
          <cell r="A2650" t="str">
            <v>19-02649</v>
          </cell>
          <cell r="B2650" t="str">
            <v>CESAR ARROCHA</v>
          </cell>
          <cell r="C2650" t="str">
            <v>A</v>
          </cell>
          <cell r="D2650" t="str">
            <v>SI</v>
          </cell>
          <cell r="E2650" t="str">
            <v>ARM AND HAMMER ADVANCE WHITE B.SODA + PEROXIDE PASTA DENTAL 121G</v>
          </cell>
          <cell r="F2650" t="str">
            <v>PASTA DENTAL</v>
          </cell>
          <cell r="G2650" t="str">
            <v>CAWA 2000287</v>
          </cell>
          <cell r="H2650" t="str">
            <v>ARM AND HAMMER</v>
          </cell>
          <cell r="I2650">
            <v>2.0499999999999998</v>
          </cell>
        </row>
        <row r="2651">
          <cell r="A2651" t="str">
            <v>19-02650</v>
          </cell>
          <cell r="B2651" t="str">
            <v>CESAR ARROCHA</v>
          </cell>
          <cell r="C2651" t="str">
            <v>A</v>
          </cell>
          <cell r="D2651" t="str">
            <v>SI</v>
          </cell>
          <cell r="E2651" t="str">
            <v>ARM AND HAMMER ADVANCE WHITE TARTAR CONTROL PASTA DENTAL 121G</v>
          </cell>
          <cell r="F2651" t="str">
            <v>PASTA DENTAL</v>
          </cell>
          <cell r="G2651" t="str">
            <v>CAWA 2000288</v>
          </cell>
          <cell r="H2651" t="str">
            <v>ARM AND HAMMER</v>
          </cell>
          <cell r="I2651">
            <v>2.0499999999999998</v>
          </cell>
        </row>
        <row r="2652">
          <cell r="A2652" t="str">
            <v>19-02651</v>
          </cell>
          <cell r="B2652" t="str">
            <v>CESAR ARROCHA</v>
          </cell>
          <cell r="C2652" t="str">
            <v>A</v>
          </cell>
          <cell r="D2652" t="str">
            <v>SI</v>
          </cell>
          <cell r="E2652" t="str">
            <v>ARM AND HAMMER ADVANCE WHITE SENSITIVE PASTA DENTAL 121G</v>
          </cell>
          <cell r="F2652" t="str">
            <v>PASTA DENTAL</v>
          </cell>
          <cell r="G2652" t="str">
            <v>CAWA 2000290</v>
          </cell>
          <cell r="H2652" t="str">
            <v>ARM AND HAMMER</v>
          </cell>
          <cell r="I2652">
            <v>2.0499999999999998</v>
          </cell>
        </row>
        <row r="2653">
          <cell r="A2653" t="str">
            <v>19-02652</v>
          </cell>
          <cell r="B2653" t="str">
            <v>CESAR ARROCHA</v>
          </cell>
          <cell r="C2653" t="str">
            <v>A</v>
          </cell>
          <cell r="D2653" t="str">
            <v>SI</v>
          </cell>
          <cell r="E2653" t="str">
            <v>ARRID XX DEODORANT GEL MORNING CLEAN 79G</v>
          </cell>
          <cell r="F2653" t="str">
            <v>DESODORANTE</v>
          </cell>
          <cell r="G2653" t="str">
            <v>CAWA  19114</v>
          </cell>
          <cell r="H2653" t="str">
            <v>ARRID XX</v>
          </cell>
          <cell r="I2653">
            <v>2.61</v>
          </cell>
        </row>
        <row r="2654">
          <cell r="A2654" t="str">
            <v>19-02653</v>
          </cell>
          <cell r="B2654" t="str">
            <v>CESAR ARROCHA</v>
          </cell>
          <cell r="C2654" t="str">
            <v>A</v>
          </cell>
          <cell r="D2654" t="str">
            <v>SI</v>
          </cell>
          <cell r="E2654" t="str">
            <v>ARRID XX DEODORANT GEL COOL SHOWER 79G</v>
          </cell>
          <cell r="F2654" t="str">
            <v>DESODORANTE</v>
          </cell>
          <cell r="G2654" t="str">
            <v>CAWA  19124</v>
          </cell>
          <cell r="H2654" t="str">
            <v>ARRID XX</v>
          </cell>
          <cell r="I2654">
            <v>2.61</v>
          </cell>
        </row>
        <row r="2655">
          <cell r="A2655" t="str">
            <v>19-02654</v>
          </cell>
          <cell r="B2655" t="str">
            <v>CESAR ARROCHA</v>
          </cell>
          <cell r="C2655" t="str">
            <v>A</v>
          </cell>
          <cell r="D2655" t="str">
            <v>SI</v>
          </cell>
          <cell r="E2655" t="str">
            <v>ARRID DEODORANT ROLL-ON REGULAR SCENT 74G</v>
          </cell>
          <cell r="F2655" t="str">
            <v>DESODORANTE</v>
          </cell>
          <cell r="G2655" t="str">
            <v>CAWA  20000162</v>
          </cell>
          <cell r="H2655" t="str">
            <v>ARRID XX</v>
          </cell>
          <cell r="I2655">
            <v>2.35</v>
          </cell>
        </row>
        <row r="2656">
          <cell r="A2656" t="str">
            <v>19-02655</v>
          </cell>
          <cell r="B2656" t="str">
            <v>CESAR ARROCHA</v>
          </cell>
          <cell r="C2656" t="str">
            <v>A</v>
          </cell>
          <cell r="D2656" t="str">
            <v>SI</v>
          </cell>
          <cell r="E2656" t="str">
            <v>ARRID XX DEODORANT ANTI-PERSPIRANT SOLID UNSCENTED 76G</v>
          </cell>
          <cell r="F2656" t="str">
            <v>DESODORANTE</v>
          </cell>
          <cell r="G2656" t="str">
            <v>CAWA  2000613</v>
          </cell>
          <cell r="H2656" t="str">
            <v>ARRID XX</v>
          </cell>
          <cell r="I2656">
            <v>2.61</v>
          </cell>
        </row>
        <row r="2657">
          <cell r="A2657" t="str">
            <v>19-02656</v>
          </cell>
          <cell r="B2657" t="str">
            <v>CESAR ARROCHA</v>
          </cell>
          <cell r="C2657" t="str">
            <v>A</v>
          </cell>
          <cell r="D2657" t="str">
            <v>SI</v>
          </cell>
          <cell r="E2657" t="str">
            <v>ARRID XX DEODORANT ANTI-PERSPIRANT SOLID ULTRA FRESH 76G</v>
          </cell>
          <cell r="F2657" t="str">
            <v>DESODORANTE</v>
          </cell>
          <cell r="G2657" t="str">
            <v>CAWA  2000614</v>
          </cell>
          <cell r="H2657" t="str">
            <v>ARRID XX</v>
          </cell>
          <cell r="I2657">
            <v>2.61</v>
          </cell>
        </row>
        <row r="2658">
          <cell r="A2658" t="str">
            <v>19-02657</v>
          </cell>
          <cell r="B2658" t="str">
            <v>ASTOR</v>
          </cell>
          <cell r="C2658" t="str">
            <v>D</v>
          </cell>
          <cell r="D2658" t="str">
            <v>N/A</v>
          </cell>
          <cell r="E2658" t="str">
            <v>DUREX CLASICO 3CT DISCONTINUED</v>
          </cell>
          <cell r="F2658" t="str">
            <v>CONDOMS</v>
          </cell>
          <cell r="G2658" t="str">
            <v>DURE 36846</v>
          </cell>
          <cell r="H2658" t="str">
            <v>DUREX</v>
          </cell>
          <cell r="I2658">
            <v>0</v>
          </cell>
        </row>
        <row r="2659">
          <cell r="A2659" t="str">
            <v>19-02658</v>
          </cell>
          <cell r="B2659" t="str">
            <v>ASTOR</v>
          </cell>
          <cell r="C2659" t="str">
            <v>A</v>
          </cell>
          <cell r="D2659" t="str">
            <v>SI</v>
          </cell>
          <cell r="E2659" t="str">
            <v>DUREX XL 3CT</v>
          </cell>
          <cell r="F2659" t="str">
            <v>CONDOMS</v>
          </cell>
          <cell r="G2659" t="str">
            <v>DURE 36842</v>
          </cell>
          <cell r="H2659" t="str">
            <v>DUREX</v>
          </cell>
          <cell r="I2659">
            <v>2.14</v>
          </cell>
        </row>
        <row r="2660">
          <cell r="A2660" t="str">
            <v>19-02659</v>
          </cell>
          <cell r="B2660" t="str">
            <v>ASTOR</v>
          </cell>
          <cell r="C2660" t="str">
            <v>A</v>
          </cell>
          <cell r="D2660" t="str">
            <v>SI</v>
          </cell>
          <cell r="E2660" t="str">
            <v>DUREX SENSITIVO  DELGADO 3CT</v>
          </cell>
          <cell r="F2660" t="str">
            <v>CONDOMS</v>
          </cell>
          <cell r="G2660" t="str">
            <v>DURE 36849</v>
          </cell>
          <cell r="H2660" t="str">
            <v>DUREX</v>
          </cell>
          <cell r="I2660">
            <v>2.31</v>
          </cell>
        </row>
        <row r="2661">
          <cell r="A2661" t="str">
            <v>19-02660</v>
          </cell>
          <cell r="B2661" t="str">
            <v>ASTOR</v>
          </cell>
          <cell r="C2661" t="str">
            <v>D</v>
          </cell>
          <cell r="D2661" t="str">
            <v>N/A</v>
          </cell>
          <cell r="E2661" t="str">
            <v>DUREX ESTRIAS Y PLACER 3CT DISCONTINUED</v>
          </cell>
          <cell r="F2661" t="str">
            <v>CONDOMS</v>
          </cell>
          <cell r="G2661" t="str">
            <v>DURE 36860</v>
          </cell>
          <cell r="H2661" t="str">
            <v>DUREX</v>
          </cell>
          <cell r="I2661">
            <v>0</v>
          </cell>
        </row>
        <row r="2662">
          <cell r="A2662" t="str">
            <v>19-02661</v>
          </cell>
          <cell r="B2662" t="str">
            <v>ASTOR</v>
          </cell>
          <cell r="C2662" t="str">
            <v>D</v>
          </cell>
          <cell r="D2662" t="str">
            <v>N/A</v>
          </cell>
          <cell r="E2662" t="str">
            <v>DUREX PUNTOS Y PLACER 3CT DISCONTINUED</v>
          </cell>
          <cell r="F2662" t="str">
            <v>CONDOMS</v>
          </cell>
          <cell r="G2662" t="str">
            <v>DURE 098922</v>
          </cell>
          <cell r="H2662" t="str">
            <v>DUREX</v>
          </cell>
          <cell r="I2662">
            <v>0</v>
          </cell>
        </row>
        <row r="2663">
          <cell r="A2663" t="str">
            <v>19-02662</v>
          </cell>
          <cell r="B2663" t="str">
            <v>ASTOR</v>
          </cell>
          <cell r="C2663" t="str">
            <v>D</v>
          </cell>
          <cell r="D2663" t="str">
            <v>N/A</v>
          </cell>
          <cell r="E2663" t="str">
            <v>DUREX PLACER PROLONGADO 3CT DISCONTINUED</v>
          </cell>
          <cell r="F2663" t="str">
            <v>CONDOMS</v>
          </cell>
          <cell r="G2663" t="str">
            <v>DURE 36843</v>
          </cell>
          <cell r="H2663" t="str">
            <v>DUREX</v>
          </cell>
          <cell r="I2663">
            <v>0</v>
          </cell>
        </row>
        <row r="2664">
          <cell r="A2664" t="str">
            <v>19-02663</v>
          </cell>
          <cell r="B2664" t="str">
            <v>ASTOR</v>
          </cell>
          <cell r="C2664" t="str">
            <v>A</v>
          </cell>
          <cell r="D2664" t="str">
            <v>SI</v>
          </cell>
          <cell r="E2664" t="str">
            <v>KY GEL LUBRICANTE 100G</v>
          </cell>
          <cell r="F2664" t="str">
            <v>LUBRICANTE</v>
          </cell>
          <cell r="G2664">
            <v>52066</v>
          </cell>
          <cell r="H2664" t="str">
            <v>KY</v>
          </cell>
          <cell r="I2664">
            <v>4.12</v>
          </cell>
        </row>
        <row r="2665">
          <cell r="A2665" t="str">
            <v>19-02664</v>
          </cell>
          <cell r="B2665" t="str">
            <v>CESAR ARROCHA</v>
          </cell>
          <cell r="C2665" t="str">
            <v>A</v>
          </cell>
          <cell r="D2665" t="str">
            <v>SI</v>
          </cell>
          <cell r="E2665" t="str">
            <v>QG5 TRATAMIENTO PARA LA COLITIS</v>
          </cell>
          <cell r="F2665" t="str">
            <v>CREMAS</v>
          </cell>
          <cell r="G2665" t="str">
            <v>GENO 01113</v>
          </cell>
          <cell r="H2665" t="str">
            <v>QG5</v>
          </cell>
          <cell r="I2665">
            <v>13.82</v>
          </cell>
        </row>
        <row r="2666">
          <cell r="A2666" t="str">
            <v>19-02665</v>
          </cell>
          <cell r="B2666" t="str">
            <v>CESAR ARROCHA</v>
          </cell>
          <cell r="C2666" t="str">
            <v>A</v>
          </cell>
          <cell r="D2666" t="str">
            <v>NO</v>
          </cell>
          <cell r="E2666" t="str">
            <v>CICATRICURE GEL PARA  CICATRICES DE 60G</v>
          </cell>
          <cell r="F2666" t="str">
            <v>CREMAS</v>
          </cell>
          <cell r="G2666" t="str">
            <v>GENO 04F1</v>
          </cell>
          <cell r="H2666" t="str">
            <v>CICATRICURE</v>
          </cell>
          <cell r="I2666">
            <v>13.55</v>
          </cell>
        </row>
        <row r="2667">
          <cell r="A2667" t="str">
            <v>19-02666</v>
          </cell>
          <cell r="B2667" t="str">
            <v>CESAR ARROCHA</v>
          </cell>
          <cell r="C2667" t="str">
            <v>A</v>
          </cell>
          <cell r="D2667" t="str">
            <v>NO</v>
          </cell>
          <cell r="E2667" t="str">
            <v>ASEPXIA SPOT GEL SECANTE ANTI IMPERFECCIONES 28G</v>
          </cell>
          <cell r="F2667" t="str">
            <v>CREMAS</v>
          </cell>
          <cell r="G2667" t="str">
            <v>GENO 04G2</v>
          </cell>
          <cell r="H2667" t="str">
            <v>ASEPXIA</v>
          </cell>
          <cell r="I2667">
            <v>6.04</v>
          </cell>
        </row>
        <row r="2668">
          <cell r="A2668" t="str">
            <v>19-02667</v>
          </cell>
          <cell r="B2668" t="str">
            <v>CESAR ARROCHA</v>
          </cell>
          <cell r="C2668" t="str">
            <v>A</v>
          </cell>
          <cell r="D2668" t="str">
            <v>NO</v>
          </cell>
          <cell r="E2668" t="str">
            <v>ASEPXIA JABON FORTE 100G</v>
          </cell>
          <cell r="F2668" t="str">
            <v>JABON</v>
          </cell>
          <cell r="G2668" t="str">
            <v>GENO 0429</v>
          </cell>
          <cell r="H2668" t="str">
            <v>ASEPXIA</v>
          </cell>
          <cell r="I2668">
            <v>2.95</v>
          </cell>
        </row>
        <row r="2669">
          <cell r="A2669" t="str">
            <v>19-02668</v>
          </cell>
          <cell r="B2669" t="str">
            <v>CESAR ARROCHA</v>
          </cell>
          <cell r="C2669" t="str">
            <v>A</v>
          </cell>
          <cell r="D2669" t="str">
            <v>NO</v>
          </cell>
          <cell r="E2669" t="str">
            <v>ASEPXIA JABON EXFOLIANTE 100G</v>
          </cell>
          <cell r="F2669" t="str">
            <v>JABON</v>
          </cell>
          <cell r="G2669" t="str">
            <v>GENO 0464</v>
          </cell>
          <cell r="H2669" t="str">
            <v>ASEPXIA</v>
          </cell>
          <cell r="I2669">
            <v>2.95</v>
          </cell>
        </row>
        <row r="2670">
          <cell r="A2670" t="str">
            <v>19-02669</v>
          </cell>
          <cell r="B2670" t="str">
            <v>CESAR ARROCHA</v>
          </cell>
          <cell r="C2670" t="str">
            <v>A</v>
          </cell>
          <cell r="D2670" t="str">
            <v>NO</v>
          </cell>
          <cell r="E2670" t="str">
            <v>ASEPXIA JABON NEUTRO 100G</v>
          </cell>
          <cell r="F2670" t="str">
            <v>JABON</v>
          </cell>
          <cell r="G2670" t="str">
            <v>GENO 0466</v>
          </cell>
          <cell r="H2670" t="str">
            <v>ASEPXIA</v>
          </cell>
          <cell r="I2670">
            <v>3.07</v>
          </cell>
        </row>
        <row r="2671">
          <cell r="A2671" t="str">
            <v>19-02670</v>
          </cell>
          <cell r="B2671" t="str">
            <v>CESAR ARROCHA</v>
          </cell>
          <cell r="C2671" t="str">
            <v>A</v>
          </cell>
          <cell r="D2671" t="str">
            <v>NO</v>
          </cell>
          <cell r="E2671" t="str">
            <v>SILUETTE 40  GEL TERMICO 200ML</v>
          </cell>
          <cell r="F2671" t="str">
            <v>CREMAS</v>
          </cell>
          <cell r="G2671" t="str">
            <v>GENO 1008</v>
          </cell>
          <cell r="H2671" t="str">
            <v>SILUETTE40</v>
          </cell>
          <cell r="I2671">
            <v>10.18</v>
          </cell>
        </row>
        <row r="2672">
          <cell r="A2672" t="str">
            <v>19-02671</v>
          </cell>
          <cell r="B2672" t="str">
            <v>ASTOR</v>
          </cell>
          <cell r="C2672" t="str">
            <v>A</v>
          </cell>
          <cell r="D2672" t="str">
            <v>SI</v>
          </cell>
          <cell r="E2672" t="str">
            <v>LOMECAN CREMA VAGINAL 20G</v>
          </cell>
          <cell r="F2672" t="str">
            <v>CREMAS</v>
          </cell>
          <cell r="G2672" t="str">
            <v>GENO 1153</v>
          </cell>
          <cell r="H2672" t="str">
            <v>LOMECAN</v>
          </cell>
          <cell r="I2672">
            <v>0</v>
          </cell>
        </row>
        <row r="2673">
          <cell r="A2673" t="str">
            <v>19-02672</v>
          </cell>
          <cell r="B2673" t="str">
            <v>CESAR ARROCHA</v>
          </cell>
          <cell r="C2673" t="str">
            <v>A</v>
          </cell>
          <cell r="D2673" t="str">
            <v>NO</v>
          </cell>
          <cell r="E2673" t="str">
            <v>ASEPXIA JABON HERBAL ASTRINGENTE 100G</v>
          </cell>
          <cell r="F2673" t="str">
            <v>JABON</v>
          </cell>
          <cell r="G2673" t="str">
            <v>GENO 12K2</v>
          </cell>
          <cell r="H2673" t="str">
            <v>ASEPXIA</v>
          </cell>
          <cell r="I2673">
            <v>3.07</v>
          </cell>
        </row>
        <row r="2674">
          <cell r="A2674" t="str">
            <v>19-02673</v>
          </cell>
          <cell r="B2674" t="str">
            <v>CESAR ARROCHA</v>
          </cell>
          <cell r="C2674" t="str">
            <v>A</v>
          </cell>
          <cell r="D2674" t="str">
            <v>NO</v>
          </cell>
          <cell r="E2674" t="str">
            <v>CICATRICURE CREMA 60G</v>
          </cell>
          <cell r="F2674" t="str">
            <v>CREMAS</v>
          </cell>
          <cell r="G2674" t="str">
            <v>GENO 3196</v>
          </cell>
          <cell r="H2674" t="str">
            <v>CICATRICURE</v>
          </cell>
          <cell r="I2674">
            <v>13.95</v>
          </cell>
        </row>
        <row r="2675">
          <cell r="A2675" t="str">
            <v>19-02674</v>
          </cell>
          <cell r="B2675" t="str">
            <v>CESAR ARROCHA</v>
          </cell>
          <cell r="C2675" t="str">
            <v>A</v>
          </cell>
          <cell r="D2675" t="str">
            <v>NO</v>
          </cell>
          <cell r="E2675" t="str">
            <v>CICATRICURE MICRO-DERMOABRASION + MASC PEEL OFF LATAM</v>
          </cell>
          <cell r="F2675" t="str">
            <v>CREMAS</v>
          </cell>
          <cell r="G2675" t="str">
            <v>GENO 3198</v>
          </cell>
          <cell r="H2675" t="str">
            <v>CICATRICURE</v>
          </cell>
          <cell r="I2675">
            <v>24.97</v>
          </cell>
        </row>
        <row r="2676">
          <cell r="A2676" t="str">
            <v>19-02675</v>
          </cell>
          <cell r="B2676" t="str">
            <v>CESAR ARROCHA</v>
          </cell>
          <cell r="C2676" t="str">
            <v>A</v>
          </cell>
          <cell r="D2676" t="str">
            <v>NO</v>
          </cell>
          <cell r="E2676" t="str">
            <v>CICATRICURE GEL PARA  CICATRICES DE 30G</v>
          </cell>
          <cell r="F2676" t="str">
            <v>CREMAS</v>
          </cell>
          <cell r="G2676" t="str">
            <v>GENO 3974</v>
          </cell>
          <cell r="H2676" t="str">
            <v>CICATRICURE</v>
          </cell>
          <cell r="I2676">
            <v>8.3000000000000007</v>
          </cell>
        </row>
        <row r="2677">
          <cell r="A2677" t="str">
            <v>19-02676</v>
          </cell>
          <cell r="B2677" t="str">
            <v>CESAR ARROCHA</v>
          </cell>
          <cell r="C2677" t="str">
            <v>A</v>
          </cell>
          <cell r="D2677" t="str">
            <v>NO</v>
          </cell>
          <cell r="E2677" t="str">
            <v>ASEPXIA TOALLITAS PAQUETE DE 25</v>
          </cell>
          <cell r="F2677" t="str">
            <v>WIPES</v>
          </cell>
          <cell r="G2677" t="str">
            <v>GENO 4216</v>
          </cell>
          <cell r="H2677" t="str">
            <v>ASEPXIA</v>
          </cell>
          <cell r="I2677">
            <v>5.79</v>
          </cell>
        </row>
        <row r="2678">
          <cell r="A2678" t="str">
            <v>19-02677</v>
          </cell>
          <cell r="B2678" t="str">
            <v>CESAR ARROCHA</v>
          </cell>
          <cell r="C2678" t="str">
            <v>A</v>
          </cell>
          <cell r="D2678" t="str">
            <v>NO</v>
          </cell>
          <cell r="E2678" t="str">
            <v>ASEPXIA TOALLITAS PAQUETE DE 10</v>
          </cell>
          <cell r="F2678" t="str">
            <v>WIPES</v>
          </cell>
          <cell r="G2678" t="str">
            <v>GENO 4223</v>
          </cell>
          <cell r="H2678" t="str">
            <v>ASEPXIA</v>
          </cell>
          <cell r="I2678">
            <v>2.82</v>
          </cell>
        </row>
        <row r="2679">
          <cell r="A2679" t="str">
            <v>19-02678</v>
          </cell>
          <cell r="B2679" t="str">
            <v>CESAR ARROCHA</v>
          </cell>
          <cell r="C2679" t="str">
            <v>A</v>
          </cell>
          <cell r="D2679" t="str">
            <v>NO</v>
          </cell>
          <cell r="E2679" t="str">
            <v>ASEPXIA GEL EXFOLIANTE PUNTOS NEGROS 150ML</v>
          </cell>
          <cell r="F2679" t="str">
            <v>CREMAS</v>
          </cell>
          <cell r="G2679" t="str">
            <v>GENO 4803</v>
          </cell>
          <cell r="H2679" t="str">
            <v>ASEPXIA</v>
          </cell>
          <cell r="I2679">
            <v>4.16</v>
          </cell>
        </row>
        <row r="2680">
          <cell r="A2680" t="str">
            <v>19-02679</v>
          </cell>
          <cell r="B2680" t="str">
            <v>CESAR ARROCHA</v>
          </cell>
          <cell r="C2680" t="str">
            <v>A</v>
          </cell>
          <cell r="D2680" t="str">
            <v>NO</v>
          </cell>
          <cell r="E2680" t="str">
            <v>CICATRICURE CREMA 30G</v>
          </cell>
          <cell r="F2680" t="str">
            <v>CREMAS</v>
          </cell>
          <cell r="G2680" t="str">
            <v>GENO 9950</v>
          </cell>
          <cell r="H2680" t="str">
            <v>CICATRICURE</v>
          </cell>
          <cell r="I2680">
            <v>9.0299999999999994</v>
          </cell>
        </row>
        <row r="2681">
          <cell r="A2681" t="str">
            <v>19-02680</v>
          </cell>
          <cell r="B2681" t="str">
            <v>ASTOR</v>
          </cell>
          <cell r="C2681" t="str">
            <v>A</v>
          </cell>
          <cell r="D2681" t="str">
            <v>NO</v>
          </cell>
          <cell r="E2681" t="str">
            <v>OSTEO BI-FLEX ONE PER DAY (30 CAPSULAS)</v>
          </cell>
          <cell r="F2681" t="str">
            <v>VITAMINAS</v>
          </cell>
          <cell r="G2681" t="str">
            <v>NABO 33049</v>
          </cell>
          <cell r="H2681" t="str">
            <v>OSTEO BI FLEX</v>
          </cell>
          <cell r="I2681">
            <v>0</v>
          </cell>
        </row>
        <row r="2682">
          <cell r="A2682" t="str">
            <v>19-02681</v>
          </cell>
          <cell r="B2682" t="str">
            <v>ASTOR</v>
          </cell>
          <cell r="C2682" t="str">
            <v>A</v>
          </cell>
          <cell r="D2682" t="str">
            <v>NO</v>
          </cell>
          <cell r="E2682" t="str">
            <v>OSTEO BI-FLEX TRIPLE STRENGTH (120 CAPSULAS)</v>
          </cell>
          <cell r="F2682" t="str">
            <v>VITAMINAS</v>
          </cell>
          <cell r="G2682" t="str">
            <v>NABO 52205</v>
          </cell>
          <cell r="H2682" t="str">
            <v>OSTEO BI FLEX</v>
          </cell>
          <cell r="I2682">
            <v>39.5</v>
          </cell>
        </row>
        <row r="2683">
          <cell r="A2683" t="str">
            <v>19-02682</v>
          </cell>
          <cell r="B2683" t="str">
            <v>ASTOR</v>
          </cell>
          <cell r="C2683" t="str">
            <v>A</v>
          </cell>
          <cell r="D2683" t="str">
            <v>NO</v>
          </cell>
          <cell r="E2683" t="str">
            <v>OSTEO BI-FLEX TRIPLE STRENGTH (40 CAPSULAS)</v>
          </cell>
          <cell r="F2683" t="str">
            <v>VITAMINAS</v>
          </cell>
          <cell r="G2683" t="str">
            <v>NABO 52271</v>
          </cell>
          <cell r="H2683" t="str">
            <v>OSTEO BI FLEX</v>
          </cell>
          <cell r="I2683">
            <v>15.38</v>
          </cell>
        </row>
        <row r="2684">
          <cell r="A2684" t="str">
            <v>19-02683</v>
          </cell>
          <cell r="B2684" t="str">
            <v>ASTOR</v>
          </cell>
          <cell r="C2684" t="str">
            <v>A</v>
          </cell>
          <cell r="D2684" t="str">
            <v>NO</v>
          </cell>
          <cell r="E2684" t="str">
            <v>OSTEO BI-FLEX TRIPLE STRENGTH  CON VITAMINA D. (80 CAPSULAS)</v>
          </cell>
          <cell r="F2684" t="str">
            <v>VITAMINAS</v>
          </cell>
          <cell r="G2684" t="str">
            <v>NABO 51444</v>
          </cell>
          <cell r="H2684" t="str">
            <v>OSTEO BI FLEX</v>
          </cell>
          <cell r="I2684">
            <v>28.62</v>
          </cell>
        </row>
        <row r="2685">
          <cell r="A2685" t="str">
            <v>19-02684</v>
          </cell>
          <cell r="B2685" t="str">
            <v>ASTOR</v>
          </cell>
          <cell r="C2685" t="str">
            <v>A</v>
          </cell>
          <cell r="D2685" t="str">
            <v>NO</v>
          </cell>
          <cell r="E2685" t="str">
            <v>OSTEO BI-FLEX JOINT &amp; MUSCLE (74 CAPSULAS)</v>
          </cell>
          <cell r="F2685" t="str">
            <v>VITAMINAS</v>
          </cell>
          <cell r="G2685" t="str">
            <v>NABO 50972</v>
          </cell>
          <cell r="H2685" t="str">
            <v>OSTEO BI FLEX</v>
          </cell>
          <cell r="I2685">
            <v>0</v>
          </cell>
        </row>
        <row r="2686">
          <cell r="A2686" t="str">
            <v>19-02685</v>
          </cell>
          <cell r="B2686" t="str">
            <v>CESAR ARROCHA</v>
          </cell>
          <cell r="C2686" t="str">
            <v>A</v>
          </cell>
          <cell r="D2686" t="str">
            <v>NO</v>
          </cell>
          <cell r="E2686" t="str">
            <v>NEUTROGENA DEEP CLEAN FACIAL CLEANSER 200ML</v>
          </cell>
          <cell r="F2686" t="str">
            <v>CREMAS</v>
          </cell>
          <cell r="G2686">
            <v>58865</v>
          </cell>
          <cell r="H2686" t="str">
            <v>NEUTROGENA</v>
          </cell>
          <cell r="I2686">
            <v>7.5</v>
          </cell>
        </row>
        <row r="2687">
          <cell r="A2687" t="str">
            <v>19-02686</v>
          </cell>
          <cell r="B2687" t="str">
            <v>CESAR ARROCHA</v>
          </cell>
          <cell r="C2687" t="str">
            <v>A</v>
          </cell>
          <cell r="D2687" t="str">
            <v>NO</v>
          </cell>
          <cell r="E2687" t="str">
            <v>NEUTROGENA DEEP CLEAN INVIGORATING FOAMING SCRUB 125ML</v>
          </cell>
          <cell r="F2687" t="str">
            <v>CREMAS</v>
          </cell>
          <cell r="G2687">
            <v>58900</v>
          </cell>
          <cell r="H2687" t="str">
            <v>NEUTROGENA</v>
          </cell>
          <cell r="I2687">
            <v>7.5</v>
          </cell>
        </row>
        <row r="2688">
          <cell r="A2688" t="str">
            <v>19-02687</v>
          </cell>
          <cell r="B2688" t="str">
            <v>CESAR ARROCHA</v>
          </cell>
          <cell r="C2688" t="str">
            <v>A</v>
          </cell>
          <cell r="D2688" t="str">
            <v>NO</v>
          </cell>
          <cell r="E2688" t="str">
            <v>NEUTROGENA DEEP CLEAN WIPES 25 COUNT</v>
          </cell>
          <cell r="F2688" t="str">
            <v>CREMAS</v>
          </cell>
          <cell r="G2688">
            <v>58867</v>
          </cell>
          <cell r="H2688" t="str">
            <v>NEUTROGENA</v>
          </cell>
          <cell r="I2688">
            <v>7.88</v>
          </cell>
        </row>
        <row r="2689">
          <cell r="A2689" t="str">
            <v>19-02688</v>
          </cell>
          <cell r="B2689" t="str">
            <v>CESAR ARROCHA</v>
          </cell>
          <cell r="C2689" t="str">
            <v>A</v>
          </cell>
          <cell r="D2689" t="str">
            <v>NO</v>
          </cell>
          <cell r="E2689" t="str">
            <v>NEUTROGENA OIL-FREE ACNE WASH PINK GRAPEFRUIT FACIAL CLEANSER 177ML</v>
          </cell>
          <cell r="F2689" t="str">
            <v>CREMAS</v>
          </cell>
          <cell r="G2689">
            <v>58868</v>
          </cell>
          <cell r="H2689" t="str">
            <v>NEUTROGENA</v>
          </cell>
          <cell r="I2689">
            <v>8.2100000000000009</v>
          </cell>
        </row>
        <row r="2690">
          <cell r="A2690" t="str">
            <v>19-02689</v>
          </cell>
          <cell r="B2690" t="str">
            <v>CESAR ARROCHA</v>
          </cell>
          <cell r="C2690" t="str">
            <v>A</v>
          </cell>
          <cell r="D2690" t="str">
            <v>NO</v>
          </cell>
          <cell r="E2690" t="str">
            <v>NEUTROGENA OIL-FREE ACNE WASH PINK GRAPEFRUIT FOAMING SCRUB 4.2OZ</v>
          </cell>
          <cell r="F2690" t="str">
            <v>CREMAS</v>
          </cell>
          <cell r="G2690">
            <v>58869</v>
          </cell>
          <cell r="H2690" t="str">
            <v>NEUTROGENA</v>
          </cell>
          <cell r="I2690">
            <v>8.2100000000000009</v>
          </cell>
        </row>
        <row r="2691">
          <cell r="A2691" t="str">
            <v>19-02690</v>
          </cell>
          <cell r="B2691" t="str">
            <v>CESAR ARROCHA</v>
          </cell>
          <cell r="C2691" t="str">
            <v>A</v>
          </cell>
          <cell r="D2691" t="str">
            <v>NO</v>
          </cell>
          <cell r="E2691" t="str">
            <v>NEUTROGENA MAKEUP REMOVER WIPES 7 COUNT</v>
          </cell>
          <cell r="F2691" t="str">
            <v>CREMAS</v>
          </cell>
          <cell r="G2691">
            <v>58912</v>
          </cell>
          <cell r="H2691" t="str">
            <v>NEUTROGENA</v>
          </cell>
          <cell r="I2691">
            <v>2.76</v>
          </cell>
        </row>
        <row r="2692">
          <cell r="A2692" t="str">
            <v>19-02691</v>
          </cell>
          <cell r="B2692" t="str">
            <v>CESAR ARROCHA</v>
          </cell>
          <cell r="C2692" t="str">
            <v>A</v>
          </cell>
          <cell r="D2692" t="str">
            <v>NO</v>
          </cell>
          <cell r="E2692" t="str">
            <v>NEUTROGENA MAKEUP REMOVER CLEANSING TOWELETTES REFILL PCK - 25 CT</v>
          </cell>
          <cell r="F2692" t="str">
            <v>CREMAS</v>
          </cell>
          <cell r="G2692">
            <v>58913</v>
          </cell>
          <cell r="H2692" t="str">
            <v>NEUTROGENA</v>
          </cell>
          <cell r="I2692">
            <v>7.88</v>
          </cell>
        </row>
        <row r="2693">
          <cell r="A2693" t="str">
            <v>19-02692</v>
          </cell>
          <cell r="B2693" t="str">
            <v>CESAR ARROCHA</v>
          </cell>
          <cell r="C2693" t="str">
            <v>A</v>
          </cell>
          <cell r="D2693" t="str">
            <v>NO</v>
          </cell>
          <cell r="E2693" t="str">
            <v>GOODY HEADBAND THIN ASSORTED  PATTERN</v>
          </cell>
          <cell r="F2693" t="str">
            <v>ACCESORIOS</v>
          </cell>
          <cell r="G2693" t="str">
            <v>GODY 03624</v>
          </cell>
          <cell r="H2693" t="str">
            <v>GOODY</v>
          </cell>
          <cell r="I2693">
            <v>3</v>
          </cell>
        </row>
        <row r="2694">
          <cell r="A2694" t="str">
            <v>19-02693</v>
          </cell>
          <cell r="B2694" t="str">
            <v>CESAR ARROCHA</v>
          </cell>
          <cell r="C2694" t="str">
            <v>A</v>
          </cell>
          <cell r="D2694" t="str">
            <v>NO</v>
          </cell>
          <cell r="E2694" t="str">
            <v>GOODY SIMULATED WOOD BRUSH</v>
          </cell>
          <cell r="F2694" t="str">
            <v>ACCESORIOS</v>
          </cell>
          <cell r="G2694" t="str">
            <v>GODY 04391</v>
          </cell>
          <cell r="H2694" t="str">
            <v>GOODY</v>
          </cell>
          <cell r="I2694">
            <v>0</v>
          </cell>
        </row>
        <row r="2695">
          <cell r="A2695" t="str">
            <v>19-02694</v>
          </cell>
          <cell r="B2695" t="str">
            <v>CESAR ARROCHA</v>
          </cell>
          <cell r="C2695" t="str">
            <v>A</v>
          </cell>
          <cell r="D2695" t="str">
            <v>NO</v>
          </cell>
          <cell r="E2695" t="str">
            <v>GOODY BARRETTE PATERNED STAY TIGHT</v>
          </cell>
          <cell r="F2695" t="str">
            <v>ACCESORIOS</v>
          </cell>
          <cell r="G2695" t="str">
            <v>GODY 04417</v>
          </cell>
          <cell r="H2695" t="str">
            <v>GOODY</v>
          </cell>
          <cell r="I2695">
            <v>2.78</v>
          </cell>
        </row>
        <row r="2696">
          <cell r="A2696" t="str">
            <v>19-02695</v>
          </cell>
          <cell r="B2696" t="str">
            <v>CESAR ARROCHA</v>
          </cell>
          <cell r="C2696" t="str">
            <v>A</v>
          </cell>
          <cell r="D2696" t="str">
            <v>NO</v>
          </cell>
          <cell r="E2696" t="str">
            <v>GOODY CLAWCLIPS SMALL SPIDER BLACK</v>
          </cell>
          <cell r="F2696" t="str">
            <v>ACCESORIOS</v>
          </cell>
          <cell r="G2696" t="str">
            <v>GODY 04432</v>
          </cell>
          <cell r="H2696" t="str">
            <v>GOODY</v>
          </cell>
          <cell r="I2696">
            <v>3.21</v>
          </cell>
        </row>
        <row r="2697">
          <cell r="A2697" t="str">
            <v>19-02696</v>
          </cell>
          <cell r="B2697" t="str">
            <v>CESAR ARROCHA</v>
          </cell>
          <cell r="C2697" t="str">
            <v>A</v>
          </cell>
          <cell r="D2697" t="str">
            <v>NO</v>
          </cell>
          <cell r="E2697" t="str">
            <v>GOODY OUCHLESS ELASTIC MIXED MYLAR T</v>
          </cell>
          <cell r="F2697" t="str">
            <v>ACCESORIOS</v>
          </cell>
          <cell r="G2697" t="str">
            <v>GODY 06391</v>
          </cell>
          <cell r="H2697" t="str">
            <v>GOODY</v>
          </cell>
          <cell r="I2697">
            <v>0</v>
          </cell>
        </row>
        <row r="2698">
          <cell r="A2698" t="str">
            <v>19-02697</v>
          </cell>
          <cell r="B2698" t="str">
            <v>CESAR ARROCHA</v>
          </cell>
          <cell r="C2698" t="str">
            <v>A</v>
          </cell>
          <cell r="D2698" t="str">
            <v>NO</v>
          </cell>
          <cell r="E2698" t="str">
            <v>GOODY ELASTIC COLOR PIPED EDGING</v>
          </cell>
          <cell r="F2698" t="str">
            <v>ACCESORIOS</v>
          </cell>
          <cell r="G2698" t="str">
            <v>GODY 06404</v>
          </cell>
          <cell r="H2698" t="str">
            <v>GOODY</v>
          </cell>
          <cell r="I2698">
            <v>2.62</v>
          </cell>
        </row>
        <row r="2699">
          <cell r="A2699" t="str">
            <v>19-02698</v>
          </cell>
          <cell r="B2699" t="str">
            <v>CESAR ARROCHA</v>
          </cell>
          <cell r="C2699" t="str">
            <v>A</v>
          </cell>
          <cell r="D2699" t="str">
            <v>NO</v>
          </cell>
          <cell r="E2699" t="str">
            <v>GOODY BARRETTE METALLIC GLOSSY STAYT</v>
          </cell>
          <cell r="F2699" t="str">
            <v>ACCESORIOS</v>
          </cell>
          <cell r="G2699" t="str">
            <v>GODY 06432</v>
          </cell>
          <cell r="H2699" t="str">
            <v>GOODY</v>
          </cell>
          <cell r="I2699">
            <v>2.62</v>
          </cell>
        </row>
        <row r="2700">
          <cell r="A2700" t="str">
            <v>19-02699</v>
          </cell>
          <cell r="B2700" t="str">
            <v>CESAR ARROCHA</v>
          </cell>
          <cell r="C2700" t="str">
            <v>A</v>
          </cell>
          <cell r="D2700" t="str">
            <v>NO</v>
          </cell>
          <cell r="E2700" t="str">
            <v>GOODY CONTOUR CLIP LG EPOXY ANIMAL P</v>
          </cell>
          <cell r="F2700" t="str">
            <v>ACCESORIOS</v>
          </cell>
          <cell r="G2700" t="str">
            <v>GODY 06745</v>
          </cell>
          <cell r="H2700" t="str">
            <v>GOODY</v>
          </cell>
          <cell r="I2700">
            <v>2.35</v>
          </cell>
        </row>
        <row r="2701">
          <cell r="A2701" t="str">
            <v>19-02700</v>
          </cell>
          <cell r="B2701" t="str">
            <v>CESAR ARROCHA</v>
          </cell>
          <cell r="C2701" t="str">
            <v>A</v>
          </cell>
          <cell r="D2701" t="str">
            <v>NO</v>
          </cell>
          <cell r="E2701" t="str">
            <v>GOODY HEADWRAP THIN MULTICOLOR MYLAR</v>
          </cell>
          <cell r="F2701" t="str">
            <v>ACCESORIOS</v>
          </cell>
          <cell r="G2701" t="str">
            <v>GODY 06750</v>
          </cell>
          <cell r="H2701" t="str">
            <v>GOODY</v>
          </cell>
          <cell r="I2701">
            <v>0</v>
          </cell>
        </row>
        <row r="2702">
          <cell r="A2702" t="str">
            <v>19-02701</v>
          </cell>
          <cell r="B2702" t="str">
            <v>CESAR ARROCHA</v>
          </cell>
          <cell r="C2702" t="str">
            <v>A</v>
          </cell>
          <cell r="D2702" t="str">
            <v>NO</v>
          </cell>
          <cell r="E2702" t="str">
            <v>GOODY OUCHESS ELAS RIBBON CHEVRON</v>
          </cell>
          <cell r="F2702" t="str">
            <v>ACCESORIOS</v>
          </cell>
          <cell r="G2702" t="str">
            <v>GODY 06964</v>
          </cell>
          <cell r="H2702" t="str">
            <v>GOODY</v>
          </cell>
          <cell r="I2702">
            <v>2.2999999999999998</v>
          </cell>
        </row>
        <row r="2703">
          <cell r="A2703" t="str">
            <v>19-02702</v>
          </cell>
          <cell r="B2703" t="str">
            <v>CESAR ARROCHA</v>
          </cell>
          <cell r="C2703" t="str">
            <v>A</v>
          </cell>
          <cell r="D2703" t="str">
            <v>NO</v>
          </cell>
          <cell r="E2703" t="str">
            <v>GOODY OUCHESS ELAS RIBBON DOUBLE CH</v>
          </cell>
          <cell r="F2703" t="str">
            <v>ACCESORIOS</v>
          </cell>
          <cell r="G2703" t="str">
            <v>GODY 06966</v>
          </cell>
          <cell r="H2703" t="str">
            <v>GOODY</v>
          </cell>
          <cell r="I2703">
            <v>2.2999999999999998</v>
          </cell>
        </row>
        <row r="2704">
          <cell r="A2704" t="str">
            <v>19-02703</v>
          </cell>
          <cell r="B2704" t="str">
            <v>CESAR ARROCHA</v>
          </cell>
          <cell r="C2704" t="str">
            <v>A</v>
          </cell>
          <cell r="D2704" t="str">
            <v>NO</v>
          </cell>
          <cell r="E2704" t="str">
            <v>GOODY HEADWRAP OUCHLESS BRAID STYLIS</v>
          </cell>
          <cell r="F2704" t="str">
            <v>ACCESORIOS</v>
          </cell>
          <cell r="G2704" t="str">
            <v>GODY 06981</v>
          </cell>
          <cell r="H2704" t="str">
            <v>GOODY</v>
          </cell>
          <cell r="I2704">
            <v>3.26</v>
          </cell>
        </row>
        <row r="2705">
          <cell r="A2705" t="str">
            <v>19-02704</v>
          </cell>
          <cell r="B2705" t="str">
            <v>CESAR ARROCHA</v>
          </cell>
          <cell r="C2705" t="str">
            <v>A</v>
          </cell>
          <cell r="D2705" t="str">
            <v>NO</v>
          </cell>
          <cell r="E2705" t="str">
            <v>GOODY CLAW CLIP MED SPIDER METALLIC</v>
          </cell>
          <cell r="F2705" t="str">
            <v>ACCESORIOS</v>
          </cell>
          <cell r="G2705" t="str">
            <v>GODY 06998</v>
          </cell>
          <cell r="H2705" t="str">
            <v>GOODY</v>
          </cell>
          <cell r="I2705">
            <v>2.68</v>
          </cell>
        </row>
        <row r="2706">
          <cell r="A2706" t="str">
            <v>19-02705</v>
          </cell>
          <cell r="B2706" t="str">
            <v>CESAR ARROCHA</v>
          </cell>
          <cell r="C2706" t="str">
            <v>A</v>
          </cell>
          <cell r="D2706" t="str">
            <v>NO</v>
          </cell>
          <cell r="E2706" t="str">
            <v>GOODY CLAWCLIP LARGE SQUARE</v>
          </cell>
          <cell r="F2706" t="str">
            <v>ACCESORIOS</v>
          </cell>
          <cell r="G2706" t="str">
            <v>GODY 07001</v>
          </cell>
          <cell r="H2706" t="str">
            <v>GOODY</v>
          </cell>
          <cell r="I2706">
            <v>2.62</v>
          </cell>
        </row>
        <row r="2707">
          <cell r="A2707" t="str">
            <v>19-02706</v>
          </cell>
          <cell r="B2707" t="str">
            <v>CESAR ARROCHA</v>
          </cell>
          <cell r="C2707" t="str">
            <v>A</v>
          </cell>
          <cell r="D2707" t="str">
            <v>NO</v>
          </cell>
          <cell r="E2707" t="str">
            <v>GOODY BARRETE CHAIN LINKTUTOCLASP</v>
          </cell>
          <cell r="F2707" t="str">
            <v>ACCESORIOS</v>
          </cell>
          <cell r="G2707" t="str">
            <v>GODY 08549</v>
          </cell>
          <cell r="H2707" t="str">
            <v>GOODY</v>
          </cell>
          <cell r="I2707">
            <v>2.62</v>
          </cell>
        </row>
        <row r="2708">
          <cell r="A2708" t="str">
            <v>19-02707</v>
          </cell>
          <cell r="B2708" t="str">
            <v>CESAR ARROCHA</v>
          </cell>
          <cell r="C2708" t="str">
            <v>A</v>
          </cell>
          <cell r="D2708" t="str">
            <v>NO</v>
          </cell>
          <cell r="E2708" t="str">
            <v>GOODY OUCHESS 4MM ELASTIC DOUBLE DA</v>
          </cell>
          <cell r="F2708" t="str">
            <v>ACCESORIOS</v>
          </cell>
          <cell r="G2708" t="str">
            <v>GODY 10920</v>
          </cell>
          <cell r="H2708" t="str">
            <v>GOODY</v>
          </cell>
          <cell r="I2708">
            <v>3.21</v>
          </cell>
        </row>
        <row r="2709">
          <cell r="A2709" t="str">
            <v>19-02708</v>
          </cell>
          <cell r="B2709" t="str">
            <v>CESAR ARROCHA</v>
          </cell>
          <cell r="C2709" t="str">
            <v>A</v>
          </cell>
          <cell r="D2709" t="str">
            <v>NO</v>
          </cell>
          <cell r="E2709" t="str">
            <v>GOODY OUCHLESS 4MM ELASTIC ROCK STAR</v>
          </cell>
          <cell r="F2709" t="str">
            <v>ACCESORIOS</v>
          </cell>
          <cell r="G2709" t="str">
            <v>GODY 10921</v>
          </cell>
          <cell r="H2709" t="str">
            <v>GOODY</v>
          </cell>
          <cell r="I2709">
            <v>3.21</v>
          </cell>
        </row>
        <row r="2710">
          <cell r="A2710" t="str">
            <v>19-02709</v>
          </cell>
          <cell r="B2710" t="str">
            <v>CESAR ARROCHA</v>
          </cell>
          <cell r="C2710" t="str">
            <v>A</v>
          </cell>
          <cell r="D2710" t="str">
            <v>NO</v>
          </cell>
          <cell r="E2710" t="str">
            <v>GOODY CLAW CLIP HALF 6 ON</v>
          </cell>
          <cell r="F2710" t="str">
            <v>ACCESORIOS</v>
          </cell>
          <cell r="G2710" t="str">
            <v>GODY 12309</v>
          </cell>
          <cell r="H2710" t="str">
            <v>GOODY</v>
          </cell>
          <cell r="I2710">
            <v>3.05</v>
          </cell>
        </row>
        <row r="2711">
          <cell r="A2711" t="str">
            <v>19-02710</v>
          </cell>
          <cell r="B2711" t="str">
            <v>CESAR ARROCHA</v>
          </cell>
          <cell r="C2711" t="str">
            <v>A</v>
          </cell>
          <cell r="D2711" t="str">
            <v>NO</v>
          </cell>
          <cell r="E2711" t="str">
            <v>GOODY ELASTIC OUCHLESS 4MM</v>
          </cell>
          <cell r="F2711" t="str">
            <v>ACCESORIOS</v>
          </cell>
          <cell r="G2711" t="str">
            <v>GODY 15934</v>
          </cell>
          <cell r="H2711" t="str">
            <v>GOODY</v>
          </cell>
          <cell r="I2711">
            <v>0</v>
          </cell>
        </row>
        <row r="2712">
          <cell r="A2712" t="str">
            <v>19-02711</v>
          </cell>
          <cell r="B2712" t="str">
            <v>CESAR ARROCHA</v>
          </cell>
          <cell r="C2712" t="str">
            <v>A</v>
          </cell>
          <cell r="D2712" t="str">
            <v>NO</v>
          </cell>
          <cell r="E2712" t="str">
            <v>GOODY OUCHLESS ELASTICS</v>
          </cell>
          <cell r="F2712" t="str">
            <v>ACCESORIOS</v>
          </cell>
          <cell r="G2712" t="str">
            <v>GODY 22058</v>
          </cell>
          <cell r="H2712" t="str">
            <v>GOODY</v>
          </cell>
          <cell r="I2712">
            <v>0</v>
          </cell>
        </row>
        <row r="2713">
          <cell r="A2713" t="str">
            <v>19-02712</v>
          </cell>
          <cell r="B2713" t="str">
            <v>CESAR ARROCHA</v>
          </cell>
          <cell r="C2713" t="str">
            <v>A</v>
          </cell>
          <cell r="D2713" t="str">
            <v>NO</v>
          </cell>
          <cell r="E2713" t="str">
            <v>GOODY CONTOUR CLIP GD.</v>
          </cell>
          <cell r="F2713" t="str">
            <v>ACCESORIOS</v>
          </cell>
          <cell r="G2713" t="str">
            <v>GODY 22131</v>
          </cell>
          <cell r="H2713" t="str">
            <v>GOODY</v>
          </cell>
          <cell r="I2713">
            <v>3.05</v>
          </cell>
        </row>
        <row r="2714">
          <cell r="A2714" t="str">
            <v>19-02713</v>
          </cell>
          <cell r="B2714" t="str">
            <v>CESAR ARROCHA</v>
          </cell>
          <cell r="C2714" t="str">
            <v>A</v>
          </cell>
          <cell r="D2714" t="str">
            <v>NO</v>
          </cell>
          <cell r="E2714" t="str">
            <v>GOODY LATEX ELASTICS MULTI SIZE 250</v>
          </cell>
          <cell r="F2714" t="str">
            <v>ACCESORIOS</v>
          </cell>
          <cell r="G2714" t="str">
            <v>GODY 22132</v>
          </cell>
          <cell r="H2714" t="str">
            <v>GOODY</v>
          </cell>
          <cell r="I2714">
            <v>3.42</v>
          </cell>
        </row>
        <row r="2715">
          <cell r="A2715" t="str">
            <v>19-02714</v>
          </cell>
          <cell r="B2715" t="str">
            <v>CESAR ARROCHA</v>
          </cell>
          <cell r="C2715" t="str">
            <v>A</v>
          </cell>
          <cell r="D2715" t="str">
            <v>NO</v>
          </cell>
          <cell r="E2715" t="str">
            <v>GOODY BRUSH SI BRIGHT STYLER</v>
          </cell>
          <cell r="F2715" t="str">
            <v>ACCESORIOS</v>
          </cell>
          <cell r="G2715" t="str">
            <v>GODY 30605</v>
          </cell>
          <cell r="H2715" t="str">
            <v>GOODY</v>
          </cell>
          <cell r="I2715">
            <v>2.41</v>
          </cell>
        </row>
        <row r="2716">
          <cell r="A2716" t="str">
            <v>19-02715</v>
          </cell>
          <cell r="B2716" t="str">
            <v>CESAR ARROCHA</v>
          </cell>
          <cell r="C2716" t="str">
            <v>A</v>
          </cell>
          <cell r="D2716" t="str">
            <v>NO</v>
          </cell>
          <cell r="E2716" t="str">
            <v>GOODY BRUSH SO BRIGHT "S"  STYLE CUSH</v>
          </cell>
          <cell r="F2716" t="str">
            <v>ACCESORIOS</v>
          </cell>
          <cell r="G2716" t="str">
            <v>GODY 30609</v>
          </cell>
          <cell r="H2716" t="str">
            <v>GOODY</v>
          </cell>
          <cell r="I2716">
            <v>2.41</v>
          </cell>
        </row>
        <row r="2717">
          <cell r="A2717" t="str">
            <v>19-02716</v>
          </cell>
          <cell r="B2717" t="str">
            <v>CESAR ARROCHA</v>
          </cell>
          <cell r="C2717" t="str">
            <v>A</v>
          </cell>
          <cell r="D2717" t="str">
            <v>NO</v>
          </cell>
          <cell r="E2717" t="str">
            <v>GOODY CONTOUR CLIP MINI EPOXY 16ON</v>
          </cell>
          <cell r="F2717" t="str">
            <v>ACCESORIOS</v>
          </cell>
          <cell r="G2717" t="str">
            <v>GODY 32143</v>
          </cell>
          <cell r="H2717" t="str">
            <v>GOODY</v>
          </cell>
          <cell r="I2717">
            <v>2.5099999999999998</v>
          </cell>
        </row>
        <row r="2718">
          <cell r="A2718" t="str">
            <v>19-02717</v>
          </cell>
          <cell r="B2718" t="str">
            <v>CESAR ARROCHA</v>
          </cell>
          <cell r="C2718" t="str">
            <v>A</v>
          </cell>
          <cell r="D2718" t="str">
            <v>NO</v>
          </cell>
          <cell r="E2718" t="str">
            <v>GOODY CONTOUR CLIP PAINTED 12  ON GKD</v>
          </cell>
          <cell r="F2718" t="str">
            <v>ACCESORIOS</v>
          </cell>
          <cell r="G2718" t="str">
            <v>GODY 32144</v>
          </cell>
          <cell r="H2718" t="str">
            <v>GOODY</v>
          </cell>
          <cell r="I2718">
            <v>2.0299999999999998</v>
          </cell>
        </row>
        <row r="2719">
          <cell r="A2719" t="str">
            <v>19-02718</v>
          </cell>
          <cell r="B2719" t="str">
            <v>CESAR ARROCHA</v>
          </cell>
          <cell r="C2719" t="str">
            <v>A</v>
          </cell>
          <cell r="D2719" t="str">
            <v>NO</v>
          </cell>
          <cell r="E2719" t="str">
            <v>GOODY CLAW CLIP 2 ON HALF CLS</v>
          </cell>
          <cell r="F2719" t="str">
            <v>ACCESORIOS</v>
          </cell>
          <cell r="G2719" t="str">
            <v>GODY 32764</v>
          </cell>
          <cell r="H2719" t="str">
            <v>GOODY</v>
          </cell>
          <cell r="I2719">
            <v>2.13</v>
          </cell>
        </row>
        <row r="2720">
          <cell r="A2720" t="str">
            <v>19-02719</v>
          </cell>
          <cell r="B2720" t="str">
            <v>CESAR ARROCHA</v>
          </cell>
          <cell r="C2720" t="str">
            <v>A</v>
          </cell>
          <cell r="D2720" t="str">
            <v>NO</v>
          </cell>
          <cell r="E2720" t="str">
            <v>GOODY KIDS 6 CONTOUR CLIPS WITH FLOWER</v>
          </cell>
          <cell r="F2720" t="str">
            <v>ACCESORIOS</v>
          </cell>
          <cell r="G2720" t="str">
            <v>GODY 32810</v>
          </cell>
          <cell r="H2720" t="str">
            <v>GOODY</v>
          </cell>
          <cell r="I2720">
            <v>2</v>
          </cell>
        </row>
        <row r="2721">
          <cell r="A2721" t="str">
            <v>19-02720</v>
          </cell>
          <cell r="B2721" t="str">
            <v>CESAR ARROCHA</v>
          </cell>
          <cell r="C2721" t="str">
            <v>A</v>
          </cell>
          <cell r="D2721" t="str">
            <v>NO</v>
          </cell>
          <cell r="E2721" t="str">
            <v>GOODY CLAW CLIP HALF BRUNETTE   4 ON.C</v>
          </cell>
          <cell r="F2721" t="str">
            <v>ACCESORIOS</v>
          </cell>
          <cell r="G2721" t="str">
            <v>GODY 76611</v>
          </cell>
          <cell r="H2721" t="str">
            <v>GOODY</v>
          </cell>
          <cell r="I2721">
            <v>2.62</v>
          </cell>
        </row>
        <row r="2722">
          <cell r="A2722" t="str">
            <v>19-02721</v>
          </cell>
          <cell r="B2722" t="str">
            <v>CESAR ARROCHA</v>
          </cell>
          <cell r="C2722" t="str">
            <v>A</v>
          </cell>
          <cell r="D2722" t="str">
            <v>NO</v>
          </cell>
          <cell r="E2722" t="str">
            <v>GOODY CLAW CLIP HALF MOON 3 ON</v>
          </cell>
          <cell r="F2722" t="str">
            <v>ACCESORIOS</v>
          </cell>
          <cell r="G2722" t="str">
            <v>GOODY 82767</v>
          </cell>
          <cell r="H2722" t="str">
            <v>GOODY</v>
          </cell>
          <cell r="I2722">
            <v>2.41</v>
          </cell>
        </row>
        <row r="2723">
          <cell r="A2723" t="str">
            <v>19-02722</v>
          </cell>
          <cell r="B2723" t="str">
            <v>CESAR ARROCHA</v>
          </cell>
          <cell r="C2723" t="str">
            <v>A</v>
          </cell>
          <cell r="D2723" t="str">
            <v>NO</v>
          </cell>
          <cell r="E2723" t="str">
            <v>GOODY CLAW CLIP 3 PRONG MINI 12 ON.C</v>
          </cell>
          <cell r="F2723" t="str">
            <v>ACCESORIOS</v>
          </cell>
          <cell r="G2723" t="str">
            <v>GODY 82775</v>
          </cell>
          <cell r="H2723" t="str">
            <v>GOODY</v>
          </cell>
          <cell r="I2723">
            <v>0</v>
          </cell>
        </row>
        <row r="2724">
          <cell r="A2724" t="str">
            <v>19-02723</v>
          </cell>
          <cell r="B2724" t="str">
            <v>ASTOR</v>
          </cell>
          <cell r="C2724" t="str">
            <v>D</v>
          </cell>
          <cell r="D2724" t="str">
            <v>N/A</v>
          </cell>
          <cell r="E2724" t="str">
            <v>SUNDOWN CALCIUM PLUS VITAMIN D3 600 MG DISCONTINUED</v>
          </cell>
          <cell r="F2724" t="str">
            <v>VITAMINAS</v>
          </cell>
          <cell r="G2724" t="str">
            <v>SUDO 44789</v>
          </cell>
          <cell r="H2724" t="str">
            <v>SUNDOWN NATURALS</v>
          </cell>
          <cell r="I2724">
            <v>3.49</v>
          </cell>
        </row>
        <row r="2725">
          <cell r="A2725" t="str">
            <v>19-02724</v>
          </cell>
          <cell r="B2725" t="str">
            <v>ASTOR</v>
          </cell>
          <cell r="C2725" t="str">
            <v>A</v>
          </cell>
          <cell r="D2725" t="str">
            <v>NO</v>
          </cell>
          <cell r="E2725" t="str">
            <v>SUNDOWN FISH OIL 1000 MG</v>
          </cell>
          <cell r="F2725" t="str">
            <v>VITAMINAS</v>
          </cell>
          <cell r="G2725" t="str">
            <v>SUDO 85335</v>
          </cell>
          <cell r="H2725" t="str">
            <v>SUNDOWN NATURALS</v>
          </cell>
          <cell r="I2725">
            <v>11.04</v>
          </cell>
        </row>
        <row r="2726">
          <cell r="A2726" t="str">
            <v>19-02725</v>
          </cell>
          <cell r="B2726" t="str">
            <v>ASTOR</v>
          </cell>
          <cell r="C2726" t="str">
            <v>A</v>
          </cell>
          <cell r="D2726" t="str">
            <v>NO</v>
          </cell>
          <cell r="E2726" t="str">
            <v>SUNDOWN HIGH POTENCY VITAMIN C 500 MG</v>
          </cell>
          <cell r="F2726" t="str">
            <v>VITAMINAS</v>
          </cell>
          <cell r="G2726" t="str">
            <v>SUDO 45071</v>
          </cell>
          <cell r="H2726" t="str">
            <v>SUNDOWN NATURALS</v>
          </cell>
          <cell r="I2726">
            <v>7.06</v>
          </cell>
        </row>
        <row r="2727">
          <cell r="A2727" t="str">
            <v>19-02726</v>
          </cell>
          <cell r="B2727" t="str">
            <v>ASTOR</v>
          </cell>
          <cell r="C2727" t="str">
            <v>A</v>
          </cell>
          <cell r="D2727" t="str">
            <v>NO</v>
          </cell>
          <cell r="E2727" t="str">
            <v>SUNDOWN MILK THISTLE XTRA 240MG</v>
          </cell>
          <cell r="F2727" t="str">
            <v>VITAMINAS</v>
          </cell>
          <cell r="G2727" t="str">
            <v>SUDO 44673</v>
          </cell>
          <cell r="H2727" t="str">
            <v>SUNDOWN NATURALS</v>
          </cell>
          <cell r="I2727">
            <v>4.53</v>
          </cell>
        </row>
        <row r="2728">
          <cell r="A2728" t="str">
            <v>19-02727</v>
          </cell>
          <cell r="B2728" t="str">
            <v>ASTOR</v>
          </cell>
          <cell r="C2728" t="str">
            <v>A</v>
          </cell>
          <cell r="D2728" t="str">
            <v>NO</v>
          </cell>
          <cell r="E2728" t="str">
            <v>SUNDOWN ADVANCED DOUBLE STRENGTH GLUCOSAMINE CHONDROITIN</v>
          </cell>
          <cell r="F2728" t="str">
            <v>VITAMINAS</v>
          </cell>
          <cell r="G2728" t="str">
            <v>SUDO 44778</v>
          </cell>
          <cell r="H2728" t="str">
            <v>SUNDOWN NATURALS</v>
          </cell>
          <cell r="I2728">
            <v>23.09</v>
          </cell>
        </row>
        <row r="2729">
          <cell r="A2729" t="str">
            <v>19-02728</v>
          </cell>
          <cell r="B2729" t="str">
            <v>ASTOR</v>
          </cell>
          <cell r="C2729" t="str">
            <v>A</v>
          </cell>
          <cell r="D2729" t="str">
            <v>NO</v>
          </cell>
          <cell r="E2729" t="str">
            <v>SUNDOWN NATURALS B COMPLEX VEGETARIAN FORMULA MULTI-VITAMIN SUPPLEMENT</v>
          </cell>
          <cell r="F2729" t="str">
            <v>VITAMINAS</v>
          </cell>
          <cell r="G2729" t="str">
            <v>SUDO 45101</v>
          </cell>
          <cell r="H2729" t="str">
            <v>SUNDOWN NATURALS</v>
          </cell>
          <cell r="I2729">
            <v>0</v>
          </cell>
        </row>
        <row r="2730">
          <cell r="A2730" t="str">
            <v>19-02729</v>
          </cell>
          <cell r="B2730" t="str">
            <v>ASTOR</v>
          </cell>
          <cell r="C2730" t="str">
            <v>D</v>
          </cell>
          <cell r="D2730" t="str">
            <v>N/A</v>
          </cell>
          <cell r="E2730" t="str">
            <v>SUNDOWN NATURALS B6 100MG</v>
          </cell>
          <cell r="F2730" t="str">
            <v>VITAMINAS</v>
          </cell>
          <cell r="G2730" t="str">
            <v>SUDO 45095</v>
          </cell>
          <cell r="H2730" t="str">
            <v>SUNDOWN NATURALS</v>
          </cell>
          <cell r="I2730">
            <v>0</v>
          </cell>
        </row>
        <row r="2731">
          <cell r="A2731" t="str">
            <v>19-02730</v>
          </cell>
          <cell r="B2731" t="str">
            <v>ASTOR</v>
          </cell>
          <cell r="C2731" t="str">
            <v>A</v>
          </cell>
          <cell r="D2731" t="str">
            <v>NO</v>
          </cell>
          <cell r="E2731" t="str">
            <v>SUNDOWN NATURALS CALCIUM MAGNESIUM AND ZINC</v>
          </cell>
          <cell r="F2731" t="str">
            <v>VITAMINAS</v>
          </cell>
          <cell r="G2731" t="str">
            <v>SUDO 44801</v>
          </cell>
          <cell r="H2731" t="str">
            <v>SUNDOWN NATURALS</v>
          </cell>
          <cell r="I2731">
            <v>4.55</v>
          </cell>
        </row>
        <row r="2732">
          <cell r="A2732" t="str">
            <v>19-02731</v>
          </cell>
          <cell r="B2732" t="str">
            <v>ASTOR</v>
          </cell>
          <cell r="C2732" t="str">
            <v>D</v>
          </cell>
          <cell r="D2732" t="str">
            <v>N/A</v>
          </cell>
          <cell r="E2732" t="str">
            <v>SUNDOWN NATURALS CHROMIUM PICOLINATE 200 MG DISCONTINUED</v>
          </cell>
          <cell r="F2732" t="str">
            <v>VITAMINAS</v>
          </cell>
          <cell r="G2732" t="str">
            <v>SUDO 45119</v>
          </cell>
          <cell r="H2732" t="str">
            <v>SUNDOWN NATURALS</v>
          </cell>
          <cell r="I2732">
            <v>5.54</v>
          </cell>
        </row>
        <row r="2733">
          <cell r="A2733" t="str">
            <v>19-02732</v>
          </cell>
          <cell r="B2733" t="str">
            <v>ASTOR</v>
          </cell>
          <cell r="C2733" t="str">
            <v>D</v>
          </cell>
          <cell r="D2733" t="str">
            <v>N/A</v>
          </cell>
          <cell r="E2733" t="str">
            <v>SUNDOWN NATURALS CINNAMON 500MG</v>
          </cell>
          <cell r="F2733" t="str">
            <v>VITAMINAS</v>
          </cell>
          <cell r="G2733" t="str">
            <v>SUDO 36244</v>
          </cell>
          <cell r="H2733" t="str">
            <v>SUNDOWN NATURALS</v>
          </cell>
          <cell r="I2733">
            <v>0</v>
          </cell>
        </row>
        <row r="2734">
          <cell r="A2734" t="str">
            <v>19-02733</v>
          </cell>
          <cell r="B2734" t="str">
            <v>ASTOR</v>
          </cell>
          <cell r="C2734" t="str">
            <v>D</v>
          </cell>
          <cell r="D2734" t="str">
            <v>N/A</v>
          </cell>
          <cell r="E2734" t="str">
            <v>SUNDOWN NATURALS CRANBERRY FRUIT HERBAL SUPPLEMENT</v>
          </cell>
          <cell r="F2734" t="str">
            <v>VITAMINAS</v>
          </cell>
          <cell r="G2734" t="str">
            <v>SUDO 44694</v>
          </cell>
          <cell r="H2734" t="str">
            <v>SUNDOWN NATURALS</v>
          </cell>
          <cell r="I2734">
            <v>0</v>
          </cell>
        </row>
        <row r="2735">
          <cell r="A2735" t="str">
            <v>19-02734</v>
          </cell>
          <cell r="B2735" t="str">
            <v>ASTOR</v>
          </cell>
          <cell r="C2735" t="str">
            <v>A</v>
          </cell>
          <cell r="D2735" t="str">
            <v>NO</v>
          </cell>
          <cell r="E2735" t="str">
            <v>SUNDOWN NATURALS DHEA DIETARY SUPPLEMENT 50 MG</v>
          </cell>
          <cell r="F2735" t="str">
            <v>VITAMINAS</v>
          </cell>
          <cell r="G2735" t="str">
            <v>SUDO 36233</v>
          </cell>
          <cell r="H2735" t="str">
            <v>SUNDOWN NATURALS</v>
          </cell>
          <cell r="I2735">
            <v>9.17</v>
          </cell>
        </row>
        <row r="2736">
          <cell r="A2736" t="str">
            <v>19-02735</v>
          </cell>
          <cell r="B2736" t="str">
            <v>ASTOR</v>
          </cell>
          <cell r="C2736" t="str">
            <v>A</v>
          </cell>
          <cell r="D2736" t="str">
            <v>NO</v>
          </cell>
          <cell r="E2736" t="str">
            <v>SUNDOWN NATURALS ECHINACEA 400MG</v>
          </cell>
          <cell r="F2736" t="str">
            <v>VITAMINAS</v>
          </cell>
          <cell r="G2736" t="str">
            <v>SUDO 44651</v>
          </cell>
          <cell r="H2736" t="str">
            <v>SUNDOWN NATURALS</v>
          </cell>
          <cell r="I2736">
            <v>0</v>
          </cell>
        </row>
        <row r="2737">
          <cell r="A2737" t="str">
            <v>19-02736</v>
          </cell>
          <cell r="B2737" t="str">
            <v>ASTOR</v>
          </cell>
          <cell r="C2737" t="str">
            <v>D</v>
          </cell>
          <cell r="D2737" t="str">
            <v>N/A</v>
          </cell>
          <cell r="E2737" t="str">
            <v>SUNDOWN NATURALS FISH OIL 1400 MG DISCONTINUED</v>
          </cell>
          <cell r="F2737" t="str">
            <v>VITAMINAS</v>
          </cell>
          <cell r="G2737" t="str">
            <v>SUDO 86105</v>
          </cell>
          <cell r="H2737" t="str">
            <v>SUNDOWN NATURALS</v>
          </cell>
          <cell r="I2737">
            <v>13.18</v>
          </cell>
        </row>
        <row r="2738">
          <cell r="A2738" t="str">
            <v>19-02737</v>
          </cell>
          <cell r="B2738" t="str">
            <v>ASTOR</v>
          </cell>
          <cell r="C2738" t="str">
            <v>A</v>
          </cell>
          <cell r="D2738" t="str">
            <v>NO</v>
          </cell>
          <cell r="E2738" t="str">
            <v>SUNDOWN NATURALS FOLIC ACID 800MG</v>
          </cell>
          <cell r="F2738" t="str">
            <v>VITAMINAS</v>
          </cell>
          <cell r="G2738" t="str">
            <v>SUDO 45133</v>
          </cell>
          <cell r="H2738" t="str">
            <v>SUNDOWN NATURALS</v>
          </cell>
          <cell r="I2738">
            <v>2.54</v>
          </cell>
        </row>
        <row r="2739">
          <cell r="A2739" t="str">
            <v>19-02738</v>
          </cell>
          <cell r="B2739" t="str">
            <v>ASTOR</v>
          </cell>
          <cell r="C2739" t="str">
            <v>A</v>
          </cell>
          <cell r="D2739" t="str">
            <v>NO</v>
          </cell>
          <cell r="E2739" t="str">
            <v>SUNDOWN NATURALS GINKGO BILOBA PLUS 60MG</v>
          </cell>
          <cell r="F2739" t="str">
            <v>VITAMINAS</v>
          </cell>
          <cell r="G2739" t="str">
            <v>SUDO 12508</v>
          </cell>
          <cell r="H2739" t="str">
            <v>SUNDOWN NATURALS</v>
          </cell>
          <cell r="I2739">
            <v>5.54</v>
          </cell>
        </row>
        <row r="2740">
          <cell r="A2740" t="str">
            <v>19-02739</v>
          </cell>
          <cell r="B2740" t="str">
            <v>ASTOR</v>
          </cell>
          <cell r="C2740" t="str">
            <v>D</v>
          </cell>
          <cell r="D2740" t="str">
            <v>N/A</v>
          </cell>
          <cell r="E2740" t="str">
            <v>SUNDOWN NATURALS GLUCOSAMINE 3000MG DISCONTINUED</v>
          </cell>
          <cell r="F2740" t="str">
            <v>VITAMINAS</v>
          </cell>
          <cell r="G2740" t="str">
            <v>SUDO 48716</v>
          </cell>
          <cell r="H2740" t="str">
            <v>SUNDOWN NATURALS</v>
          </cell>
          <cell r="I2740">
            <v>10.74</v>
          </cell>
        </row>
        <row r="2741">
          <cell r="A2741" t="str">
            <v>19-02740</v>
          </cell>
          <cell r="B2741" t="str">
            <v>ASTOR</v>
          </cell>
          <cell r="C2741" t="str">
            <v>D</v>
          </cell>
          <cell r="D2741" t="str">
            <v>N/A</v>
          </cell>
          <cell r="E2741" t="str">
            <v>SUNDOWN NATURALS GREEN TEA 630 MG</v>
          </cell>
          <cell r="F2741" t="str">
            <v>VITAMINAS</v>
          </cell>
          <cell r="G2741" t="str">
            <v>SUDO 3134</v>
          </cell>
          <cell r="H2741" t="str">
            <v>SUNDOWN NATURALS</v>
          </cell>
          <cell r="I2741">
            <v>0</v>
          </cell>
        </row>
        <row r="2742">
          <cell r="A2742" t="str">
            <v>19-02741</v>
          </cell>
          <cell r="B2742" t="str">
            <v>ASTOR</v>
          </cell>
          <cell r="C2742" t="str">
            <v>A</v>
          </cell>
          <cell r="D2742" t="str">
            <v>NO</v>
          </cell>
          <cell r="E2742" t="str">
            <v>SUNDOWN NATURALS HIGH POTENCY PERFECT IRON</v>
          </cell>
          <cell r="F2742" t="str">
            <v>VITAMINAS</v>
          </cell>
          <cell r="G2742" t="str">
            <v>SUDO 44719</v>
          </cell>
          <cell r="H2742" t="str">
            <v>SUNDOWN NATURALS</v>
          </cell>
          <cell r="I2742">
            <v>7.79</v>
          </cell>
        </row>
        <row r="2743">
          <cell r="A2743" t="str">
            <v>19-02742</v>
          </cell>
          <cell r="B2743" t="str">
            <v>ASTOR</v>
          </cell>
          <cell r="C2743" t="str">
            <v>A</v>
          </cell>
          <cell r="D2743" t="str">
            <v>NO</v>
          </cell>
          <cell r="E2743" t="str">
            <v>SUNDOWN NATURALS L- CARNITINE 500MG</v>
          </cell>
          <cell r="F2743" t="str">
            <v>VITAMINAS</v>
          </cell>
          <cell r="G2743" t="str">
            <v>SUDO 44854</v>
          </cell>
          <cell r="H2743" t="str">
            <v>SUNDOWN NATURALS</v>
          </cell>
          <cell r="I2743">
            <v>9.02</v>
          </cell>
        </row>
        <row r="2744">
          <cell r="A2744" t="str">
            <v>19-02743</v>
          </cell>
          <cell r="B2744" t="str">
            <v>ASTOR</v>
          </cell>
          <cell r="C2744" t="str">
            <v>A</v>
          </cell>
          <cell r="D2744" t="str">
            <v>NO</v>
          </cell>
          <cell r="E2744" t="str">
            <v>SUNDOWN NATURALS L-LYSINE 500MG</v>
          </cell>
          <cell r="F2744" t="str">
            <v>VITAMINAS</v>
          </cell>
          <cell r="G2744" t="str">
            <v>SUDO 45123</v>
          </cell>
          <cell r="H2744" t="str">
            <v>SUNDOWN NATURALS</v>
          </cell>
          <cell r="I2744">
            <v>5.25</v>
          </cell>
        </row>
        <row r="2745">
          <cell r="A2745" t="str">
            <v>19-02744</v>
          </cell>
          <cell r="B2745" t="str">
            <v>ASTOR</v>
          </cell>
          <cell r="C2745" t="str">
            <v>A</v>
          </cell>
          <cell r="D2745" t="str">
            <v>NO</v>
          </cell>
          <cell r="E2745" t="str">
            <v>SUNDOWN NATURALS MELATONIN 3MG</v>
          </cell>
          <cell r="F2745" t="str">
            <v>VITAMINAS</v>
          </cell>
          <cell r="G2745" t="str">
            <v>SUDO 48685</v>
          </cell>
          <cell r="H2745" t="str">
            <v>SUNDOWN NATURALS</v>
          </cell>
          <cell r="I2745">
            <v>4.13</v>
          </cell>
        </row>
        <row r="2746">
          <cell r="A2746" t="str">
            <v>19-02745</v>
          </cell>
          <cell r="B2746" t="str">
            <v>ASTOR</v>
          </cell>
          <cell r="C2746" t="str">
            <v>D</v>
          </cell>
          <cell r="D2746" t="str">
            <v>N/A</v>
          </cell>
          <cell r="E2746" t="str">
            <v>SUNDOWN NATURALS NIACIN 500 MG DISCONTINUED</v>
          </cell>
          <cell r="F2746" t="str">
            <v>VITAMINAS</v>
          </cell>
          <cell r="G2746" t="str">
            <v>SUDO 44761</v>
          </cell>
          <cell r="H2746" t="str">
            <v>SUNDOWN NATURALS</v>
          </cell>
          <cell r="I2746">
            <v>5.71</v>
          </cell>
        </row>
        <row r="2747">
          <cell r="A2747" t="str">
            <v>19-02746</v>
          </cell>
          <cell r="B2747" t="str">
            <v>ASTOR</v>
          </cell>
          <cell r="C2747" t="str">
            <v>A</v>
          </cell>
          <cell r="D2747" t="str">
            <v>NO</v>
          </cell>
          <cell r="E2747" t="str">
            <v>SUNDOWN NATURALS ODORLESS GARLIC 1000 MG</v>
          </cell>
          <cell r="F2747" t="str">
            <v>VITAMINAS</v>
          </cell>
          <cell r="G2747" t="str">
            <v>SUDO 36234</v>
          </cell>
          <cell r="H2747" t="str">
            <v>SUNDOWN NATURALS</v>
          </cell>
          <cell r="I2747">
            <v>11.48</v>
          </cell>
        </row>
        <row r="2748">
          <cell r="A2748" t="str">
            <v>19-02747</v>
          </cell>
          <cell r="B2748" t="str">
            <v>ASTOR</v>
          </cell>
          <cell r="C2748" t="str">
            <v>D</v>
          </cell>
          <cell r="D2748" t="str">
            <v>N/A</v>
          </cell>
          <cell r="E2748" t="str">
            <v>SUNDOWN NATURALS POTASSIUM GLUCONATE 595MG DISCONTINUED</v>
          </cell>
          <cell r="F2748" t="str">
            <v>VITAMINAS</v>
          </cell>
          <cell r="G2748" t="str">
            <v>SUDO 45105</v>
          </cell>
          <cell r="H2748" t="str">
            <v>SUNDOWN NATURALS</v>
          </cell>
          <cell r="I2748">
            <v>3.48</v>
          </cell>
        </row>
        <row r="2749">
          <cell r="A2749" t="str">
            <v>19-02748</v>
          </cell>
          <cell r="B2749" t="str">
            <v>ASTOR</v>
          </cell>
          <cell r="C2749" t="str">
            <v>D</v>
          </cell>
          <cell r="D2749" t="str">
            <v>N/A</v>
          </cell>
          <cell r="E2749" t="str">
            <v>SUNDOWN NATURALS Q-SORB CO Q-10 30MG DISCONTINUED</v>
          </cell>
          <cell r="F2749" t="str">
            <v>VITAMINAS</v>
          </cell>
          <cell r="G2749" t="str">
            <v>SUDO 85201</v>
          </cell>
          <cell r="H2749" t="str">
            <v>SUNDOWN NATURALS</v>
          </cell>
          <cell r="I2749">
            <v>7.24</v>
          </cell>
        </row>
        <row r="2750">
          <cell r="A2750" t="str">
            <v>19-02749</v>
          </cell>
          <cell r="B2750" t="str">
            <v>ASTOR</v>
          </cell>
          <cell r="C2750" t="str">
            <v>A</v>
          </cell>
          <cell r="D2750" t="str">
            <v>NO</v>
          </cell>
          <cell r="E2750" t="str">
            <v>SUNDOWN NATURALS SAW PALMETTO 450MG</v>
          </cell>
          <cell r="F2750" t="str">
            <v>VITAMINAS</v>
          </cell>
          <cell r="G2750" t="str">
            <v>SUDO 465341</v>
          </cell>
          <cell r="H2750" t="str">
            <v>SUNDOWN NATURALS</v>
          </cell>
          <cell r="I2750">
            <v>5.97</v>
          </cell>
        </row>
        <row r="2751">
          <cell r="A2751" t="str">
            <v>19-02750</v>
          </cell>
          <cell r="B2751" t="str">
            <v>ASTOR</v>
          </cell>
          <cell r="C2751" t="str">
            <v>D</v>
          </cell>
          <cell r="D2751" t="str">
            <v>N/A</v>
          </cell>
          <cell r="E2751" t="str">
            <v>SUNDOWN NATURALS SELENIUM 200MCG DISCONTINUED</v>
          </cell>
          <cell r="F2751" t="str">
            <v>VITAMINAS</v>
          </cell>
          <cell r="G2751" t="str">
            <v>SUDO 15931</v>
          </cell>
          <cell r="H2751" t="str">
            <v>SUNDOWN NATURALS</v>
          </cell>
          <cell r="I2751">
            <v>3.66</v>
          </cell>
        </row>
        <row r="2752">
          <cell r="A2752" t="str">
            <v>19-02751</v>
          </cell>
          <cell r="B2752" t="str">
            <v>ASTOR</v>
          </cell>
          <cell r="C2752" t="str">
            <v>A</v>
          </cell>
          <cell r="D2752" t="str">
            <v>NO</v>
          </cell>
          <cell r="E2752" t="str">
            <v>SUNDOWN NATURALS VALERIAN ROOT 530MG</v>
          </cell>
          <cell r="F2752" t="str">
            <v>VITAMINAS</v>
          </cell>
          <cell r="G2752" t="str">
            <v>SUDO 44665</v>
          </cell>
          <cell r="H2752" t="str">
            <v>SUNDOWN NATURALS</v>
          </cell>
          <cell r="I2752">
            <v>4.3</v>
          </cell>
        </row>
        <row r="2753">
          <cell r="A2753" t="str">
            <v>19-02752</v>
          </cell>
          <cell r="B2753" t="str">
            <v>ASTOR</v>
          </cell>
          <cell r="C2753" t="str">
            <v>A</v>
          </cell>
          <cell r="D2753" t="str">
            <v>NO</v>
          </cell>
          <cell r="E2753" t="str">
            <v>SUNDOWN NATURALS VITAMIN C 500 MG</v>
          </cell>
          <cell r="F2753" t="str">
            <v>VITAMINAS</v>
          </cell>
          <cell r="G2753" t="str">
            <v>SUDO 45093</v>
          </cell>
          <cell r="H2753" t="str">
            <v>SUNDOWN NATURALS</v>
          </cell>
          <cell r="I2753">
            <v>7.06</v>
          </cell>
        </row>
        <row r="2754">
          <cell r="A2754" t="str">
            <v>19-02753</v>
          </cell>
          <cell r="B2754" t="str">
            <v>ASTOR</v>
          </cell>
          <cell r="C2754" t="str">
            <v>D</v>
          </cell>
          <cell r="D2754" t="str">
            <v>N/A</v>
          </cell>
          <cell r="E2754" t="str">
            <v>SUNDOWN NATURALS VITAMIN E 1000 IU</v>
          </cell>
          <cell r="F2754" t="str">
            <v>VITAMINAS</v>
          </cell>
          <cell r="G2754" t="str">
            <v>SUDO 559</v>
          </cell>
          <cell r="H2754" t="str">
            <v>SUNDOWN NATURALS</v>
          </cell>
          <cell r="I2754">
            <v>0</v>
          </cell>
        </row>
        <row r="2755">
          <cell r="A2755" t="str">
            <v>19-02754</v>
          </cell>
          <cell r="B2755" t="str">
            <v>ASTOR</v>
          </cell>
          <cell r="C2755" t="str">
            <v>A</v>
          </cell>
          <cell r="D2755" t="str">
            <v>NO</v>
          </cell>
          <cell r="E2755" t="str">
            <v>SUNDOWN NATURALS ZINC 50MG</v>
          </cell>
          <cell r="F2755" t="str">
            <v>VITAMINAS</v>
          </cell>
          <cell r="G2755" t="str">
            <v>SUDO 44851</v>
          </cell>
          <cell r="H2755" t="str">
            <v>SUNDOWN NATURALS</v>
          </cell>
          <cell r="I2755">
            <v>0</v>
          </cell>
        </row>
        <row r="2756">
          <cell r="A2756" t="str">
            <v>19-02755</v>
          </cell>
          <cell r="B2756" t="str">
            <v>ASTOR</v>
          </cell>
          <cell r="C2756" t="str">
            <v>D</v>
          </cell>
          <cell r="D2756" t="str">
            <v>N/A</v>
          </cell>
          <cell r="E2756" t="str">
            <v>SUNDOWN ULTRA SOYA LECITHIN 1200 MG DISCONTINUED</v>
          </cell>
          <cell r="F2756" t="str">
            <v>VITAMINAS</v>
          </cell>
          <cell r="G2756" t="str">
            <v>SUDO 45364</v>
          </cell>
          <cell r="H2756" t="str">
            <v>SUNDOWN NATURALS</v>
          </cell>
          <cell r="I2756">
            <v>6.15</v>
          </cell>
        </row>
        <row r="2757">
          <cell r="A2757" t="str">
            <v>19-02756</v>
          </cell>
          <cell r="B2757" t="str">
            <v>ASTOR</v>
          </cell>
          <cell r="C2757" t="str">
            <v>D</v>
          </cell>
          <cell r="D2757" t="str">
            <v>N/A</v>
          </cell>
          <cell r="E2757" t="str">
            <v>SUNDOWN VITAMIN D3 WITH VITAMIN A 400 IU DISCONTINUED</v>
          </cell>
          <cell r="F2757" t="str">
            <v>VITAMINAS</v>
          </cell>
          <cell r="G2757" t="str">
            <v>SUDO 45369</v>
          </cell>
          <cell r="H2757" t="str">
            <v>SUNDOWN NATURALS</v>
          </cell>
          <cell r="I2757">
            <v>3.17</v>
          </cell>
        </row>
        <row r="2758">
          <cell r="A2758" t="str">
            <v>19-02757</v>
          </cell>
          <cell r="B2758" t="str">
            <v>ASTOR</v>
          </cell>
          <cell r="C2758" t="str">
            <v>A</v>
          </cell>
          <cell r="D2758" t="str">
            <v>NO</v>
          </cell>
          <cell r="E2758" t="str">
            <v>SUNDOWN VITAMIN E 400 IU</v>
          </cell>
          <cell r="F2758" t="str">
            <v>VITAMINAS</v>
          </cell>
          <cell r="G2758" t="str">
            <v>SUDO 45223</v>
          </cell>
          <cell r="H2758" t="str">
            <v>SUNDOWN NATURALS</v>
          </cell>
          <cell r="I2758">
            <v>9.3000000000000007</v>
          </cell>
        </row>
        <row r="2759">
          <cell r="A2759" t="str">
            <v>19-02758</v>
          </cell>
          <cell r="B2759" t="str">
            <v>ASTOR</v>
          </cell>
          <cell r="C2759" t="str">
            <v>D</v>
          </cell>
          <cell r="D2759" t="str">
            <v>N/A</v>
          </cell>
          <cell r="E2759" t="str">
            <v>SUNDOWN ACIDOPHILUS XTRA DISCONTINUED</v>
          </cell>
          <cell r="F2759" t="str">
            <v>VITAMINAS</v>
          </cell>
          <cell r="G2759" t="str">
            <v>SUDO 44470</v>
          </cell>
          <cell r="H2759" t="str">
            <v>SUNDOWN NATURALS</v>
          </cell>
          <cell r="I2759">
            <v>4.7699999999999996</v>
          </cell>
        </row>
        <row r="2760">
          <cell r="A2760" t="str">
            <v>19-02759</v>
          </cell>
          <cell r="B2760" t="str">
            <v>ASTOR</v>
          </cell>
          <cell r="C2760" t="str">
            <v>A</v>
          </cell>
          <cell r="D2760" t="str">
            <v>NO</v>
          </cell>
          <cell r="E2760" t="str">
            <v>HALIBORANGE VITAMINA C EFERVESCENTE SABOR NARANJA 1000MG</v>
          </cell>
          <cell r="F2760" t="str">
            <v>VITAMINAS</v>
          </cell>
          <cell r="G2760" t="str">
            <v>CODL 106506</v>
          </cell>
          <cell r="H2760" t="str">
            <v>HALIBORANGE</v>
          </cell>
          <cell r="I2760">
            <v>4.95</v>
          </cell>
        </row>
        <row r="2761">
          <cell r="A2761" t="str">
            <v>19-02760</v>
          </cell>
          <cell r="B2761" t="str">
            <v>ASTOR</v>
          </cell>
          <cell r="C2761" t="str">
            <v>A</v>
          </cell>
          <cell r="D2761" t="str">
            <v>NO</v>
          </cell>
          <cell r="E2761" t="str">
            <v>HALIBORANGE VITAMINA C EFEVESCENTE SABOR BLACKCURRANT 1000MG</v>
          </cell>
          <cell r="F2761" t="str">
            <v>VITAMINAS</v>
          </cell>
          <cell r="G2761" t="str">
            <v>CODL 110503</v>
          </cell>
          <cell r="H2761" t="str">
            <v>HALIBORANGE</v>
          </cell>
          <cell r="I2761">
            <v>4.95</v>
          </cell>
        </row>
        <row r="2762">
          <cell r="A2762" t="str">
            <v>19-02761</v>
          </cell>
          <cell r="B2762" t="str">
            <v>ASTOR</v>
          </cell>
          <cell r="C2762" t="str">
            <v>A</v>
          </cell>
          <cell r="D2762" t="str">
            <v>NO</v>
          </cell>
          <cell r="E2762" t="str">
            <v>HALIBONBONS VITAMINA C MASTICABLE PARA NINOS  (30 MASTICABLES)</v>
          </cell>
          <cell r="F2762" t="str">
            <v>VITAMINAS</v>
          </cell>
          <cell r="G2762" t="str">
            <v>CODL 111906</v>
          </cell>
          <cell r="H2762" t="str">
            <v>HALIBORANGE</v>
          </cell>
          <cell r="I2762">
            <v>4.1500000000000004</v>
          </cell>
        </row>
        <row r="2763">
          <cell r="A2763" t="str">
            <v>19-02762</v>
          </cell>
          <cell r="B2763" t="str">
            <v>ASTOR</v>
          </cell>
          <cell r="C2763" t="str">
            <v>A</v>
          </cell>
          <cell r="D2763" t="str">
            <v>NO</v>
          </cell>
          <cell r="E2763" t="str">
            <v>HALIBORANGE MULTIVITAMINA LIQUIDA PARA NINOS SIN AZUCAR 250 ML</v>
          </cell>
          <cell r="F2763" t="str">
            <v>VITAMINAS</v>
          </cell>
          <cell r="G2763" t="str">
            <v>CODL 109903</v>
          </cell>
          <cell r="H2763" t="str">
            <v>HALIBORANGE</v>
          </cell>
          <cell r="I2763">
            <v>7.13</v>
          </cell>
        </row>
        <row r="2764">
          <cell r="A2764" t="str">
            <v>19-02763</v>
          </cell>
          <cell r="B2764" t="str">
            <v>ASTOR</v>
          </cell>
          <cell r="C2764" t="str">
            <v>A</v>
          </cell>
          <cell r="D2764" t="str">
            <v>NO</v>
          </cell>
          <cell r="E2764" t="str">
            <v>HALIBORANGE OMEGA 3 PARA NINOS SABOR NARANJA 30 CAPSULAS</v>
          </cell>
          <cell r="F2764" t="str">
            <v>VITAMINAS</v>
          </cell>
          <cell r="G2764" t="str">
            <v>CODL 119110</v>
          </cell>
          <cell r="H2764" t="str">
            <v>HALIBORANGE</v>
          </cell>
          <cell r="I2764">
            <v>5.75</v>
          </cell>
        </row>
        <row r="2765">
          <cell r="A2765" t="str">
            <v>19-02764</v>
          </cell>
          <cell r="B2765" t="str">
            <v>ASTOR</v>
          </cell>
          <cell r="C2765" t="str">
            <v>A</v>
          </cell>
          <cell r="D2765" t="str">
            <v>NO</v>
          </cell>
          <cell r="E2765" t="str">
            <v>BEKUNIS TE LAXANTE</v>
          </cell>
          <cell r="F2765" t="str">
            <v>VITAMINAS</v>
          </cell>
          <cell r="G2765" t="str">
            <v>ROPH HOJAS</v>
          </cell>
          <cell r="H2765" t="str">
            <v>BEKUNIS</v>
          </cell>
          <cell r="I2765">
            <v>0</v>
          </cell>
        </row>
        <row r="2766">
          <cell r="A2766" t="str">
            <v>19-02765</v>
          </cell>
          <cell r="B2766" t="str">
            <v>ASTOR</v>
          </cell>
          <cell r="C2766" t="str">
            <v>A</v>
          </cell>
          <cell r="D2766" t="str">
            <v>SI</v>
          </cell>
          <cell r="E2766" t="str">
            <v>CIRKULIN GRAGEAS DE PAPAYA + ALCACHOFA (30 GRAGEAS)</v>
          </cell>
          <cell r="F2766" t="str">
            <v>VITAMINAS</v>
          </cell>
          <cell r="G2766" t="str">
            <v>ROPH 8290</v>
          </cell>
          <cell r="H2766" t="str">
            <v>CIRKULIN</v>
          </cell>
          <cell r="I2766">
            <v>0</v>
          </cell>
        </row>
        <row r="2767">
          <cell r="A2767" t="str">
            <v>19-02766</v>
          </cell>
          <cell r="B2767" t="str">
            <v>ASTOR</v>
          </cell>
          <cell r="C2767" t="str">
            <v>A</v>
          </cell>
          <cell r="D2767" t="str">
            <v>SI</v>
          </cell>
          <cell r="E2767" t="str">
            <v>CIRKULIN GRAGEAS DE PAPAYA + ALCACHOFA (15 GRAGEAS)</v>
          </cell>
          <cell r="F2767" t="str">
            <v>VITAMINAS</v>
          </cell>
          <cell r="G2767" t="str">
            <v>ROPH 8295</v>
          </cell>
          <cell r="H2767" t="str">
            <v>CIRKULIN</v>
          </cell>
          <cell r="I2767">
            <v>0</v>
          </cell>
        </row>
        <row r="2768">
          <cell r="A2768" t="str">
            <v>19-02767</v>
          </cell>
          <cell r="B2768" t="str">
            <v>ASTOR</v>
          </cell>
          <cell r="C2768" t="str">
            <v>A</v>
          </cell>
          <cell r="D2768" t="str">
            <v>SI</v>
          </cell>
          <cell r="E2768" t="str">
            <v>BEKUNIS GRAGEAS DE SEN (100 GRAGEAS)</v>
          </cell>
          <cell r="F2768" t="str">
            <v>VITAMINAS</v>
          </cell>
          <cell r="G2768" t="str">
            <v>ROPH 100 TABS</v>
          </cell>
          <cell r="H2768" t="str">
            <v>BEKUNIS</v>
          </cell>
          <cell r="I2768">
            <v>0</v>
          </cell>
        </row>
        <row r="2769">
          <cell r="A2769" t="str">
            <v>19-02768</v>
          </cell>
          <cell r="B2769" t="str">
            <v>ASTOR</v>
          </cell>
          <cell r="C2769" t="str">
            <v>A</v>
          </cell>
          <cell r="D2769" t="str">
            <v>SI</v>
          </cell>
          <cell r="E2769" t="str">
            <v>BEKUNIS GRAGEAS DE SEN (45 GRAGEAS)</v>
          </cell>
          <cell r="F2769" t="str">
            <v>VITAMINAS</v>
          </cell>
          <cell r="G2769" t="str">
            <v>ROPH 12600</v>
          </cell>
          <cell r="H2769" t="str">
            <v>BEKUNIS</v>
          </cell>
          <cell r="I2769">
            <v>0</v>
          </cell>
        </row>
        <row r="2770">
          <cell r="A2770" t="str">
            <v>19-02769</v>
          </cell>
          <cell r="B2770" t="str">
            <v>ASTOR</v>
          </cell>
          <cell r="C2770" t="str">
            <v>A</v>
          </cell>
          <cell r="D2770" t="str">
            <v>SI</v>
          </cell>
          <cell r="E2770" t="str">
            <v>CIRKULIN PERLAS E AJO (180 PERLAS)</v>
          </cell>
          <cell r="F2770" t="str">
            <v>VITAMINAS</v>
          </cell>
          <cell r="G2770" t="str">
            <v>ROPH 1126</v>
          </cell>
          <cell r="H2770" t="str">
            <v>CIRKULIN</v>
          </cell>
          <cell r="I2770">
            <v>0</v>
          </cell>
        </row>
        <row r="2771">
          <cell r="A2771" t="str">
            <v>19-02770</v>
          </cell>
          <cell r="B2771" t="str">
            <v>ASTOR</v>
          </cell>
          <cell r="C2771" t="str">
            <v>A</v>
          </cell>
          <cell r="D2771" t="str">
            <v>SI</v>
          </cell>
          <cell r="E2771" t="str">
            <v>CIRKULIN GRAGEAS ROJAS DE VALERIANA (40 GRAGEAS)</v>
          </cell>
          <cell r="F2771" t="str">
            <v>VITAMINAS</v>
          </cell>
          <cell r="G2771" t="str">
            <v>ROPH 1119</v>
          </cell>
          <cell r="H2771" t="str">
            <v>CIRKULIN</v>
          </cell>
          <cell r="I2771">
            <v>0</v>
          </cell>
        </row>
        <row r="2772">
          <cell r="A2772" t="str">
            <v>19-02771</v>
          </cell>
          <cell r="B2772" t="str">
            <v>CESAR ARROCHA</v>
          </cell>
          <cell r="C2772" t="str">
            <v>A</v>
          </cell>
          <cell r="D2772" t="str">
            <v>NO</v>
          </cell>
          <cell r="E2772" t="str">
            <v>ZUUM BOTE DE 50 APLICADORES</v>
          </cell>
          <cell r="F2772" t="str">
            <v>APLICADORES</v>
          </cell>
          <cell r="G2772" t="str">
            <v>UNPR 0094</v>
          </cell>
          <cell r="H2772" t="str">
            <v>ZUUM</v>
          </cell>
          <cell r="I2772">
            <v>0.65</v>
          </cell>
        </row>
        <row r="2773">
          <cell r="A2773" t="str">
            <v>19-02772</v>
          </cell>
          <cell r="B2773" t="str">
            <v>CESAR ARROCHA</v>
          </cell>
          <cell r="C2773" t="str">
            <v>A</v>
          </cell>
          <cell r="D2773" t="str">
            <v>NO</v>
          </cell>
          <cell r="E2773" t="str">
            <v>ZUUM BOTE DE 100 APLICADORES</v>
          </cell>
          <cell r="F2773" t="str">
            <v>APLICADORES</v>
          </cell>
          <cell r="G2773" t="str">
            <v>UNPR 2732</v>
          </cell>
          <cell r="H2773" t="str">
            <v>ZUUM</v>
          </cell>
          <cell r="I2773">
            <v>1.29</v>
          </cell>
        </row>
        <row r="2774">
          <cell r="A2774" t="str">
            <v>19-02773</v>
          </cell>
          <cell r="B2774" t="str">
            <v>CESAR ARROCHA</v>
          </cell>
          <cell r="C2774" t="str">
            <v>A</v>
          </cell>
          <cell r="D2774" t="str">
            <v>NO</v>
          </cell>
          <cell r="E2774" t="str">
            <v>ZUUM ALGODON PLISADO DE 25G</v>
          </cell>
          <cell r="F2774" t="str">
            <v>APLICADORES</v>
          </cell>
          <cell r="G2774" t="str">
            <v>UNPR 1201</v>
          </cell>
          <cell r="H2774" t="str">
            <v>ZUUM</v>
          </cell>
          <cell r="I2774">
            <v>0.43</v>
          </cell>
        </row>
        <row r="2775">
          <cell r="A2775" t="str">
            <v>19-02774</v>
          </cell>
          <cell r="B2775" t="str">
            <v>CESAR ARROCHA</v>
          </cell>
          <cell r="C2775" t="str">
            <v>A</v>
          </cell>
          <cell r="D2775" t="str">
            <v>NO</v>
          </cell>
          <cell r="E2775" t="str">
            <v>ZUUM ALGODON ABSORBENTE PLISADO DE 50G</v>
          </cell>
          <cell r="F2775" t="str">
            <v>APLICADORES</v>
          </cell>
          <cell r="G2775" t="str">
            <v>UNPR 1202</v>
          </cell>
          <cell r="H2775" t="str">
            <v>ZUUM</v>
          </cell>
          <cell r="I2775">
            <v>1.03</v>
          </cell>
        </row>
        <row r="2776">
          <cell r="A2776" t="str">
            <v>19-02775</v>
          </cell>
          <cell r="B2776" t="str">
            <v>CESAR ARROCHA</v>
          </cell>
          <cell r="C2776" t="str">
            <v>A</v>
          </cell>
          <cell r="D2776" t="str">
            <v>NO</v>
          </cell>
          <cell r="E2776" t="str">
            <v>ZUUM ALGODON ABSORBENTE PLISADO DE 100G</v>
          </cell>
          <cell r="F2776" t="str">
            <v>APLICADORES</v>
          </cell>
          <cell r="G2776" t="str">
            <v>UNPR 1203</v>
          </cell>
          <cell r="H2776" t="str">
            <v>ZUUM</v>
          </cell>
          <cell r="I2776">
            <v>1.67</v>
          </cell>
        </row>
        <row r="2777">
          <cell r="A2777" t="str">
            <v>19-02776</v>
          </cell>
          <cell r="B2777" t="str">
            <v>CESAR ARROCHA</v>
          </cell>
          <cell r="C2777" t="str">
            <v>A</v>
          </cell>
          <cell r="D2777" t="str">
            <v>NO</v>
          </cell>
          <cell r="E2777" t="str">
            <v>ZUUM ALGODON PLISADO 454G</v>
          </cell>
          <cell r="F2777" t="str">
            <v>APLICADORES</v>
          </cell>
          <cell r="G2777" t="str">
            <v>UNPR 1209</v>
          </cell>
          <cell r="H2777" t="str">
            <v>ZUUM</v>
          </cell>
          <cell r="I2777">
            <v>5.78</v>
          </cell>
        </row>
        <row r="2778">
          <cell r="A2778" t="str">
            <v>19-02777</v>
          </cell>
          <cell r="B2778" t="str">
            <v>CESAR ARROCHA</v>
          </cell>
          <cell r="C2778" t="str">
            <v>A</v>
          </cell>
          <cell r="D2778" t="str">
            <v>NO</v>
          </cell>
          <cell r="E2778" t="str">
            <v>ZUUM ALGODON FACIAL CUADROS 65 PZS</v>
          </cell>
          <cell r="F2778" t="str">
            <v>APLICADORES</v>
          </cell>
          <cell r="G2778" t="str">
            <v>UNPR 2601</v>
          </cell>
          <cell r="H2778" t="str">
            <v>ZUUM</v>
          </cell>
          <cell r="I2778">
            <v>1.45</v>
          </cell>
        </row>
        <row r="2779">
          <cell r="A2779" t="str">
            <v>19-02778</v>
          </cell>
          <cell r="B2779" t="str">
            <v>CESAR ARROCHA</v>
          </cell>
          <cell r="C2779" t="str">
            <v>A</v>
          </cell>
          <cell r="D2779" t="str">
            <v>NO</v>
          </cell>
          <cell r="E2779" t="str">
            <v>ZUUM ALMOHADILLAS REDONDAS MODD 50 PZAS</v>
          </cell>
          <cell r="F2779" t="str">
            <v>APLICADORES</v>
          </cell>
          <cell r="G2779" t="str">
            <v>UNPR 2615</v>
          </cell>
          <cell r="H2779" t="str">
            <v>ZUUM</v>
          </cell>
          <cell r="I2779">
            <v>1.28</v>
          </cell>
        </row>
        <row r="2780">
          <cell r="A2780" t="str">
            <v>19-02779</v>
          </cell>
          <cell r="B2780" t="str">
            <v>CESAR ARROCHA</v>
          </cell>
          <cell r="C2780" t="str">
            <v>A</v>
          </cell>
          <cell r="D2780" t="str">
            <v>NO</v>
          </cell>
          <cell r="E2780" t="str">
            <v>ZUUM APLICADORES BEBE 150 PZS</v>
          </cell>
          <cell r="F2780" t="str">
            <v>APLICADORES</v>
          </cell>
          <cell r="G2780" t="str">
            <v>UNPR 2707</v>
          </cell>
          <cell r="H2780" t="str">
            <v>ZUUM</v>
          </cell>
          <cell r="I2780">
            <v>1.38</v>
          </cell>
        </row>
        <row r="2781">
          <cell r="A2781" t="str">
            <v>19-02780</v>
          </cell>
          <cell r="B2781" t="str">
            <v>CESAR ARROCHA</v>
          </cell>
          <cell r="C2781" t="str">
            <v>A</v>
          </cell>
          <cell r="D2781" t="str">
            <v>NO</v>
          </cell>
          <cell r="E2781" t="str">
            <v>ZUUM KLIN GEL ANTIBACTERIAL MICROESFERAS 60 ML</v>
          </cell>
          <cell r="F2781" t="str">
            <v>APLICADORES</v>
          </cell>
          <cell r="G2781" t="str">
            <v>UNPR 7035</v>
          </cell>
          <cell r="H2781" t="str">
            <v>ZUUM</v>
          </cell>
          <cell r="I2781">
            <v>1.1399999999999999</v>
          </cell>
        </row>
        <row r="2782">
          <cell r="A2782" t="str">
            <v>19-02781</v>
          </cell>
          <cell r="B2782" t="str">
            <v>WORLD WISHES</v>
          </cell>
          <cell r="C2782" t="str">
            <v>P</v>
          </cell>
          <cell r="D2782" t="str">
            <v>N/A</v>
          </cell>
          <cell r="E2782" t="str">
            <v>75-2530 CRAYOLA COLOR WONDER COLORING PAD &amp; MARKERS</v>
          </cell>
          <cell r="F2782" t="str">
            <v>SCHOOL SUPPLIES</v>
          </cell>
          <cell r="G2782" t="str">
            <v>75-2530</v>
          </cell>
          <cell r="H2782" t="str">
            <v>CRAYOLA</v>
          </cell>
          <cell r="I2782">
            <v>5.14</v>
          </cell>
        </row>
        <row r="2783">
          <cell r="A2783" t="str">
            <v>19-02782</v>
          </cell>
          <cell r="B2783" t="str">
            <v>WORLD WISHES</v>
          </cell>
          <cell r="C2783" t="str">
            <v>D</v>
          </cell>
          <cell r="D2783" t="str">
            <v>N/A</v>
          </cell>
          <cell r="E2783" t="str">
            <v>04-6837 CRAYOLA TRACING MANIA DISCONTINUED</v>
          </cell>
          <cell r="F2783" t="str">
            <v>SCHOOL SUPPLIES</v>
          </cell>
          <cell r="G2783">
            <v>1803295</v>
          </cell>
          <cell r="H2783" t="str">
            <v>CRAYOLA</v>
          </cell>
          <cell r="I2783">
            <v>16</v>
          </cell>
        </row>
        <row r="2784">
          <cell r="A2784" t="str">
            <v>19-02783</v>
          </cell>
          <cell r="B2784" t="str">
            <v>WORLD WISHES</v>
          </cell>
          <cell r="C2784" t="str">
            <v>P</v>
          </cell>
          <cell r="D2784" t="str">
            <v>N/A</v>
          </cell>
          <cell r="E2784" t="str">
            <v>04-1622 CRAYOLA FROZEN ULTIMATE ART SUPPLIES</v>
          </cell>
          <cell r="F2784" t="str">
            <v>SCHOOL SUPPLIES</v>
          </cell>
          <cell r="G2784" t="str">
            <v>04-1622</v>
          </cell>
          <cell r="H2784" t="str">
            <v>CRAYOLA</v>
          </cell>
          <cell r="I2784">
            <v>9.8000000000000007</v>
          </cell>
        </row>
        <row r="2785">
          <cell r="A2785" t="str">
            <v>19-02784</v>
          </cell>
          <cell r="B2785" t="str">
            <v>WORLD WISHES</v>
          </cell>
          <cell r="C2785" t="str">
            <v>P</v>
          </cell>
          <cell r="D2785" t="str">
            <v>N/A</v>
          </cell>
          <cell r="E2785" t="str">
            <v>58-8765 CRAYOLA 64 PIP-SQUEAKS MARKERS BOX</v>
          </cell>
          <cell r="F2785" t="str">
            <v>SCHOOL SUPPLIES</v>
          </cell>
          <cell r="G2785" t="str">
            <v>58-8765</v>
          </cell>
          <cell r="H2785" t="str">
            <v>CRAYOLA</v>
          </cell>
          <cell r="I2785">
            <v>12.51</v>
          </cell>
        </row>
        <row r="2786">
          <cell r="A2786" t="str">
            <v>19-02785</v>
          </cell>
          <cell r="B2786" t="str">
            <v>WORLD WISHES</v>
          </cell>
          <cell r="C2786" t="str">
            <v>D</v>
          </cell>
          <cell r="D2786" t="str">
            <v>N/A</v>
          </cell>
          <cell r="E2786" t="str">
            <v>58-8194 CRAYOLA 10CT WASHABLE SCENTED POWER LINES DISCONTINUED</v>
          </cell>
          <cell r="F2786" t="str">
            <v>SCHOOL SUPPLIES</v>
          </cell>
          <cell r="G2786" t="str">
            <v>58-8194</v>
          </cell>
          <cell r="H2786" t="str">
            <v>CRAYOLA</v>
          </cell>
          <cell r="I2786">
            <v>4.99</v>
          </cell>
        </row>
        <row r="2787">
          <cell r="A2787" t="str">
            <v>19-02786</v>
          </cell>
          <cell r="B2787" t="str">
            <v>WORLD WISHES</v>
          </cell>
          <cell r="C2787" t="str">
            <v>A</v>
          </cell>
          <cell r="D2787" t="str">
            <v>SI</v>
          </cell>
          <cell r="E2787" t="str">
            <v>04-5300 CRAYOLA ART CASE PAINT KIT</v>
          </cell>
          <cell r="F2787" t="str">
            <v>SCHOOL SUPPLIES</v>
          </cell>
          <cell r="G2787">
            <v>1241917</v>
          </cell>
          <cell r="H2787" t="str">
            <v>CRAYOLA</v>
          </cell>
          <cell r="I2787">
            <v>20</v>
          </cell>
        </row>
        <row r="2788">
          <cell r="A2788" t="str">
            <v>19-02787</v>
          </cell>
          <cell r="B2788" t="str">
            <v>CESAR ARROCHA</v>
          </cell>
          <cell r="C2788" t="str">
            <v>A</v>
          </cell>
          <cell r="D2788" t="str">
            <v>NO</v>
          </cell>
          <cell r="E2788" t="str">
            <v>BANANA BOAT BABY TEAR FREE LOTION SPF 50</v>
          </cell>
          <cell r="F2788" t="str">
            <v>SUN BLOCK</v>
          </cell>
          <cell r="G2788" t="str">
            <v>INPL 50141</v>
          </cell>
          <cell r="H2788" t="str">
            <v>BANANA BOAT</v>
          </cell>
          <cell r="I2788">
            <v>0</v>
          </cell>
        </row>
        <row r="2789">
          <cell r="A2789" t="str">
            <v>19-02788</v>
          </cell>
          <cell r="B2789" t="str">
            <v>MOTTA INT.</v>
          </cell>
          <cell r="C2789" t="str">
            <v>D</v>
          </cell>
          <cell r="D2789" t="str">
            <v>N/A</v>
          </cell>
          <cell r="E2789" t="str">
            <v>IMATBLW15 LITTLE MOMMY TIERNA COMO YO DISFRAZ SURTIDAS DISCONTINUED</v>
          </cell>
          <cell r="F2789" t="str">
            <v>JUGUETES</v>
          </cell>
          <cell r="G2789" t="str">
            <v>IMATBLW15</v>
          </cell>
          <cell r="H2789" t="str">
            <v>MATTEL</v>
          </cell>
          <cell r="I2789">
            <v>11.45</v>
          </cell>
        </row>
        <row r="2790">
          <cell r="A2790" t="str">
            <v>19-02789</v>
          </cell>
          <cell r="B2790" t="str">
            <v>MOTTA INT.</v>
          </cell>
          <cell r="C2790" t="str">
            <v>P</v>
          </cell>
          <cell r="D2790" t="str">
            <v>N/A</v>
          </cell>
          <cell r="E2790" t="str">
            <v>IMATCDY61 BARBIE SUPER PRINCESA - SUPERHEROE</v>
          </cell>
          <cell r="F2790" t="str">
            <v>JUGUETES</v>
          </cell>
          <cell r="G2790" t="str">
            <v>IMATCDY61</v>
          </cell>
          <cell r="H2790" t="str">
            <v>MATTEL</v>
          </cell>
          <cell r="I2790">
            <v>17.850000000000001</v>
          </cell>
        </row>
        <row r="2791">
          <cell r="A2791" t="str">
            <v>19-02790</v>
          </cell>
          <cell r="B2791" t="str">
            <v>MOTTA INT.</v>
          </cell>
          <cell r="C2791" t="str">
            <v>P</v>
          </cell>
          <cell r="D2791" t="str">
            <v>N/A</v>
          </cell>
          <cell r="E2791" t="str">
            <v>IMATCDY65 BARBIE SUPER PRINCESA SURTIDO AMIGAS</v>
          </cell>
          <cell r="F2791" t="str">
            <v>JUGUETES</v>
          </cell>
          <cell r="G2791" t="str">
            <v>IMATCDY65</v>
          </cell>
          <cell r="H2791" t="str">
            <v>MATTEL</v>
          </cell>
          <cell r="I2791">
            <v>11.35</v>
          </cell>
        </row>
        <row r="2792">
          <cell r="A2792" t="str">
            <v>19-02791</v>
          </cell>
          <cell r="B2792" t="str">
            <v>MOTTA INT.</v>
          </cell>
          <cell r="C2792" t="str">
            <v>A</v>
          </cell>
          <cell r="D2792" t="str">
            <v>NO</v>
          </cell>
          <cell r="E2792" t="str">
            <v>A3026E350 STAR WARS ANGRY BIRDS MYSTERY BAG ASSORTMENT</v>
          </cell>
          <cell r="F2792" t="str">
            <v>JUGUETES</v>
          </cell>
          <cell r="G2792" t="str">
            <v>IHASA3026E350</v>
          </cell>
          <cell r="H2792" t="str">
            <v>HASBRO</v>
          </cell>
          <cell r="I2792">
            <v>1</v>
          </cell>
        </row>
        <row r="2793">
          <cell r="A2793" t="str">
            <v>19-02792</v>
          </cell>
          <cell r="B2793" t="str">
            <v>MOTTA INT.</v>
          </cell>
          <cell r="C2793" t="str">
            <v>A</v>
          </cell>
          <cell r="D2793" t="str">
            <v>NO</v>
          </cell>
          <cell r="E2793" t="str">
            <v>A51312210 LITTLE PET SHOP MAGIC MOTION ASSORTMENT</v>
          </cell>
          <cell r="F2793" t="str">
            <v>JUGUETES</v>
          </cell>
          <cell r="G2793" t="str">
            <v>IHASA51312210</v>
          </cell>
          <cell r="H2793" t="str">
            <v>HASBRO</v>
          </cell>
          <cell r="I2793">
            <v>2.5</v>
          </cell>
        </row>
        <row r="2794">
          <cell r="A2794" t="str">
            <v>19-02793</v>
          </cell>
          <cell r="B2794" t="str">
            <v>MOTTA INT.</v>
          </cell>
          <cell r="C2794" t="str">
            <v>A</v>
          </cell>
          <cell r="D2794" t="str">
            <v>NO</v>
          </cell>
          <cell r="E2794" t="str">
            <v>A51684680 MY LITTLE PONY BASIC PONY</v>
          </cell>
          <cell r="F2794" t="str">
            <v>JUGUETES</v>
          </cell>
          <cell r="G2794" t="str">
            <v>IHASA51684680</v>
          </cell>
          <cell r="H2794" t="str">
            <v>HASBRO</v>
          </cell>
          <cell r="I2794">
            <v>6.5</v>
          </cell>
        </row>
        <row r="2795">
          <cell r="A2795" t="str">
            <v>19-02794</v>
          </cell>
          <cell r="B2795" t="str">
            <v>MOTTA INT.</v>
          </cell>
          <cell r="C2795" t="str">
            <v>A</v>
          </cell>
          <cell r="D2795" t="str">
            <v>NO</v>
          </cell>
          <cell r="E2795" t="str">
            <v>A54054680 JENGA TEMBLOR</v>
          </cell>
          <cell r="F2795" t="str">
            <v>JUGUETES</v>
          </cell>
          <cell r="G2795" t="str">
            <v>IHASA54054680</v>
          </cell>
          <cell r="H2795" t="str">
            <v>HASBRO</v>
          </cell>
          <cell r="I2795">
            <v>17.649999999999999</v>
          </cell>
        </row>
        <row r="2796">
          <cell r="A2796" t="str">
            <v>19-02795</v>
          </cell>
          <cell r="B2796" t="str">
            <v>MOTTA INT.</v>
          </cell>
          <cell r="C2796" t="str">
            <v>A</v>
          </cell>
          <cell r="D2796" t="str">
            <v>NO</v>
          </cell>
          <cell r="E2796" t="str">
            <v>A61502210 TRANSFORMERS MOVIE 4 CONSTRUCT DINOBOT RIDERS</v>
          </cell>
          <cell r="F2796" t="str">
            <v>JUGUETES</v>
          </cell>
          <cell r="G2796" t="str">
            <v>IHASA61502210</v>
          </cell>
          <cell r="H2796" t="str">
            <v>HASBRO</v>
          </cell>
          <cell r="I2796">
            <v>3</v>
          </cell>
        </row>
        <row r="2797">
          <cell r="A2797" t="str">
            <v>19-02796</v>
          </cell>
          <cell r="B2797" t="str">
            <v>MOTTA INT.</v>
          </cell>
          <cell r="C2797" t="str">
            <v>A</v>
          </cell>
          <cell r="D2797" t="str">
            <v>NO</v>
          </cell>
          <cell r="E2797" t="str">
            <v>A65794680 TRANSFORMERS BATTLEMASTERS</v>
          </cell>
          <cell r="F2797" t="str">
            <v>JUGUETES</v>
          </cell>
          <cell r="G2797" t="str">
            <v>IHASA65794680</v>
          </cell>
          <cell r="H2797" t="str">
            <v>HASBRO</v>
          </cell>
          <cell r="I2797">
            <v>6.5</v>
          </cell>
        </row>
        <row r="2798">
          <cell r="A2798" t="str">
            <v>19-02797</v>
          </cell>
          <cell r="B2798" t="str">
            <v>MOTTA INT.</v>
          </cell>
          <cell r="C2798" t="str">
            <v>A</v>
          </cell>
          <cell r="D2798" t="str">
            <v>NO</v>
          </cell>
          <cell r="E2798" t="str">
            <v>A68852250 AB GO RACERS AST</v>
          </cell>
          <cell r="F2798" t="str">
            <v>JUGUETES</v>
          </cell>
          <cell r="G2798" t="str">
            <v>IHASA68852250</v>
          </cell>
          <cell r="H2798" t="str">
            <v>HASBRO</v>
          </cell>
          <cell r="I2798">
            <v>2</v>
          </cell>
        </row>
        <row r="2799">
          <cell r="A2799" t="str">
            <v>19-02798</v>
          </cell>
          <cell r="B2799" t="str">
            <v>MOTTA INT.</v>
          </cell>
          <cell r="C2799" t="str">
            <v>A</v>
          </cell>
          <cell r="D2799" t="str">
            <v>NO</v>
          </cell>
          <cell r="E2799" t="str">
            <v>A7024T302 TRANSFORMERS RESCUE BOTS RESCAN ASST</v>
          </cell>
          <cell r="F2799" t="str">
            <v>JUGUETES</v>
          </cell>
          <cell r="G2799" t="str">
            <v>IHASA7024T302</v>
          </cell>
          <cell r="H2799" t="str">
            <v>HASBRO</v>
          </cell>
          <cell r="I2799">
            <v>8.25</v>
          </cell>
        </row>
        <row r="2800">
          <cell r="A2800" t="str">
            <v>19-02799</v>
          </cell>
          <cell r="B2800" t="str">
            <v>MOTTA INT.</v>
          </cell>
          <cell r="C2800" t="str">
            <v>A</v>
          </cell>
          <cell r="D2800" t="str">
            <v>NO</v>
          </cell>
          <cell r="E2800" t="str">
            <v>A71092290 SPIDERMAN 2 PACK ASSORTMENT</v>
          </cell>
          <cell r="F2800" t="str">
            <v>JUGUETES</v>
          </cell>
          <cell r="G2800" t="str">
            <v>IHASA71092290</v>
          </cell>
          <cell r="H2800" t="str">
            <v>HASBRO</v>
          </cell>
          <cell r="I2800">
            <v>4</v>
          </cell>
        </row>
        <row r="2801">
          <cell r="A2801" t="str">
            <v>19-02800</v>
          </cell>
          <cell r="B2801" t="str">
            <v>MOTTA INT.</v>
          </cell>
          <cell r="C2801" t="str">
            <v>A</v>
          </cell>
          <cell r="D2801" t="str">
            <v>NO</v>
          </cell>
          <cell r="E2801" t="str">
            <v>A72732210 PLAYSKOOL MR POTATO HEAD MASH UP TRANSFORMER 2PACK</v>
          </cell>
          <cell r="F2801" t="str">
            <v>JUGUETES</v>
          </cell>
          <cell r="G2801" t="str">
            <v>IHASA72732210</v>
          </cell>
          <cell r="H2801" t="str">
            <v>HASBRO</v>
          </cell>
          <cell r="I2801">
            <v>5.75</v>
          </cell>
        </row>
        <row r="2802">
          <cell r="A2802" t="str">
            <v>19-02801</v>
          </cell>
          <cell r="B2802" t="str">
            <v>MOTTA INT.</v>
          </cell>
          <cell r="C2802" t="str">
            <v>A</v>
          </cell>
          <cell r="D2802" t="str">
            <v>NO</v>
          </cell>
          <cell r="E2802" t="str">
            <v>A72932210 FURREAL FRIENDS BUTTERSCOTH MY WALKING PONY</v>
          </cell>
          <cell r="F2802" t="str">
            <v>JUGUETES</v>
          </cell>
          <cell r="G2802" t="str">
            <v>IHASA72932210</v>
          </cell>
          <cell r="H2802" t="str">
            <v>HASBRO</v>
          </cell>
          <cell r="I2802">
            <v>15</v>
          </cell>
        </row>
        <row r="2803">
          <cell r="A2803" t="str">
            <v>19-02802</v>
          </cell>
          <cell r="B2803" t="str">
            <v>MOTTA INT.</v>
          </cell>
          <cell r="C2803" t="str">
            <v>A</v>
          </cell>
          <cell r="D2803" t="str">
            <v>NO</v>
          </cell>
          <cell r="E2803" t="str">
            <v>A73962210 PLAY DOH DISNEY PRINCESS ARIELS CASTLE</v>
          </cell>
          <cell r="F2803" t="str">
            <v>JUGUETES</v>
          </cell>
          <cell r="G2803" t="str">
            <v>IHASA73962210</v>
          </cell>
          <cell r="H2803" t="str">
            <v>HASBRO</v>
          </cell>
          <cell r="I2803">
            <v>10</v>
          </cell>
        </row>
        <row r="2804">
          <cell r="A2804" t="str">
            <v>19-02803</v>
          </cell>
          <cell r="B2804" t="str">
            <v>MOTTA INT.</v>
          </cell>
          <cell r="C2804" t="str">
            <v>A</v>
          </cell>
          <cell r="D2804" t="str">
            <v>NO</v>
          </cell>
          <cell r="E2804" t="str">
            <v>A74252210 SPIDERMAN RACER VEHICLE ASSORTMENT</v>
          </cell>
          <cell r="F2804" t="str">
            <v>JUGUETES</v>
          </cell>
          <cell r="G2804" t="str">
            <v>IHASA74252210</v>
          </cell>
          <cell r="H2804" t="str">
            <v>HASBRO</v>
          </cell>
          <cell r="I2804">
            <v>5</v>
          </cell>
        </row>
        <row r="2805">
          <cell r="A2805" t="str">
            <v>19-02804</v>
          </cell>
          <cell r="B2805" t="str">
            <v>MOTTA INT.</v>
          </cell>
          <cell r="C2805" t="str">
            <v>A</v>
          </cell>
          <cell r="D2805" t="str">
            <v>NO</v>
          </cell>
          <cell r="E2805" t="str">
            <v>A74385730 TRANSFORMERS RBT OPTIMUS PRIMAL</v>
          </cell>
          <cell r="F2805" t="str">
            <v>JUGUETES</v>
          </cell>
          <cell r="G2805" t="str">
            <v>IHASA74385730</v>
          </cell>
          <cell r="H2805" t="str">
            <v>HASBRO</v>
          </cell>
          <cell r="I2805">
            <v>28</v>
          </cell>
        </row>
        <row r="2806">
          <cell r="A2806" t="str">
            <v>19-02805</v>
          </cell>
          <cell r="B2806" t="str">
            <v>MOTTA INT.</v>
          </cell>
          <cell r="C2806" t="str">
            <v>A</v>
          </cell>
          <cell r="D2806" t="str">
            <v>NO</v>
          </cell>
          <cell r="E2806" t="str">
            <v>A76865730 SUPER HERO ADVENTURES DELUXE LAUNCHER ASSORTMENT</v>
          </cell>
          <cell r="F2806" t="str">
            <v>JUGUETES</v>
          </cell>
          <cell r="G2806" t="str">
            <v>IHASA76865730</v>
          </cell>
          <cell r="H2806" t="str">
            <v>HASBRO</v>
          </cell>
          <cell r="I2806">
            <v>8.75</v>
          </cell>
        </row>
        <row r="2807">
          <cell r="A2807" t="str">
            <v>19-02806</v>
          </cell>
          <cell r="B2807" t="str">
            <v>MOTTA INT.</v>
          </cell>
          <cell r="C2807" t="str">
            <v>A</v>
          </cell>
          <cell r="D2807" t="str">
            <v>NO</v>
          </cell>
          <cell r="E2807" t="str">
            <v>A78162210 MR POTATO HEAD MASH UPS OPTIMUS PRIME N GRIMLOCK</v>
          </cell>
          <cell r="F2807" t="str">
            <v>JUGUETES</v>
          </cell>
          <cell r="G2807" t="str">
            <v>IHASA78162210</v>
          </cell>
          <cell r="H2807" t="str">
            <v>HASBRO</v>
          </cell>
          <cell r="I2807">
            <v>8</v>
          </cell>
        </row>
        <row r="2808">
          <cell r="A2808" t="str">
            <v>19-02807</v>
          </cell>
          <cell r="B2808" t="str">
            <v>MOTTA INT.</v>
          </cell>
          <cell r="C2808" t="str">
            <v>A</v>
          </cell>
          <cell r="D2808" t="str">
            <v>NO</v>
          </cell>
          <cell r="E2808" t="str">
            <v>A80682210 SPIDERMAN ACTION GEAR BASICS</v>
          </cell>
          <cell r="F2808" t="str">
            <v>JUGUETES</v>
          </cell>
          <cell r="G2808" t="str">
            <v>IHASA80682210</v>
          </cell>
          <cell r="H2808" t="str">
            <v>HASBRO</v>
          </cell>
          <cell r="I2808">
            <v>3.45</v>
          </cell>
        </row>
        <row r="2809">
          <cell r="A2809" t="str">
            <v>19-02808</v>
          </cell>
          <cell r="B2809" t="str">
            <v>MOTTA INT.</v>
          </cell>
          <cell r="C2809" t="str">
            <v>A</v>
          </cell>
          <cell r="D2809" t="str">
            <v>NO</v>
          </cell>
          <cell r="E2809" t="str">
            <v>A82032210 MY LITTLE PONY POP PLAYSET</v>
          </cell>
          <cell r="F2809" t="str">
            <v>JUGUETES</v>
          </cell>
          <cell r="G2809" t="str">
            <v>IHASA82032210</v>
          </cell>
          <cell r="H2809" t="str">
            <v>HASBRO</v>
          </cell>
          <cell r="I2809">
            <v>7.8</v>
          </cell>
        </row>
        <row r="2810">
          <cell r="A2810" t="str">
            <v>19-02809</v>
          </cell>
          <cell r="B2810" t="str">
            <v>MOTTA INT.</v>
          </cell>
          <cell r="C2810" t="str">
            <v>A</v>
          </cell>
          <cell r="D2810" t="str">
            <v>NO</v>
          </cell>
          <cell r="E2810" t="str">
            <v>A8841EU41 MY LITTLE PONY EG DOLL WITH FASHIONS ASST</v>
          </cell>
          <cell r="F2810" t="str">
            <v>JUGUETES</v>
          </cell>
          <cell r="G2810" t="str">
            <v>IHASA8841EU41</v>
          </cell>
          <cell r="H2810" t="str">
            <v>HASBRO</v>
          </cell>
          <cell r="I2810">
            <v>17.600000000000001</v>
          </cell>
        </row>
        <row r="2811">
          <cell r="A2811" t="str">
            <v>19-02810</v>
          </cell>
          <cell r="B2811" t="str">
            <v>MOTTA INT.</v>
          </cell>
          <cell r="C2811" t="str">
            <v>A</v>
          </cell>
          <cell r="D2811" t="str">
            <v>NO</v>
          </cell>
          <cell r="E2811" t="str">
            <v>B0009AS00 PLAY DOH MAKE N STYLE PONIES</v>
          </cell>
          <cell r="F2811" t="str">
            <v>JUGUETES</v>
          </cell>
          <cell r="G2811" t="str">
            <v>IHASB0009AS00</v>
          </cell>
          <cell r="H2811" t="str">
            <v>HASBRO</v>
          </cell>
          <cell r="I2811">
            <v>8.25</v>
          </cell>
        </row>
        <row r="2812">
          <cell r="A2812" t="str">
            <v>19-02811</v>
          </cell>
          <cell r="B2812" t="str">
            <v>MOTTA INT.</v>
          </cell>
          <cell r="C2812" t="str">
            <v>A</v>
          </cell>
          <cell r="D2812" t="str">
            <v>NO</v>
          </cell>
          <cell r="E2812" t="str">
            <v>B0010AS00 PLAY DOH CUTIE MARK CREATORS</v>
          </cell>
          <cell r="F2812" t="str">
            <v>JUGUETES</v>
          </cell>
          <cell r="G2812" t="str">
            <v>IHASB0010AS00</v>
          </cell>
          <cell r="H2812" t="str">
            <v>HASBRO</v>
          </cell>
          <cell r="I2812">
            <v>5.75</v>
          </cell>
        </row>
        <row r="2813">
          <cell r="A2813" t="str">
            <v>19-02812</v>
          </cell>
          <cell r="B2813" t="str">
            <v>MOTTA INT.</v>
          </cell>
          <cell r="C2813" t="str">
            <v>A</v>
          </cell>
          <cell r="D2813" t="str">
            <v>NO</v>
          </cell>
          <cell r="E2813" t="str">
            <v>B0011AS00 PLAY DOH RAINBOW DASH STYLE SALON</v>
          </cell>
          <cell r="F2813" t="str">
            <v>JUGUETES</v>
          </cell>
          <cell r="G2813" t="str">
            <v>IHASB0011AS00</v>
          </cell>
          <cell r="H2813" t="str">
            <v>HASBRO</v>
          </cell>
          <cell r="I2813">
            <v>10.5</v>
          </cell>
        </row>
        <row r="2814">
          <cell r="A2814" t="str">
            <v>19-02813</v>
          </cell>
          <cell r="B2814" t="str">
            <v>MOTTA INT.</v>
          </cell>
          <cell r="C2814" t="str">
            <v>A</v>
          </cell>
          <cell r="D2814" t="str">
            <v>NO</v>
          </cell>
          <cell r="E2814" t="str">
            <v>B0094AS00 MR. POTATOE HEAD, MARVEL STORE N PLAY BACKPACK</v>
          </cell>
          <cell r="F2814" t="str">
            <v>JUGUETES</v>
          </cell>
          <cell r="G2814" t="str">
            <v>IHASB0094AS00</v>
          </cell>
          <cell r="H2814" t="str">
            <v>HASBRO</v>
          </cell>
          <cell r="I2814">
            <v>15.95</v>
          </cell>
        </row>
        <row r="2815">
          <cell r="A2815" t="str">
            <v>19-02814</v>
          </cell>
          <cell r="B2815" t="str">
            <v>MOTTA INT.</v>
          </cell>
          <cell r="C2815" t="str">
            <v>A</v>
          </cell>
          <cell r="D2815" t="str">
            <v>NO</v>
          </cell>
          <cell r="E2815" t="str">
            <v>B0308AS00 PLAY DOH MARVEL SMASHDOWN HULK</v>
          </cell>
          <cell r="F2815" t="str">
            <v>JUGUETES</v>
          </cell>
          <cell r="G2815" t="str">
            <v>IHASB0308AS00</v>
          </cell>
          <cell r="H2815" t="str">
            <v>HASBRO</v>
          </cell>
          <cell r="I2815">
            <v>10.7</v>
          </cell>
        </row>
        <row r="2816">
          <cell r="A2816" t="str">
            <v>19-02815</v>
          </cell>
          <cell r="B2816" t="str">
            <v>MOTTA INT.</v>
          </cell>
          <cell r="C2816" t="str">
            <v>A</v>
          </cell>
          <cell r="D2816" t="str">
            <v>NO</v>
          </cell>
          <cell r="E2816" t="str">
            <v>B0431AS00 AVENGERS TITAN HERO VEHICULOS SURTIDO</v>
          </cell>
          <cell r="F2816" t="str">
            <v>JUGUETES</v>
          </cell>
          <cell r="G2816" t="str">
            <v>IHASB0431AS00</v>
          </cell>
          <cell r="H2816" t="str">
            <v>HASBRO</v>
          </cell>
          <cell r="I2816">
            <v>16.600000000000001</v>
          </cell>
        </row>
        <row r="2817">
          <cell r="A2817" t="str">
            <v>19-02816</v>
          </cell>
          <cell r="B2817" t="str">
            <v>MOTTA INT.</v>
          </cell>
          <cell r="C2817" t="str">
            <v>A</v>
          </cell>
          <cell r="D2817" t="str">
            <v>NO</v>
          </cell>
          <cell r="E2817" t="str">
            <v>B0440AT40 MARVEL MASCARAS SURTIDAS (CAPT. AMERICA/HULK/</v>
          </cell>
          <cell r="F2817" t="str">
            <v>JUGUETES</v>
          </cell>
          <cell r="G2817" t="str">
            <v>IHASB0440AT40</v>
          </cell>
          <cell r="H2817" t="str">
            <v>HASBRO</v>
          </cell>
          <cell r="I2817">
            <v>3.75</v>
          </cell>
        </row>
        <row r="2818">
          <cell r="A2818" t="str">
            <v>19-02817</v>
          </cell>
          <cell r="B2818" t="str">
            <v>MOTTA INT.</v>
          </cell>
          <cell r="C2818" t="str">
            <v>A</v>
          </cell>
          <cell r="D2818" t="str">
            <v>NO</v>
          </cell>
          <cell r="E2818" t="str">
            <v>B0447AT60 AVENGERS PUNOS DE HULK</v>
          </cell>
          <cell r="F2818" t="str">
            <v>JUGUETES</v>
          </cell>
          <cell r="G2818" t="str">
            <v>IHASB0447AT60</v>
          </cell>
          <cell r="H2818" t="str">
            <v>HASBRO</v>
          </cell>
          <cell r="I2818">
            <v>18.8</v>
          </cell>
        </row>
        <row r="2819">
          <cell r="A2819" t="str">
            <v>19-02818</v>
          </cell>
          <cell r="B2819" t="str">
            <v>MOTTA INT.</v>
          </cell>
          <cell r="C2819" t="str">
            <v>A</v>
          </cell>
          <cell r="D2819" t="str">
            <v>NO</v>
          </cell>
          <cell r="E2819" t="str">
            <v>B05002210 PLAYSKOOL ROLL N GEAR CAR</v>
          </cell>
          <cell r="F2819" t="str">
            <v>JUGUETES</v>
          </cell>
          <cell r="G2819" t="str">
            <v>IHASB05002210</v>
          </cell>
          <cell r="H2819" t="str">
            <v>HASBRO</v>
          </cell>
          <cell r="I2819">
            <v>7.9</v>
          </cell>
        </row>
        <row r="2820">
          <cell r="A2820" t="str">
            <v>19-02819</v>
          </cell>
          <cell r="B2820" t="str">
            <v>MOTTA INT.</v>
          </cell>
          <cell r="C2820" t="str">
            <v>A</v>
          </cell>
          <cell r="D2820" t="str">
            <v>NO</v>
          </cell>
          <cell r="E2820" t="str">
            <v>B05012210 PLAYSKOOL STACK N STOW CUPS</v>
          </cell>
          <cell r="F2820" t="str">
            <v>JUGUETES</v>
          </cell>
          <cell r="G2820" t="str">
            <v>IHASB05012210</v>
          </cell>
          <cell r="H2820" t="str">
            <v>HASBRO</v>
          </cell>
          <cell r="I2820">
            <v>6.3</v>
          </cell>
        </row>
        <row r="2821">
          <cell r="A2821" t="str">
            <v>19-02820</v>
          </cell>
          <cell r="B2821" t="str">
            <v>MOTTA INT.</v>
          </cell>
          <cell r="C2821" t="str">
            <v>A</v>
          </cell>
          <cell r="D2821" t="str">
            <v>NO</v>
          </cell>
          <cell r="E2821" t="str">
            <v>B0534AS00 JURASSIC WORLD DLX VEHICLE ASST</v>
          </cell>
          <cell r="F2821" t="str">
            <v>JUGUETES</v>
          </cell>
          <cell r="G2821" t="str">
            <v>IHASB0534AS00</v>
          </cell>
          <cell r="H2821" t="str">
            <v>HASBRO</v>
          </cell>
          <cell r="I2821">
            <v>15.95</v>
          </cell>
        </row>
        <row r="2822">
          <cell r="A2822" t="str">
            <v>19-02821</v>
          </cell>
          <cell r="B2822" t="str">
            <v>MOTTA INT.</v>
          </cell>
          <cell r="C2822" t="str">
            <v>A</v>
          </cell>
          <cell r="D2822" t="str">
            <v>NO</v>
          </cell>
          <cell r="E2822" t="str">
            <v>B0606AS00 PLAY DOH MARVEL CANHEADS VEHICLE</v>
          </cell>
          <cell r="F2822" t="str">
            <v>JUGUETES</v>
          </cell>
          <cell r="G2822" t="str">
            <v>IHASB0606AS00</v>
          </cell>
          <cell r="H2822" t="str">
            <v>HASBRO</v>
          </cell>
          <cell r="I2822">
            <v>8.25</v>
          </cell>
        </row>
        <row r="2823">
          <cell r="A2823" t="str">
            <v>19-02822</v>
          </cell>
          <cell r="B2823" t="str">
            <v>MOTTA INT.</v>
          </cell>
          <cell r="C2823" t="str">
            <v>A</v>
          </cell>
          <cell r="D2823" t="str">
            <v>NO</v>
          </cell>
          <cell r="E2823" t="str">
            <v>B0677AS00 AVENGERS MARVEL SHM FIGURA DE ACCION</v>
          </cell>
          <cell r="F2823" t="str">
            <v>JUGUETES</v>
          </cell>
          <cell r="G2823" t="str">
            <v>IHASB0677AS00</v>
          </cell>
          <cell r="H2823" t="str">
            <v>HASBRO</v>
          </cell>
          <cell r="I2823">
            <v>16.600000000000001</v>
          </cell>
        </row>
        <row r="2824">
          <cell r="A2824" t="str">
            <v>19-02823</v>
          </cell>
          <cell r="B2824" t="str">
            <v>MOTTA INT.</v>
          </cell>
          <cell r="C2824" t="str">
            <v>A</v>
          </cell>
          <cell r="D2824" t="str">
            <v>NO</v>
          </cell>
          <cell r="E2824" t="str">
            <v>B0760AS00 TRANSFORMERS TITAN HEROES 12" ASST W1 15</v>
          </cell>
          <cell r="F2824" t="str">
            <v>JUGUETES</v>
          </cell>
          <cell r="G2824" t="str">
            <v>IHASB0760AS00</v>
          </cell>
          <cell r="H2824" t="str">
            <v>HASBRO</v>
          </cell>
          <cell r="I2824">
            <v>7.5</v>
          </cell>
        </row>
        <row r="2825">
          <cell r="A2825" t="str">
            <v>19-02824</v>
          </cell>
          <cell r="B2825" t="str">
            <v>MOTTA INT.</v>
          </cell>
          <cell r="C2825" t="str">
            <v>A</v>
          </cell>
          <cell r="D2825" t="str">
            <v>NO</v>
          </cell>
          <cell r="E2825" t="str">
            <v>B1276AS00 JURASSIC WORLD INDOMINUS REX</v>
          </cell>
          <cell r="F2825" t="str">
            <v>JUGUETES</v>
          </cell>
          <cell r="G2825" t="str">
            <v>IHASB1276AS00</v>
          </cell>
          <cell r="H2825" t="str">
            <v>HASBRO</v>
          </cell>
          <cell r="I2825">
            <v>25.6</v>
          </cell>
        </row>
        <row r="2826">
          <cell r="A2826" t="str">
            <v>19-02825</v>
          </cell>
          <cell r="B2826" t="str">
            <v>MOTTA INT.</v>
          </cell>
          <cell r="C2826" t="str">
            <v>A</v>
          </cell>
          <cell r="D2826" t="str">
            <v>NO</v>
          </cell>
          <cell r="E2826" t="str">
            <v>B13825730 AVENGERS HULK FIGURA ELECTRONICA HERO TECH</v>
          </cell>
          <cell r="F2826" t="str">
            <v>JUGUETES</v>
          </cell>
          <cell r="G2826" t="str">
            <v>IHASB13825730</v>
          </cell>
          <cell r="H2826" t="str">
            <v>HASBRO</v>
          </cell>
          <cell r="I2826">
            <v>16.600000000000001</v>
          </cell>
        </row>
        <row r="2827">
          <cell r="A2827" t="str">
            <v>19-02826</v>
          </cell>
          <cell r="B2827" t="str">
            <v>MOTTA INT.</v>
          </cell>
          <cell r="C2827" t="str">
            <v>A</v>
          </cell>
          <cell r="D2827" t="str">
            <v>NO</v>
          </cell>
          <cell r="E2827" t="str">
            <v>B1388AS00 JURASSIC WORLD HM INDOMINUS REX VS VELOCIRAPTOR</v>
          </cell>
          <cell r="F2827" t="str">
            <v>JUGUETES</v>
          </cell>
          <cell r="G2827" t="str">
            <v>IHASB1388AS00</v>
          </cell>
          <cell r="H2827" t="str">
            <v>HASBRO</v>
          </cell>
          <cell r="I2827">
            <v>25.35</v>
          </cell>
        </row>
        <row r="2828">
          <cell r="A2828" t="str">
            <v>19-02827</v>
          </cell>
          <cell r="B2828" t="str">
            <v>MOTTA INT.</v>
          </cell>
          <cell r="C2828" t="str">
            <v>A</v>
          </cell>
          <cell r="D2828" t="str">
            <v>NO</v>
          </cell>
          <cell r="E2828" t="str">
            <v>B1669AX00 AVENGERS CAPITAN AMERICA</v>
          </cell>
          <cell r="F2828" t="str">
            <v>JUGUETES</v>
          </cell>
          <cell r="G2828" t="str">
            <v>IHASB1669AX00</v>
          </cell>
          <cell r="H2828" t="str">
            <v>HASBRO</v>
          </cell>
          <cell r="I2828">
            <v>7.5</v>
          </cell>
        </row>
        <row r="2829">
          <cell r="A2829" t="str">
            <v>19-02828</v>
          </cell>
          <cell r="B2829" t="str">
            <v>MOTTA INT.</v>
          </cell>
          <cell r="C2829" t="str">
            <v>A</v>
          </cell>
          <cell r="D2829" t="str">
            <v>NO</v>
          </cell>
          <cell r="E2829" t="str">
            <v>B1670AX00 AVENGERS THOR</v>
          </cell>
          <cell r="F2829" t="str">
            <v>JUGUETES</v>
          </cell>
          <cell r="G2829" t="str">
            <v>IHASB1670AX00</v>
          </cell>
          <cell r="H2829" t="str">
            <v>HASBRO</v>
          </cell>
          <cell r="I2829">
            <v>7.5</v>
          </cell>
        </row>
        <row r="2830">
          <cell r="A2830" t="str">
            <v>19-02829</v>
          </cell>
          <cell r="B2830" t="str">
            <v>MOTTA INT.</v>
          </cell>
          <cell r="C2830" t="str">
            <v>A</v>
          </cell>
          <cell r="D2830" t="str">
            <v>NO</v>
          </cell>
          <cell r="E2830" t="str">
            <v>3221481 PLAYSKOOL FORM FITTER</v>
          </cell>
          <cell r="F2830" t="str">
            <v>JUGUETES</v>
          </cell>
          <cell r="G2830" t="str">
            <v>IHAS003221481</v>
          </cell>
          <cell r="H2830" t="str">
            <v>HASBRO</v>
          </cell>
          <cell r="I2830">
            <v>4.8499999999999996</v>
          </cell>
        </row>
        <row r="2831">
          <cell r="A2831" t="str">
            <v>19-02830</v>
          </cell>
          <cell r="B2831" t="str">
            <v>MOTTA INT.</v>
          </cell>
          <cell r="C2831" t="str">
            <v>A</v>
          </cell>
          <cell r="D2831" t="str">
            <v>NO</v>
          </cell>
          <cell r="E2831" t="str">
            <v>W05020 HASBRO PLAYSKOOL RUMBLIN ROLLERS ASSORTMENT</v>
          </cell>
          <cell r="F2831" t="str">
            <v>JUGUETES</v>
          </cell>
          <cell r="G2831" t="str">
            <v>W05020</v>
          </cell>
          <cell r="H2831" t="str">
            <v>HASBRO</v>
          </cell>
          <cell r="I2831">
            <v>7.05</v>
          </cell>
        </row>
        <row r="2832">
          <cell r="A2832" t="str">
            <v>19-02831</v>
          </cell>
          <cell r="B2832" t="str">
            <v>MOTTA INT.</v>
          </cell>
          <cell r="C2832" t="str">
            <v>A</v>
          </cell>
          <cell r="D2832" t="str">
            <v>NO</v>
          </cell>
          <cell r="E2832" t="str">
            <v>93670E24H LITTLE PET SHOP GET THE PETS SINGLES ASSORTMENT</v>
          </cell>
          <cell r="F2832" t="str">
            <v>JUGUETES</v>
          </cell>
          <cell r="G2832" t="str">
            <v>IHAS93670E24H</v>
          </cell>
          <cell r="H2832" t="str">
            <v>HASBRO</v>
          </cell>
          <cell r="I2832">
            <v>1</v>
          </cell>
        </row>
        <row r="2833">
          <cell r="A2833" t="str">
            <v>19-02832</v>
          </cell>
          <cell r="B2833" t="str">
            <v>MOTTA INT.</v>
          </cell>
          <cell r="C2833" t="str">
            <v>A</v>
          </cell>
          <cell r="D2833" t="str">
            <v>NO</v>
          </cell>
          <cell r="E2833" t="str">
            <v>B0429AS00 AVENGERS GUANTES DE IRON MAN</v>
          </cell>
          <cell r="F2833" t="str">
            <v>JUGUETES</v>
          </cell>
          <cell r="G2833" t="str">
            <v>IHASB0429AS00</v>
          </cell>
          <cell r="H2833" t="str">
            <v>HASBRO</v>
          </cell>
          <cell r="I2833">
            <v>18.8</v>
          </cell>
        </row>
        <row r="2834">
          <cell r="A2834" t="str">
            <v>19-02833</v>
          </cell>
          <cell r="B2834" t="str">
            <v>DIST. LEWIS</v>
          </cell>
          <cell r="C2834" t="str">
            <v>A</v>
          </cell>
          <cell r="D2834" t="str">
            <v>NO</v>
          </cell>
          <cell r="E2834" t="str">
            <v>MONK WHO SOLD HIS FERRARI, THE  SHARMA ROBIN</v>
          </cell>
          <cell r="F2834" t="str">
            <v>LIBRO</v>
          </cell>
          <cell r="G2834">
            <v>19242</v>
          </cell>
          <cell r="H2834" t="str">
            <v>DIST. LEWIS</v>
          </cell>
          <cell r="I2834">
            <v>5.82</v>
          </cell>
        </row>
        <row r="2835">
          <cell r="A2835" t="str">
            <v>19-02834</v>
          </cell>
          <cell r="B2835" t="str">
            <v>MOTTA INT.</v>
          </cell>
          <cell r="C2835" t="str">
            <v>P</v>
          </cell>
          <cell r="D2835" t="str">
            <v>N/A</v>
          </cell>
          <cell r="E2835" t="str">
            <v>ILEG70221 CHIMA FLINXS ULTIMATE PHOENIX</v>
          </cell>
          <cell r="F2835" t="str">
            <v>JUGUETES</v>
          </cell>
          <cell r="G2835" t="str">
            <v>ILEG70221</v>
          </cell>
          <cell r="H2835" t="str">
            <v>LEGO</v>
          </cell>
          <cell r="I2835">
            <v>20.65</v>
          </cell>
        </row>
        <row r="2836">
          <cell r="A2836" t="str">
            <v>19-02835</v>
          </cell>
          <cell r="B2836" t="str">
            <v>MOTTA INT.</v>
          </cell>
          <cell r="C2836" t="str">
            <v>P</v>
          </cell>
          <cell r="D2836" t="str">
            <v>N/A</v>
          </cell>
          <cell r="E2836" t="str">
            <v>ILEG70232 CHIMA SABER-TOOTH TIGER TRIBE PACK</v>
          </cell>
          <cell r="F2836" t="str">
            <v>JUGUETES</v>
          </cell>
          <cell r="G2836" t="str">
            <v>ILEG70232</v>
          </cell>
          <cell r="H2836" t="str">
            <v>LEGO</v>
          </cell>
          <cell r="I2836">
            <v>10.3</v>
          </cell>
        </row>
        <row r="2837">
          <cell r="A2837" t="str">
            <v>19-02836</v>
          </cell>
          <cell r="B2837" t="str">
            <v>MOTTA INT.</v>
          </cell>
          <cell r="C2837" t="str">
            <v>P</v>
          </cell>
          <cell r="D2837" t="str">
            <v>N/A</v>
          </cell>
          <cell r="E2837" t="str">
            <v>ILEG70107 CHIMA SKUNK ATTACK</v>
          </cell>
          <cell r="F2837" t="str">
            <v>JUGUETES</v>
          </cell>
          <cell r="G2837" t="str">
            <v>ILEG70107</v>
          </cell>
          <cell r="H2837" t="str">
            <v>LEGO</v>
          </cell>
          <cell r="I2837">
            <v>7</v>
          </cell>
        </row>
        <row r="2838">
          <cell r="A2838" t="str">
            <v>19-02837</v>
          </cell>
          <cell r="B2838" t="str">
            <v>MOTTA INT.</v>
          </cell>
          <cell r="C2838" t="str">
            <v>P</v>
          </cell>
          <cell r="D2838" t="str">
            <v>N/A</v>
          </cell>
          <cell r="E2838" t="str">
            <v>ILEG70220 CHIMA STRAINORS SABER CYCLE</v>
          </cell>
          <cell r="F2838" t="str">
            <v>JUGUETES</v>
          </cell>
          <cell r="G2838" t="str">
            <v>ILEG70220</v>
          </cell>
          <cell r="H2838" t="str">
            <v>LEGO</v>
          </cell>
          <cell r="I2838">
            <v>15.5</v>
          </cell>
        </row>
        <row r="2839">
          <cell r="A2839" t="str">
            <v>19-02838</v>
          </cell>
          <cell r="B2839" t="str">
            <v>MOTTA INT.</v>
          </cell>
          <cell r="C2839" t="str">
            <v>P</v>
          </cell>
          <cell r="D2839" t="str">
            <v>N/A</v>
          </cell>
          <cell r="E2839" t="str">
            <v>ILEG70109 CHIMA WHIRLING VINES</v>
          </cell>
          <cell r="F2839" t="str">
            <v>JUGUETES</v>
          </cell>
          <cell r="G2839" t="str">
            <v>ILEG70109</v>
          </cell>
          <cell r="H2839" t="str">
            <v>LEGO</v>
          </cell>
          <cell r="I2839">
            <v>7</v>
          </cell>
        </row>
        <row r="2840">
          <cell r="A2840" t="str">
            <v>19-02839</v>
          </cell>
          <cell r="B2840" t="str">
            <v>MOTTA INT.</v>
          </cell>
          <cell r="C2840" t="str">
            <v>P</v>
          </cell>
          <cell r="D2840" t="str">
            <v>N/A</v>
          </cell>
          <cell r="E2840" t="str">
            <v>ILEG60085 CITY 4X4 WITH POWERBOAT</v>
          </cell>
          <cell r="F2840" t="str">
            <v>JUGUETES</v>
          </cell>
          <cell r="G2840" t="str">
            <v>ILEG60085</v>
          </cell>
          <cell r="H2840" t="str">
            <v>LEGO</v>
          </cell>
          <cell r="I2840">
            <v>29.8</v>
          </cell>
        </row>
        <row r="2841">
          <cell r="A2841" t="str">
            <v>19-02840</v>
          </cell>
          <cell r="B2841" t="str">
            <v>MOTTA INT.</v>
          </cell>
          <cell r="C2841" t="str">
            <v>P</v>
          </cell>
          <cell r="D2841" t="str">
            <v>N/A</v>
          </cell>
          <cell r="E2841" t="str">
            <v>ILEG60090 CITY DEEP SEA SCUBA SCOOTER</v>
          </cell>
          <cell r="F2841" t="str">
            <v>JUGUETES</v>
          </cell>
          <cell r="G2841" t="str">
            <v>ILEG60090</v>
          </cell>
          <cell r="H2841" t="str">
            <v>LEGO</v>
          </cell>
          <cell r="I2841">
            <v>7.4</v>
          </cell>
        </row>
        <row r="2842">
          <cell r="A2842" t="str">
            <v>19-02841</v>
          </cell>
          <cell r="B2842" t="str">
            <v>MOTTA INT.</v>
          </cell>
          <cell r="C2842" t="str">
            <v>P</v>
          </cell>
          <cell r="D2842" t="str">
            <v>N/A</v>
          </cell>
          <cell r="E2842" t="str">
            <v>ILEG60091 CITY DEEP SEA STARTER SET</v>
          </cell>
          <cell r="F2842" t="str">
            <v>JUGUETES</v>
          </cell>
          <cell r="G2842" t="str">
            <v>ILEG60091</v>
          </cell>
          <cell r="H2842" t="str">
            <v>LEGO</v>
          </cell>
          <cell r="I2842">
            <v>10.45</v>
          </cell>
        </row>
        <row r="2843">
          <cell r="A2843" t="str">
            <v>19-02842</v>
          </cell>
          <cell r="B2843" t="str">
            <v>MOTTA INT.</v>
          </cell>
          <cell r="C2843" t="str">
            <v>P</v>
          </cell>
          <cell r="D2843" t="str">
            <v>N/A</v>
          </cell>
          <cell r="E2843" t="str">
            <v>ILEG60092 CITY DEEP SEA SUBMARINE</v>
          </cell>
          <cell r="F2843" t="str">
            <v>JUGUETES</v>
          </cell>
          <cell r="G2843" t="str">
            <v>ILEG60092</v>
          </cell>
          <cell r="H2843" t="str">
            <v>LEGO</v>
          </cell>
          <cell r="I2843">
            <v>42.15</v>
          </cell>
        </row>
        <row r="2844">
          <cell r="A2844" t="str">
            <v>19-02843</v>
          </cell>
          <cell r="B2844" t="str">
            <v>MOTTA INT.</v>
          </cell>
          <cell r="C2844" t="str">
            <v>P</v>
          </cell>
          <cell r="D2844" t="str">
            <v>N/A</v>
          </cell>
          <cell r="E2844" t="str">
            <v>ILEG60088 CITY FIRE STARTER SET</v>
          </cell>
          <cell r="F2844" t="str">
            <v>JUGUETES</v>
          </cell>
          <cell r="G2844" t="str">
            <v>ILEG60088</v>
          </cell>
          <cell r="H2844" t="str">
            <v>LEGO</v>
          </cell>
          <cell r="I2844">
            <v>10.3</v>
          </cell>
        </row>
        <row r="2845">
          <cell r="A2845" t="str">
            <v>19-02844</v>
          </cell>
          <cell r="B2845" t="str">
            <v>MOTTA INT.</v>
          </cell>
          <cell r="C2845" t="str">
            <v>P</v>
          </cell>
          <cell r="D2845" t="str">
            <v>N/A</v>
          </cell>
          <cell r="E2845" t="str">
            <v>ILEG60002 CITY FIRE TRUCK V29</v>
          </cell>
          <cell r="F2845" t="str">
            <v>JUGUETES</v>
          </cell>
          <cell r="G2845" t="str">
            <v>ILEG60002</v>
          </cell>
          <cell r="H2845" t="str">
            <v>LEGO</v>
          </cell>
          <cell r="I2845">
            <v>18.95</v>
          </cell>
        </row>
        <row r="2846">
          <cell r="A2846" t="str">
            <v>19-02845</v>
          </cell>
          <cell r="B2846" t="str">
            <v>MOTTA INT.</v>
          </cell>
          <cell r="C2846" t="str">
            <v>P</v>
          </cell>
          <cell r="D2846" t="str">
            <v>N/A</v>
          </cell>
          <cell r="E2846" t="str">
            <v>ILEG60084 CITY RACING BIKE TRANSPORTER</v>
          </cell>
          <cell r="F2846" t="str">
            <v>JUGUETES</v>
          </cell>
          <cell r="G2846" t="str">
            <v>ILEG60084</v>
          </cell>
          <cell r="H2846" t="str">
            <v>LEGO</v>
          </cell>
          <cell r="I2846">
            <v>18.95</v>
          </cell>
        </row>
        <row r="2847">
          <cell r="A2847" t="str">
            <v>19-02846</v>
          </cell>
          <cell r="B2847" t="str">
            <v>MOTTA INT.</v>
          </cell>
          <cell r="C2847" t="str">
            <v>P</v>
          </cell>
          <cell r="D2847" t="str">
            <v>N/A</v>
          </cell>
          <cell r="E2847" t="str">
            <v>ILEG60077 CITY SPACE STARTER SET</v>
          </cell>
          <cell r="F2847" t="str">
            <v>JUGUETES</v>
          </cell>
          <cell r="G2847" t="str">
            <v>ILEG60077</v>
          </cell>
          <cell r="H2847" t="str">
            <v>LEGO</v>
          </cell>
          <cell r="I2847">
            <v>10.55</v>
          </cell>
        </row>
        <row r="2848">
          <cell r="A2848" t="str">
            <v>19-02847</v>
          </cell>
          <cell r="B2848" t="str">
            <v>MOTTA INT.</v>
          </cell>
          <cell r="C2848" t="str">
            <v>P</v>
          </cell>
          <cell r="D2848" t="str">
            <v>N/A</v>
          </cell>
          <cell r="E2848" t="str">
            <v>ILEG60080 CITY SPACEPORT</v>
          </cell>
          <cell r="F2848" t="str">
            <v>JUGUETES</v>
          </cell>
          <cell r="G2848" t="str">
            <v>ILEG60080</v>
          </cell>
          <cell r="H2848" t="str">
            <v>LEGO</v>
          </cell>
          <cell r="I2848">
            <v>123.85</v>
          </cell>
        </row>
        <row r="2849">
          <cell r="A2849" t="str">
            <v>19-02848</v>
          </cell>
          <cell r="B2849" t="str">
            <v>MOTTA INT.</v>
          </cell>
          <cell r="C2849" t="str">
            <v>P</v>
          </cell>
          <cell r="D2849" t="str">
            <v>N/A</v>
          </cell>
          <cell r="E2849" t="str">
            <v>ILEG60086 CITY STARTER SET</v>
          </cell>
          <cell r="F2849" t="str">
            <v>JUGUETES</v>
          </cell>
          <cell r="G2849" t="str">
            <v>ILEG60086</v>
          </cell>
          <cell r="H2849" t="str">
            <v>LEGO</v>
          </cell>
          <cell r="I2849">
            <v>30.95</v>
          </cell>
        </row>
        <row r="2850">
          <cell r="A2850" t="str">
            <v>19-02849</v>
          </cell>
          <cell r="B2850" t="str">
            <v>MOTTA INT.</v>
          </cell>
          <cell r="C2850" t="str">
            <v>P</v>
          </cell>
          <cell r="D2850" t="str">
            <v>N/A</v>
          </cell>
          <cell r="E2850" t="str">
            <v>ILEG31039 CREATOR BLUE POWER JET</v>
          </cell>
          <cell r="F2850" t="str">
            <v>JUGUETES</v>
          </cell>
          <cell r="G2850" t="str">
            <v>ILEG31039</v>
          </cell>
          <cell r="H2850" t="str">
            <v>LEGO</v>
          </cell>
          <cell r="I2850">
            <v>72.25</v>
          </cell>
        </row>
        <row r="2851">
          <cell r="A2851" t="str">
            <v>19-02850</v>
          </cell>
          <cell r="B2851" t="str">
            <v>MOTTA INT.</v>
          </cell>
          <cell r="C2851" t="str">
            <v>P</v>
          </cell>
          <cell r="D2851" t="str">
            <v>N/A</v>
          </cell>
          <cell r="E2851" t="str">
            <v>ILEG31027 CREATOR BLUE RACER</v>
          </cell>
          <cell r="F2851" t="str">
            <v>JUGUETES</v>
          </cell>
          <cell r="G2851" t="str">
            <v>ILEG31027</v>
          </cell>
          <cell r="H2851" t="str">
            <v>LEGO</v>
          </cell>
          <cell r="I2851">
            <v>4.75</v>
          </cell>
        </row>
        <row r="2852">
          <cell r="A2852" t="str">
            <v>19-02851</v>
          </cell>
          <cell r="B2852" t="str">
            <v>MOTTA INT.</v>
          </cell>
          <cell r="C2852" t="str">
            <v>P</v>
          </cell>
          <cell r="D2852" t="str">
            <v>N/A</v>
          </cell>
          <cell r="E2852" t="str">
            <v>ILEG31034 CREATOR FUTURE FLYERS</v>
          </cell>
          <cell r="F2852" t="str">
            <v>JUGUETES</v>
          </cell>
          <cell r="G2852" t="str">
            <v>ILEG31034</v>
          </cell>
          <cell r="H2852" t="str">
            <v>LEGO</v>
          </cell>
          <cell r="I2852">
            <v>25.8</v>
          </cell>
        </row>
        <row r="2853">
          <cell r="A2853" t="str">
            <v>19-02852</v>
          </cell>
          <cell r="B2853" t="str">
            <v>MOTTA INT.</v>
          </cell>
          <cell r="C2853" t="str">
            <v>P</v>
          </cell>
          <cell r="D2853" t="str">
            <v>N/A</v>
          </cell>
          <cell r="E2853" t="str">
            <v>ILEG31028 CREATOR SEA PLANE</v>
          </cell>
          <cell r="F2853" t="str">
            <v>JUGUETES</v>
          </cell>
          <cell r="G2853" t="str">
            <v>ILEG31028</v>
          </cell>
          <cell r="H2853" t="str">
            <v>LEGO</v>
          </cell>
          <cell r="I2853">
            <v>4.75</v>
          </cell>
        </row>
        <row r="2854">
          <cell r="A2854" t="str">
            <v>19-02853</v>
          </cell>
          <cell r="B2854" t="str">
            <v>MOTTA INT.</v>
          </cell>
          <cell r="C2854" t="str">
            <v>P</v>
          </cell>
          <cell r="D2854" t="str">
            <v>N/A</v>
          </cell>
          <cell r="E2854" t="str">
            <v>ILEG31020 CREATOR TWINBLADE ADVENTURES</v>
          </cell>
          <cell r="F2854" t="str">
            <v>JUGUETES</v>
          </cell>
          <cell r="G2854" t="str">
            <v>ILEG31020</v>
          </cell>
          <cell r="H2854" t="str">
            <v>LEGO</v>
          </cell>
          <cell r="I2854">
            <v>17.05</v>
          </cell>
        </row>
        <row r="2855">
          <cell r="A2855" t="str">
            <v>19-02854</v>
          </cell>
          <cell r="B2855" t="str">
            <v>MOTTA INT.</v>
          </cell>
          <cell r="C2855" t="str">
            <v>P</v>
          </cell>
          <cell r="D2855" t="str">
            <v>N/A</v>
          </cell>
          <cell r="E2855" t="str">
            <v>ILEG31033 CREATOR VEHICLE TRANSPORTER</v>
          </cell>
          <cell r="F2855" t="str">
            <v>JUGUETES</v>
          </cell>
          <cell r="G2855" t="str">
            <v>ILEG31033</v>
          </cell>
          <cell r="H2855" t="str">
            <v>LEGO</v>
          </cell>
          <cell r="I2855">
            <v>25.8</v>
          </cell>
        </row>
        <row r="2856">
          <cell r="A2856" t="str">
            <v>19-02855</v>
          </cell>
          <cell r="B2856" t="str">
            <v>MOTTA INT.</v>
          </cell>
          <cell r="C2856" t="str">
            <v>P</v>
          </cell>
          <cell r="D2856" t="str">
            <v>N/A</v>
          </cell>
          <cell r="E2856" t="str">
            <v>ILEG41062 DISNEY PRINCESS ELSA'S SPARKLING ICE CASTLE</v>
          </cell>
          <cell r="F2856" t="str">
            <v>JUGUETES</v>
          </cell>
          <cell r="G2856" t="str">
            <v>ILEG41062</v>
          </cell>
          <cell r="H2856" t="str">
            <v>LEGO</v>
          </cell>
          <cell r="I2856">
            <v>41.25</v>
          </cell>
        </row>
        <row r="2857">
          <cell r="A2857" t="str">
            <v>19-02856</v>
          </cell>
          <cell r="B2857" t="str">
            <v>MOTTA INT.</v>
          </cell>
          <cell r="C2857" t="str">
            <v>P</v>
          </cell>
          <cell r="D2857" t="str">
            <v>N/A</v>
          </cell>
          <cell r="E2857" t="str">
            <v>ILEG75085 DISNEY STAR WARS ANAKIN'S CUSTOM JEDI STARFIGHTER</v>
          </cell>
          <cell r="F2857" t="str">
            <v>JUGUETES</v>
          </cell>
          <cell r="G2857" t="str">
            <v>ILEG75085</v>
          </cell>
          <cell r="H2857" t="str">
            <v>LEGO</v>
          </cell>
          <cell r="I2857">
            <v>20.65</v>
          </cell>
        </row>
        <row r="2858">
          <cell r="A2858" t="str">
            <v>19-02857</v>
          </cell>
          <cell r="B2858" t="str">
            <v>MOTTA INT.</v>
          </cell>
          <cell r="C2858" t="str">
            <v>P</v>
          </cell>
          <cell r="D2858" t="str">
            <v>N/A</v>
          </cell>
          <cell r="E2858" t="str">
            <v>ILEG75087 DISNEY STAR WARS ANAKIN'S CUSTOM JEDI STARFIGHTER</v>
          </cell>
          <cell r="F2858" t="str">
            <v>JUGUETES</v>
          </cell>
          <cell r="G2858" t="str">
            <v>ILEG75087</v>
          </cell>
          <cell r="H2858" t="str">
            <v>LEGO</v>
          </cell>
          <cell r="I2858">
            <v>41.25</v>
          </cell>
        </row>
        <row r="2859">
          <cell r="A2859" t="str">
            <v>19-02858</v>
          </cell>
          <cell r="B2859" t="str">
            <v>MOTTA INT.</v>
          </cell>
          <cell r="C2859" t="str">
            <v>P</v>
          </cell>
          <cell r="D2859" t="str">
            <v>N/A</v>
          </cell>
          <cell r="E2859" t="str">
            <v>ILEG75090 DISNEY STAR WARS EZRAS'S SPEEDER BIKE</v>
          </cell>
          <cell r="F2859" t="str">
            <v>JUGUETES</v>
          </cell>
          <cell r="G2859" t="str">
            <v>ILEG75090</v>
          </cell>
          <cell r="H2859" t="str">
            <v>LEGO</v>
          </cell>
          <cell r="I2859">
            <v>20.65</v>
          </cell>
        </row>
        <row r="2860">
          <cell r="A2860" t="str">
            <v>19-02859</v>
          </cell>
          <cell r="B2860" t="str">
            <v>MOTTA INT.</v>
          </cell>
          <cell r="C2860" t="str">
            <v>P</v>
          </cell>
          <cell r="D2860" t="str">
            <v>N/A</v>
          </cell>
          <cell r="E2860" t="str">
            <v>ILEG75091 DISNEY STAR WARS FLASH SPEEDER</v>
          </cell>
          <cell r="F2860" t="str">
            <v>JUGUETES</v>
          </cell>
          <cell r="G2860" t="str">
            <v>ILEG75091</v>
          </cell>
          <cell r="H2860" t="str">
            <v>LEGO</v>
          </cell>
          <cell r="I2860">
            <v>30.5</v>
          </cell>
        </row>
        <row r="2861">
          <cell r="A2861" t="str">
            <v>19-02860</v>
          </cell>
          <cell r="B2861" t="str">
            <v>MOTTA INT.</v>
          </cell>
          <cell r="C2861" t="str">
            <v>P</v>
          </cell>
          <cell r="D2861" t="str">
            <v>N/A</v>
          </cell>
          <cell r="E2861" t="str">
            <v>ILEG75089 DISNEY STAR WARS GEONOSIS TROOPERS</v>
          </cell>
          <cell r="F2861" t="str">
            <v>JUGUETES</v>
          </cell>
          <cell r="G2861" t="str">
            <v>ILEG75089</v>
          </cell>
          <cell r="H2861" t="str">
            <v>LEGO</v>
          </cell>
          <cell r="I2861">
            <v>13.1</v>
          </cell>
        </row>
        <row r="2862">
          <cell r="A2862" t="str">
            <v>19-02861</v>
          </cell>
          <cell r="B2862" t="str">
            <v>MOTTA INT.</v>
          </cell>
          <cell r="C2862" t="str">
            <v>P</v>
          </cell>
          <cell r="D2862" t="str">
            <v>N/A</v>
          </cell>
          <cell r="E2862" t="str">
            <v>ILEG41098 FRIENDS EMMA'S TOURIST KIDSK</v>
          </cell>
          <cell r="F2862" t="str">
            <v>JUGUETES</v>
          </cell>
          <cell r="G2862" t="str">
            <v>ILEG41098</v>
          </cell>
          <cell r="H2862" t="str">
            <v>LEGO</v>
          </cell>
          <cell r="I2862">
            <v>10.3</v>
          </cell>
        </row>
        <row r="2863">
          <cell r="A2863" t="str">
            <v>19-02862</v>
          </cell>
          <cell r="B2863" t="str">
            <v>MOTTA INT.</v>
          </cell>
          <cell r="C2863" t="str">
            <v>P</v>
          </cell>
          <cell r="D2863" t="str">
            <v>N/A</v>
          </cell>
          <cell r="E2863" t="str">
            <v>ILEG41100 FRIENDS HEARTLAKE PRIVATE JET</v>
          </cell>
          <cell r="F2863" t="str">
            <v>JUGUETES</v>
          </cell>
          <cell r="G2863" t="str">
            <v>ILEG41100</v>
          </cell>
          <cell r="H2863" t="str">
            <v>LEGO</v>
          </cell>
          <cell r="I2863">
            <v>31.6</v>
          </cell>
        </row>
        <row r="2864">
          <cell r="A2864" t="str">
            <v>19-02863</v>
          </cell>
          <cell r="B2864" t="str">
            <v>MOTTA INT.</v>
          </cell>
          <cell r="C2864" t="str">
            <v>P</v>
          </cell>
          <cell r="D2864" t="str">
            <v>N/A</v>
          </cell>
          <cell r="E2864" t="str">
            <v>ILEG41104 FRIENDS POP STAR DRESSING ROOM</v>
          </cell>
          <cell r="F2864" t="str">
            <v>JUGUETES</v>
          </cell>
          <cell r="G2864" t="str">
            <v>ILEG41104</v>
          </cell>
          <cell r="H2864" t="str">
            <v>LEGO</v>
          </cell>
          <cell r="I2864">
            <v>31.3</v>
          </cell>
        </row>
        <row r="2865">
          <cell r="A2865" t="str">
            <v>19-02864</v>
          </cell>
          <cell r="B2865" t="str">
            <v>MOTTA INT.</v>
          </cell>
          <cell r="C2865" t="str">
            <v>P</v>
          </cell>
          <cell r="D2865" t="str">
            <v>N/A</v>
          </cell>
          <cell r="E2865" t="str">
            <v>ILEG41107 FRIENDS POP STAR LIMO</v>
          </cell>
          <cell r="F2865" t="str">
            <v>JUGUETES</v>
          </cell>
          <cell r="G2865" t="str">
            <v>ILEG41107</v>
          </cell>
          <cell r="H2865" t="str">
            <v>LEGO</v>
          </cell>
          <cell r="I2865">
            <v>26.35</v>
          </cell>
        </row>
        <row r="2866">
          <cell r="A2866" t="str">
            <v>19-02865</v>
          </cell>
          <cell r="B2866" t="str">
            <v>MOTTA INT.</v>
          </cell>
          <cell r="C2866" t="str">
            <v>P</v>
          </cell>
          <cell r="D2866" t="str">
            <v>N/A</v>
          </cell>
          <cell r="E2866" t="str">
            <v>ILEG41103 FRIENDS POP STAR RECORDING STUDIO</v>
          </cell>
          <cell r="F2866" t="str">
            <v>JUGUETES</v>
          </cell>
          <cell r="G2866" t="str">
            <v>ILEG41103</v>
          </cell>
          <cell r="H2866" t="str">
            <v>LEGO</v>
          </cell>
          <cell r="I2866">
            <v>15.55</v>
          </cell>
        </row>
        <row r="2867">
          <cell r="A2867" t="str">
            <v>19-02866</v>
          </cell>
          <cell r="B2867" t="str">
            <v>MOTTA INT.</v>
          </cell>
          <cell r="C2867" t="str">
            <v>P</v>
          </cell>
          <cell r="D2867" t="str">
            <v>N/A</v>
          </cell>
          <cell r="E2867" t="str">
            <v>ILEG76030 MARVEL AVENGERS HYDRA SHOWDOWN</v>
          </cell>
          <cell r="F2867" t="str">
            <v>JUGUETES</v>
          </cell>
          <cell r="G2867" t="str">
            <v>ILEG76030</v>
          </cell>
          <cell r="H2867" t="str">
            <v>LEGO</v>
          </cell>
          <cell r="I2867">
            <v>20.65</v>
          </cell>
        </row>
        <row r="2868">
          <cell r="A2868" t="str">
            <v>19-02867</v>
          </cell>
          <cell r="B2868" t="str">
            <v>MOTTA INT.</v>
          </cell>
          <cell r="C2868" t="str">
            <v>P</v>
          </cell>
          <cell r="D2868" t="str">
            <v>N/A</v>
          </cell>
          <cell r="E2868" t="str">
            <v>ILEG76031 MARVEL AVENGERS THE HULK BUSTER SMASH</v>
          </cell>
          <cell r="F2868" t="str">
            <v>JUGUETES</v>
          </cell>
          <cell r="G2868" t="str">
            <v>ILEG76031</v>
          </cell>
          <cell r="H2868" t="str">
            <v>LEGO</v>
          </cell>
          <cell r="I2868">
            <v>30.95</v>
          </cell>
        </row>
        <row r="2869">
          <cell r="A2869" t="str">
            <v>19-02868</v>
          </cell>
          <cell r="B2869" t="str">
            <v>MOTTA INT.</v>
          </cell>
          <cell r="C2869" t="str">
            <v>P</v>
          </cell>
          <cell r="D2869" t="str">
            <v>N/A</v>
          </cell>
          <cell r="E2869" t="str">
            <v>ILEG21116 MINECRAFT CRAFTING BOX</v>
          </cell>
          <cell r="F2869" t="str">
            <v>JUGUETES</v>
          </cell>
          <cell r="G2869" t="str">
            <v>ILEG21116</v>
          </cell>
          <cell r="H2869" t="str">
            <v>LEGO</v>
          </cell>
          <cell r="I2869">
            <v>46.45</v>
          </cell>
        </row>
        <row r="2870">
          <cell r="A2870" t="str">
            <v>19-02869</v>
          </cell>
          <cell r="B2870" t="str">
            <v>MOTTA INT.</v>
          </cell>
          <cell r="C2870" t="str">
            <v>P</v>
          </cell>
          <cell r="D2870" t="str">
            <v>N/A</v>
          </cell>
          <cell r="E2870" t="str">
            <v>ILEG21113 MINECRAFT THE CAVE</v>
          </cell>
          <cell r="F2870" t="str">
            <v>JUGUETES</v>
          </cell>
          <cell r="G2870" t="str">
            <v>ILEG21113</v>
          </cell>
          <cell r="H2870" t="str">
            <v>LEGO</v>
          </cell>
          <cell r="I2870">
            <v>18.600000000000001</v>
          </cell>
        </row>
        <row r="2871">
          <cell r="A2871" t="str">
            <v>19-02870</v>
          </cell>
          <cell r="B2871" t="str">
            <v>MOTTA INT.</v>
          </cell>
          <cell r="C2871" t="str">
            <v>P</v>
          </cell>
          <cell r="D2871" t="str">
            <v>N/A</v>
          </cell>
          <cell r="E2871" t="str">
            <v>ILEG21114 MINECRAFT THE FARM</v>
          </cell>
          <cell r="F2871" t="str">
            <v>JUGUETES</v>
          </cell>
          <cell r="G2871" t="str">
            <v>ILEG21114</v>
          </cell>
          <cell r="H2871" t="str">
            <v>LEGO</v>
          </cell>
          <cell r="I2871">
            <v>27.85</v>
          </cell>
        </row>
        <row r="2872">
          <cell r="A2872" t="str">
            <v>19-02871</v>
          </cell>
          <cell r="B2872" t="str">
            <v>MOTTA INT.</v>
          </cell>
          <cell r="C2872" t="str">
            <v>P</v>
          </cell>
          <cell r="D2872" t="str">
            <v>N/A</v>
          </cell>
          <cell r="E2872" t="str">
            <v>ILEG21115 MINECRAFT THE FIRST NIGHT</v>
          </cell>
          <cell r="F2872" t="str">
            <v>JUGUETES</v>
          </cell>
          <cell r="G2872" t="str">
            <v>ILEG21115</v>
          </cell>
          <cell r="H2872" t="str">
            <v>LEGO</v>
          </cell>
          <cell r="I2872">
            <v>37.15</v>
          </cell>
        </row>
        <row r="2873">
          <cell r="A2873" t="str">
            <v>19-02872</v>
          </cell>
          <cell r="B2873" t="str">
            <v>MOTTA INT.</v>
          </cell>
          <cell r="C2873" t="str">
            <v>P</v>
          </cell>
          <cell r="D2873" t="str">
            <v>N/A</v>
          </cell>
          <cell r="E2873" t="str">
            <v>ILEG21120 MINECRAFT THE SNOW HIDEOUT</v>
          </cell>
          <cell r="F2873" t="str">
            <v>JUGUETES</v>
          </cell>
          <cell r="G2873" t="str">
            <v>ILEG21120</v>
          </cell>
          <cell r="H2873" t="str">
            <v>LEGO</v>
          </cell>
          <cell r="I2873">
            <v>32.5</v>
          </cell>
        </row>
        <row r="2874">
          <cell r="A2874" t="str">
            <v>19-02873</v>
          </cell>
          <cell r="B2874" t="str">
            <v>MOTTA INT.</v>
          </cell>
          <cell r="C2874" t="str">
            <v>P</v>
          </cell>
          <cell r="D2874" t="str">
            <v>N/A</v>
          </cell>
          <cell r="E2874" t="str">
            <v>ILEG79103 NINJA TURTLE LAIR ATTACK V29</v>
          </cell>
          <cell r="F2874" t="str">
            <v>JUGUETES</v>
          </cell>
          <cell r="G2874" t="str">
            <v>ILEG79103</v>
          </cell>
          <cell r="H2874" t="str">
            <v>LEGO</v>
          </cell>
          <cell r="I2874">
            <v>47.15</v>
          </cell>
        </row>
        <row r="2875">
          <cell r="A2875" t="str">
            <v>19-02874</v>
          </cell>
          <cell r="B2875" t="str">
            <v>MOTTA INT.</v>
          </cell>
          <cell r="C2875" t="str">
            <v>P</v>
          </cell>
          <cell r="D2875" t="str">
            <v>N/A</v>
          </cell>
          <cell r="E2875" t="str">
            <v>ILEG70741 NINJAGO AIRJITZU COLE FLYER</v>
          </cell>
          <cell r="F2875" t="str">
            <v>JUGUETES</v>
          </cell>
          <cell r="G2875" t="str">
            <v>ILEG70741</v>
          </cell>
          <cell r="H2875" t="str">
            <v>LEGO</v>
          </cell>
          <cell r="I2875">
            <v>8.25</v>
          </cell>
        </row>
        <row r="2876">
          <cell r="A2876" t="str">
            <v>19-02875</v>
          </cell>
          <cell r="B2876" t="str">
            <v>MOTTA INT.</v>
          </cell>
          <cell r="C2876" t="str">
            <v>P</v>
          </cell>
          <cell r="D2876" t="str">
            <v>N/A</v>
          </cell>
          <cell r="E2876" t="str">
            <v>ILEG70740 NINJAGO AIRJITZU JAI FLYER</v>
          </cell>
          <cell r="F2876" t="str">
            <v>JUGUETES</v>
          </cell>
          <cell r="G2876" t="str">
            <v>ILEG70740</v>
          </cell>
          <cell r="H2876" t="str">
            <v>LEGO</v>
          </cell>
          <cell r="I2876">
            <v>8.25</v>
          </cell>
        </row>
        <row r="2877">
          <cell r="A2877" t="str">
            <v>19-02876</v>
          </cell>
          <cell r="B2877" t="str">
            <v>MOTTA INT.</v>
          </cell>
          <cell r="C2877" t="str">
            <v>P</v>
          </cell>
          <cell r="D2877" t="str">
            <v>N/A</v>
          </cell>
          <cell r="E2877" t="str">
            <v>ILEG70739 NINJAGO AIRJITZU KAI FLYER</v>
          </cell>
          <cell r="F2877" t="str">
            <v>JUGUETES</v>
          </cell>
          <cell r="G2877" t="str">
            <v>ILEG70739</v>
          </cell>
          <cell r="H2877" t="str">
            <v>LEGO</v>
          </cell>
          <cell r="I2877">
            <v>8.25</v>
          </cell>
        </row>
        <row r="2878">
          <cell r="A2878" t="str">
            <v>19-02877</v>
          </cell>
          <cell r="B2878" t="str">
            <v>MOTTA INT.</v>
          </cell>
          <cell r="C2878" t="str">
            <v>P</v>
          </cell>
          <cell r="D2878" t="str">
            <v>N/A</v>
          </cell>
          <cell r="E2878" t="str">
            <v>ILEG70743 NINJAGO AIRJITZU MORRO FLYER</v>
          </cell>
          <cell r="F2878" t="str">
            <v>JUGUETES</v>
          </cell>
          <cell r="G2878" t="str">
            <v>ILEG70743</v>
          </cell>
          <cell r="H2878" t="str">
            <v>LEGO</v>
          </cell>
          <cell r="I2878">
            <v>8.25</v>
          </cell>
        </row>
        <row r="2879">
          <cell r="A2879" t="str">
            <v>19-02878</v>
          </cell>
          <cell r="B2879" t="str">
            <v>MOTTA INT.</v>
          </cell>
          <cell r="C2879" t="str">
            <v>P</v>
          </cell>
          <cell r="D2879" t="str">
            <v>N/A</v>
          </cell>
          <cell r="E2879" t="str">
            <v>ILEG70744 NINJAGO AIRJITZU WRAYTH FLYER</v>
          </cell>
          <cell r="F2879" t="str">
            <v>JUGUETES</v>
          </cell>
          <cell r="G2879" t="str">
            <v>ILEG70744</v>
          </cell>
          <cell r="H2879" t="str">
            <v>LEGO</v>
          </cell>
          <cell r="I2879">
            <v>8.25</v>
          </cell>
        </row>
        <row r="2880">
          <cell r="A2880" t="str">
            <v>19-02879</v>
          </cell>
          <cell r="B2880" t="str">
            <v>MOTTA INT.</v>
          </cell>
          <cell r="C2880" t="str">
            <v>P</v>
          </cell>
          <cell r="D2880" t="str">
            <v>N/A</v>
          </cell>
          <cell r="E2880" t="str">
            <v>ILEG70742 NINJAGO AIRJITZU ZANE FLYER</v>
          </cell>
          <cell r="F2880" t="str">
            <v>JUGUETES</v>
          </cell>
          <cell r="G2880" t="str">
            <v>ILEG70742</v>
          </cell>
          <cell r="H2880" t="str">
            <v>LEGO</v>
          </cell>
          <cell r="I2880">
            <v>8.25</v>
          </cell>
        </row>
        <row r="2881">
          <cell r="A2881" t="str">
            <v>19-02880</v>
          </cell>
          <cell r="B2881" t="str">
            <v>MOTTA INT.</v>
          </cell>
          <cell r="C2881" t="str">
            <v>P</v>
          </cell>
          <cell r="D2881" t="str">
            <v>N/A</v>
          </cell>
          <cell r="E2881" t="str">
            <v>ILEG70730 NINJAGO CHAIN CYCLE AMBUSH</v>
          </cell>
          <cell r="F2881" t="str">
            <v>JUGUETES</v>
          </cell>
          <cell r="G2881" t="str">
            <v>ILEG70730</v>
          </cell>
          <cell r="H2881" t="str">
            <v>LEGO</v>
          </cell>
          <cell r="I2881">
            <v>10.35</v>
          </cell>
        </row>
        <row r="2882">
          <cell r="A2882" t="str">
            <v>19-02881</v>
          </cell>
          <cell r="B2882" t="str">
            <v>MOTTA INT.</v>
          </cell>
          <cell r="C2882" t="str">
            <v>P</v>
          </cell>
          <cell r="D2882" t="str">
            <v>N/A</v>
          </cell>
          <cell r="E2882" t="str">
            <v>ILEG70754 NINJAGO ELECTROMECH</v>
          </cell>
          <cell r="F2882" t="str">
            <v>JUGUETES</v>
          </cell>
          <cell r="G2882" t="str">
            <v>ILEG70754</v>
          </cell>
          <cell r="H2882" t="str">
            <v>LEGO</v>
          </cell>
          <cell r="I2882">
            <v>15.5</v>
          </cell>
        </row>
        <row r="2883">
          <cell r="A2883" t="str">
            <v>19-02882</v>
          </cell>
          <cell r="B2883" t="str">
            <v>MOTTA INT.</v>
          </cell>
          <cell r="C2883" t="str">
            <v>P</v>
          </cell>
          <cell r="D2883" t="str">
            <v>N/A</v>
          </cell>
          <cell r="E2883" t="str">
            <v>ILEG70734 NINJAGO MASTER WU DRAGON</v>
          </cell>
          <cell r="F2883" t="str">
            <v>JUGUETES</v>
          </cell>
          <cell r="G2883" t="str">
            <v>ILEG70734</v>
          </cell>
          <cell r="H2883" t="str">
            <v>LEGO</v>
          </cell>
          <cell r="I2883">
            <v>52.7</v>
          </cell>
        </row>
        <row r="2884">
          <cell r="A2884" t="str">
            <v>19-02883</v>
          </cell>
          <cell r="B2884" t="str">
            <v>MOTTA INT.</v>
          </cell>
          <cell r="C2884" t="str">
            <v>P</v>
          </cell>
          <cell r="D2884" t="str">
            <v>N/A</v>
          </cell>
          <cell r="E2884" t="str">
            <v>ILEG70723 NINJAGO THUNDER RAIDER</v>
          </cell>
          <cell r="F2884" t="str">
            <v>JUGUETES</v>
          </cell>
          <cell r="G2884" t="str">
            <v>ILEG70723</v>
          </cell>
          <cell r="H2884" t="str">
            <v>LEGO</v>
          </cell>
          <cell r="I2884">
            <v>25</v>
          </cell>
        </row>
        <row r="2885">
          <cell r="A2885" t="str">
            <v>19-02884</v>
          </cell>
          <cell r="B2885" t="str">
            <v>MOTTA INT.</v>
          </cell>
          <cell r="C2885" t="str">
            <v>P</v>
          </cell>
          <cell r="D2885" t="str">
            <v>N/A</v>
          </cell>
          <cell r="E2885" t="str">
            <v>ILEG75911 SPEED CHAMPIONS MCLAREN MERCECDES PIT STOP</v>
          </cell>
          <cell r="F2885" t="str">
            <v>JUGUETES</v>
          </cell>
          <cell r="G2885" t="str">
            <v>ILEG75911</v>
          </cell>
          <cell r="H2885" t="str">
            <v>LEGO</v>
          </cell>
          <cell r="I2885">
            <v>30.95</v>
          </cell>
        </row>
        <row r="2886">
          <cell r="A2886" t="str">
            <v>19-02885</v>
          </cell>
          <cell r="B2886" t="str">
            <v>MOTTA INT.</v>
          </cell>
          <cell r="C2886" t="str">
            <v>P</v>
          </cell>
          <cell r="D2886" t="str">
            <v>N/A</v>
          </cell>
          <cell r="E2886" t="str">
            <v>ILEG75029 STAR WARS AAT V39</v>
          </cell>
          <cell r="F2886" t="str">
            <v>JUGUETES</v>
          </cell>
          <cell r="G2886" t="str">
            <v>ILEG75029</v>
          </cell>
          <cell r="H2886" t="str">
            <v>LEGO</v>
          </cell>
          <cell r="I2886">
            <v>9.4</v>
          </cell>
        </row>
        <row r="2887">
          <cell r="A2887" t="str">
            <v>19-02886</v>
          </cell>
          <cell r="B2887" t="str">
            <v>MOTTA INT.</v>
          </cell>
          <cell r="C2887" t="str">
            <v>P</v>
          </cell>
          <cell r="D2887" t="str">
            <v>N/A</v>
          </cell>
          <cell r="E2887" t="str">
            <v>ILEG75017 STAR WARS DUEL ON GENOSIS</v>
          </cell>
          <cell r="F2887" t="str">
            <v>JUGUETES</v>
          </cell>
          <cell r="G2887" t="str">
            <v>ILEG75017</v>
          </cell>
          <cell r="H2887" t="str">
            <v>LEGO</v>
          </cell>
          <cell r="I2887">
            <v>45</v>
          </cell>
        </row>
        <row r="2888">
          <cell r="A2888" t="str">
            <v>19-02887</v>
          </cell>
          <cell r="B2888" t="str">
            <v>MOTTA INT.</v>
          </cell>
          <cell r="C2888" t="str">
            <v>P</v>
          </cell>
          <cell r="D2888" t="str">
            <v>N/A</v>
          </cell>
          <cell r="E2888" t="str">
            <v>ILEG75038 STAR WARS JEDI INTERCEPTOR</v>
          </cell>
          <cell r="F2888" t="str">
            <v>JUGUETES</v>
          </cell>
          <cell r="G2888" t="str">
            <v>ILEG75038</v>
          </cell>
          <cell r="H2888" t="str">
            <v>LEGO</v>
          </cell>
          <cell r="I2888">
            <v>23.5</v>
          </cell>
        </row>
        <row r="2889">
          <cell r="A2889" t="str">
            <v>19-02888</v>
          </cell>
          <cell r="B2889" t="str">
            <v>MOTTA INT.</v>
          </cell>
          <cell r="C2889" t="str">
            <v>P</v>
          </cell>
          <cell r="D2889" t="str">
            <v>N/A</v>
          </cell>
          <cell r="E2889" t="str">
            <v>ILEG75035 STAR WARS KASHYYYK TROOPERS</v>
          </cell>
          <cell r="F2889" t="str">
            <v>JUGUETES</v>
          </cell>
          <cell r="G2889" t="str">
            <v>ILEG75035</v>
          </cell>
          <cell r="H2889" t="str">
            <v>LEGO</v>
          </cell>
          <cell r="I2889">
            <v>12.25</v>
          </cell>
        </row>
        <row r="2890">
          <cell r="A2890" t="str">
            <v>19-02889</v>
          </cell>
          <cell r="B2890" t="str">
            <v>MOTTA INT.</v>
          </cell>
          <cell r="C2890" t="str">
            <v>P</v>
          </cell>
          <cell r="D2890" t="str">
            <v>N/A</v>
          </cell>
          <cell r="E2890" t="str">
            <v>ILEG75099 STAR WARS REYS SPEEDER</v>
          </cell>
          <cell r="F2890" t="str">
            <v>JUGUETES</v>
          </cell>
          <cell r="G2890" t="str">
            <v>ILEG75099</v>
          </cell>
          <cell r="H2890" t="str">
            <v>LEGO</v>
          </cell>
          <cell r="I2890">
            <v>20.65</v>
          </cell>
        </row>
        <row r="2891">
          <cell r="A2891" t="str">
            <v>19-02890</v>
          </cell>
          <cell r="B2891" t="str">
            <v>MOTTA INT.</v>
          </cell>
          <cell r="C2891" t="str">
            <v>P</v>
          </cell>
          <cell r="D2891" t="str">
            <v>N/A</v>
          </cell>
          <cell r="E2891" t="str">
            <v>ILEG75082 STAR WARS TIE ADVANCED PROTOTYPE</v>
          </cell>
          <cell r="F2891" t="str">
            <v>JUGUETES</v>
          </cell>
          <cell r="G2891" t="str">
            <v>ILEG75082</v>
          </cell>
          <cell r="H2891" t="str">
            <v>LEGO</v>
          </cell>
          <cell r="I2891">
            <v>42.15</v>
          </cell>
        </row>
        <row r="2892">
          <cell r="A2892" t="str">
            <v>19-02891</v>
          </cell>
          <cell r="B2892" t="str">
            <v>MOTTA INT.</v>
          </cell>
          <cell r="C2892" t="str">
            <v>P</v>
          </cell>
          <cell r="D2892" t="str">
            <v>N/A</v>
          </cell>
          <cell r="E2892" t="str">
            <v>ILEG76034 SUPER HEROES DC COMICS THE BATBOAT HARBOR PURSUIT</v>
          </cell>
          <cell r="F2892" t="str">
            <v>JUGUETES</v>
          </cell>
          <cell r="G2892" t="str">
            <v>ILEG76034</v>
          </cell>
          <cell r="H2892" t="str">
            <v>LEGO</v>
          </cell>
          <cell r="I2892">
            <v>31.1</v>
          </cell>
        </row>
        <row r="2893">
          <cell r="A2893" t="str">
            <v>19-02892</v>
          </cell>
          <cell r="B2893" t="str">
            <v>MOTTA INT.</v>
          </cell>
          <cell r="C2893" t="str">
            <v>P</v>
          </cell>
          <cell r="D2893" t="str">
            <v>N/A</v>
          </cell>
          <cell r="E2893" t="str">
            <v>ILEG76036 SUPER HEROES SPIDERMAN CARNAGES SHIELD SKY ATTACK</v>
          </cell>
          <cell r="F2893" t="str">
            <v>JUGUETES</v>
          </cell>
          <cell r="G2893" t="str">
            <v>ILEG76036</v>
          </cell>
          <cell r="H2893" t="str">
            <v>LEGO</v>
          </cell>
          <cell r="I2893">
            <v>13.1</v>
          </cell>
        </row>
        <row r="2894">
          <cell r="A2894" t="str">
            <v>19-02893</v>
          </cell>
          <cell r="B2894" t="str">
            <v>MOTTA INT.</v>
          </cell>
          <cell r="C2894" t="str">
            <v>P</v>
          </cell>
          <cell r="D2894" t="str">
            <v>N/A</v>
          </cell>
          <cell r="E2894" t="str">
            <v>ILEG10669 TURTLES LAIR</v>
          </cell>
          <cell r="F2894" t="str">
            <v>JUGUETES</v>
          </cell>
          <cell r="G2894" t="str">
            <v>ILEG10669</v>
          </cell>
          <cell r="H2894" t="str">
            <v>LEGO</v>
          </cell>
          <cell r="I2894">
            <v>18.8</v>
          </cell>
        </row>
        <row r="2895">
          <cell r="A2895" t="str">
            <v>19-02894</v>
          </cell>
          <cell r="B2895" t="str">
            <v>ORKHON GROUP</v>
          </cell>
          <cell r="C2895" t="str">
            <v>A</v>
          </cell>
          <cell r="D2895" t="str">
            <v>N/A</v>
          </cell>
          <cell r="E2895" t="str">
            <v>A1503-04 ALTAMAR PULSERA FASHION ASSORTED COLORS</v>
          </cell>
          <cell r="F2895" t="str">
            <v>PULSERA</v>
          </cell>
          <cell r="G2895" t="str">
            <v>A1503-04</v>
          </cell>
          <cell r="H2895" t="str">
            <v>ALTAMAR</v>
          </cell>
          <cell r="I2895">
            <v>3.948</v>
          </cell>
        </row>
        <row r="2896">
          <cell r="A2896" t="str">
            <v>19-02895</v>
          </cell>
          <cell r="B2896" t="str">
            <v>ORKHON GROUP</v>
          </cell>
          <cell r="C2896" t="str">
            <v>A</v>
          </cell>
          <cell r="D2896" t="str">
            <v>N/A</v>
          </cell>
          <cell r="E2896" t="str">
            <v>A1503-09 ALTAMAR PULSERA FASHION ASSORTED COLORS</v>
          </cell>
          <cell r="F2896" t="str">
            <v>PULSERA</v>
          </cell>
          <cell r="G2896" t="str">
            <v>A1503-09</v>
          </cell>
          <cell r="H2896" t="str">
            <v>ALTAMAR</v>
          </cell>
          <cell r="I2896">
            <v>3.5</v>
          </cell>
        </row>
        <row r="2897">
          <cell r="A2897" t="str">
            <v>19-02896</v>
          </cell>
          <cell r="B2897" t="str">
            <v>ORKHON GROUP</v>
          </cell>
          <cell r="C2897" t="str">
            <v>A</v>
          </cell>
          <cell r="D2897" t="str">
            <v>N/A</v>
          </cell>
          <cell r="E2897" t="str">
            <v>A1503-17 ALTAMAR PULSERA FASHION ASSORTED COLORS</v>
          </cell>
          <cell r="F2897" t="str">
            <v>PULSERA</v>
          </cell>
          <cell r="G2897" t="str">
            <v>A1503-17</v>
          </cell>
          <cell r="H2897" t="str">
            <v>ALTAMAR</v>
          </cell>
          <cell r="I2897">
            <v>8</v>
          </cell>
        </row>
        <row r="2898">
          <cell r="A2898" t="str">
            <v>19-02897</v>
          </cell>
          <cell r="B2898" t="str">
            <v>ORKHON GROUP</v>
          </cell>
          <cell r="C2898" t="str">
            <v>A</v>
          </cell>
          <cell r="D2898" t="str">
            <v>N/A</v>
          </cell>
          <cell r="E2898" t="str">
            <v>A1503-03 ALTAMAR PULSERA FASHION ASSORTED COLORS</v>
          </cell>
          <cell r="F2898" t="str">
            <v>PULSERA</v>
          </cell>
          <cell r="G2898" t="str">
            <v>A1503-03</v>
          </cell>
          <cell r="H2898" t="str">
            <v>ALTAMAR</v>
          </cell>
          <cell r="I2898">
            <v>3.948</v>
          </cell>
        </row>
        <row r="2899">
          <cell r="A2899" t="str">
            <v>19-02898</v>
          </cell>
          <cell r="B2899" t="str">
            <v>ORKHON GROUP</v>
          </cell>
          <cell r="C2899" t="str">
            <v>A</v>
          </cell>
          <cell r="D2899" t="str">
            <v>N/A</v>
          </cell>
          <cell r="E2899" t="str">
            <v>A1503-02 ALTAMAR PULSERA FASHION ASSORTED COLORS</v>
          </cell>
          <cell r="F2899" t="str">
            <v>PULSERA</v>
          </cell>
          <cell r="G2899" t="str">
            <v>A1503-02</v>
          </cell>
          <cell r="H2899" t="str">
            <v>ALTAMAR</v>
          </cell>
          <cell r="I2899">
            <v>10</v>
          </cell>
        </row>
        <row r="2900">
          <cell r="A2900" t="str">
            <v>19-02899</v>
          </cell>
          <cell r="B2900" t="str">
            <v>ORKHON GROUP</v>
          </cell>
          <cell r="C2900" t="str">
            <v>A</v>
          </cell>
          <cell r="D2900" t="str">
            <v>N/A</v>
          </cell>
          <cell r="E2900" t="str">
            <v>A1503-22 ALTAMAR PULSERA DE HILO CLOE MULTICOLOR</v>
          </cell>
          <cell r="F2900" t="str">
            <v>PULSERA</v>
          </cell>
          <cell r="G2900" t="str">
            <v>A1503-22</v>
          </cell>
          <cell r="H2900" t="str">
            <v>ALTAMAR</v>
          </cell>
          <cell r="I2900">
            <v>2.472</v>
          </cell>
        </row>
        <row r="2901">
          <cell r="A2901" t="str">
            <v>19-02900</v>
          </cell>
          <cell r="B2901" t="str">
            <v>ORKHON GROUP</v>
          </cell>
          <cell r="C2901" t="str">
            <v>A</v>
          </cell>
          <cell r="D2901" t="str">
            <v>N/A</v>
          </cell>
          <cell r="E2901" t="str">
            <v>A1503-52 ALTAMAR ARETES ASSORTED COLORS</v>
          </cell>
          <cell r="F2901" t="str">
            <v>PENDIENTE</v>
          </cell>
          <cell r="G2901" t="str">
            <v>A1503-52</v>
          </cell>
          <cell r="H2901" t="str">
            <v>ALTAMAR</v>
          </cell>
          <cell r="I2901">
            <v>7</v>
          </cell>
        </row>
        <row r="2902">
          <cell r="A2902" t="str">
            <v>19-02901</v>
          </cell>
          <cell r="B2902" t="str">
            <v>ORKHON GROUP</v>
          </cell>
          <cell r="C2902" t="str">
            <v>A</v>
          </cell>
          <cell r="D2902" t="str">
            <v>N/A</v>
          </cell>
          <cell r="E2902" t="str">
            <v>A1503-42 ALTAMAR ARETES</v>
          </cell>
          <cell r="F2902" t="str">
            <v>PENDIENTE</v>
          </cell>
          <cell r="G2902" t="str">
            <v>A1503-42</v>
          </cell>
          <cell r="H2902" t="str">
            <v>ALTAMAR</v>
          </cell>
          <cell r="I2902">
            <v>6</v>
          </cell>
        </row>
        <row r="2903">
          <cell r="A2903" t="str">
            <v>19-02902</v>
          </cell>
          <cell r="B2903" t="str">
            <v>ORKHON GROUP</v>
          </cell>
          <cell r="C2903" t="str">
            <v>A</v>
          </cell>
          <cell r="D2903" t="str">
            <v>N/A</v>
          </cell>
          <cell r="E2903" t="str">
            <v>A1503-30 ALTAMAR ARETES</v>
          </cell>
          <cell r="F2903" t="str">
            <v>PENDIENTE</v>
          </cell>
          <cell r="G2903" t="str">
            <v>A1503-30</v>
          </cell>
          <cell r="H2903" t="str">
            <v>ALTAMAR</v>
          </cell>
          <cell r="I2903">
            <v>7</v>
          </cell>
        </row>
        <row r="2904">
          <cell r="A2904" t="str">
            <v>19-02903</v>
          </cell>
          <cell r="B2904" t="str">
            <v>ORKHON GROUP</v>
          </cell>
          <cell r="C2904" t="str">
            <v>A</v>
          </cell>
          <cell r="D2904" t="str">
            <v>N/A</v>
          </cell>
          <cell r="E2904" t="str">
            <v>A1503-31 ALTAMAR ARETES</v>
          </cell>
          <cell r="F2904" t="str">
            <v>PENDIENTE</v>
          </cell>
          <cell r="G2904" t="str">
            <v>A1503-31</v>
          </cell>
          <cell r="H2904" t="str">
            <v>ALTAMAR</v>
          </cell>
          <cell r="I2904">
            <v>6</v>
          </cell>
        </row>
        <row r="2905">
          <cell r="A2905" t="str">
            <v>19-02904</v>
          </cell>
          <cell r="B2905" t="str">
            <v>ORKHON GROUP</v>
          </cell>
          <cell r="C2905" t="str">
            <v>A</v>
          </cell>
          <cell r="D2905" t="str">
            <v>N/A</v>
          </cell>
          <cell r="E2905" t="str">
            <v>A1503-39 ALTAMAR ARETES</v>
          </cell>
          <cell r="F2905" t="str">
            <v>PENDIENTE</v>
          </cell>
          <cell r="G2905" t="str">
            <v>A1503-39</v>
          </cell>
          <cell r="H2905" t="str">
            <v>ALTAMAR</v>
          </cell>
          <cell r="I2905">
            <v>6</v>
          </cell>
        </row>
        <row r="2906">
          <cell r="A2906" t="str">
            <v>19-02905</v>
          </cell>
          <cell r="B2906" t="str">
            <v>ORKHON GROUP</v>
          </cell>
          <cell r="C2906" t="str">
            <v>A</v>
          </cell>
          <cell r="D2906" t="str">
            <v>N/A</v>
          </cell>
          <cell r="E2906" t="str">
            <v>A1503-53 ALTAMAR ARETES</v>
          </cell>
          <cell r="F2906" t="str">
            <v>PENDIENTE</v>
          </cell>
          <cell r="G2906" t="str">
            <v>A1503-53</v>
          </cell>
          <cell r="H2906" t="str">
            <v>ALTAMAR</v>
          </cell>
          <cell r="I2906">
            <v>7</v>
          </cell>
        </row>
        <row r="2907">
          <cell r="A2907" t="str">
            <v>19-02906</v>
          </cell>
          <cell r="B2907" t="str">
            <v>ORKHON GROUP</v>
          </cell>
          <cell r="C2907" t="str">
            <v>A</v>
          </cell>
          <cell r="D2907" t="str">
            <v>N/A</v>
          </cell>
          <cell r="E2907" t="str">
            <v>A1503-51 ALTAMAR ARETES</v>
          </cell>
          <cell r="F2907" t="str">
            <v>PENDIENTE</v>
          </cell>
          <cell r="G2907" t="str">
            <v>A1503-51</v>
          </cell>
          <cell r="H2907" t="str">
            <v>ALTAMAR</v>
          </cell>
          <cell r="I2907">
            <v>8</v>
          </cell>
        </row>
        <row r="2908">
          <cell r="A2908" t="str">
            <v>19-02907</v>
          </cell>
          <cell r="B2908" t="str">
            <v>ORKHON GROUP</v>
          </cell>
          <cell r="C2908" t="str">
            <v>A</v>
          </cell>
          <cell r="D2908" t="str">
            <v>N/A</v>
          </cell>
          <cell r="E2908" t="str">
            <v>A1503-37 ALTAMAR ARETES</v>
          </cell>
          <cell r="F2908" t="str">
            <v>PENDIENTE</v>
          </cell>
          <cell r="G2908" t="str">
            <v>A1503-37</v>
          </cell>
          <cell r="H2908" t="str">
            <v>ALTAMAR</v>
          </cell>
          <cell r="I2908">
            <v>6</v>
          </cell>
        </row>
        <row r="2909">
          <cell r="A2909" t="str">
            <v>19-02908</v>
          </cell>
          <cell r="B2909" t="str">
            <v>ORKHON GROUP</v>
          </cell>
          <cell r="C2909" t="str">
            <v>A</v>
          </cell>
          <cell r="D2909" t="str">
            <v>N/A</v>
          </cell>
          <cell r="E2909" t="str">
            <v>A1503-47 ALTAMAR ARETES</v>
          </cell>
          <cell r="F2909" t="str">
            <v>PENDIENTE</v>
          </cell>
          <cell r="G2909" t="str">
            <v>A1503-47</v>
          </cell>
          <cell r="H2909" t="str">
            <v>ALTAMAR</v>
          </cell>
          <cell r="I2909">
            <v>6</v>
          </cell>
        </row>
        <row r="2910">
          <cell r="A2910" t="str">
            <v>19-02909</v>
          </cell>
          <cell r="B2910" t="str">
            <v>ORKHON GROUP</v>
          </cell>
          <cell r="C2910" t="str">
            <v>A</v>
          </cell>
          <cell r="D2910" t="str">
            <v>N/A</v>
          </cell>
          <cell r="E2910" t="str">
            <v>A1503-49 ALTAMAR ARETES</v>
          </cell>
          <cell r="F2910" t="str">
            <v>PENDIENTE</v>
          </cell>
          <cell r="G2910" t="str">
            <v>A1503-49</v>
          </cell>
          <cell r="H2910" t="str">
            <v>ALTAMAR</v>
          </cell>
          <cell r="I2910">
            <v>6</v>
          </cell>
        </row>
        <row r="2911">
          <cell r="A2911" t="str">
            <v>19-02910</v>
          </cell>
          <cell r="B2911" t="str">
            <v>ORKHON GROUP</v>
          </cell>
          <cell r="C2911" t="str">
            <v>A</v>
          </cell>
          <cell r="D2911" t="str">
            <v>N/A</v>
          </cell>
          <cell r="E2911" t="str">
            <v>A1503-55 ALTAMAR ARETES</v>
          </cell>
          <cell r="F2911" t="str">
            <v>PENDIENTE</v>
          </cell>
          <cell r="G2911" t="str">
            <v>A1503-55</v>
          </cell>
          <cell r="H2911" t="str">
            <v>ALTAMAR</v>
          </cell>
          <cell r="I2911">
            <v>6</v>
          </cell>
        </row>
        <row r="2912">
          <cell r="A2912" t="str">
            <v>19-02911</v>
          </cell>
          <cell r="B2912" t="str">
            <v>ORKHON GROUP</v>
          </cell>
          <cell r="C2912" t="str">
            <v>A</v>
          </cell>
          <cell r="D2912" t="str">
            <v>N/A</v>
          </cell>
          <cell r="E2912" t="str">
            <v>A1503-41 ALTAMAR ARETES</v>
          </cell>
          <cell r="F2912" t="str">
            <v>PENDIENTE</v>
          </cell>
          <cell r="G2912" t="str">
            <v>A1503-41</v>
          </cell>
          <cell r="H2912" t="str">
            <v>ALTAMAR</v>
          </cell>
          <cell r="I2912">
            <v>8.3000000000000007</v>
          </cell>
        </row>
        <row r="2913">
          <cell r="A2913" t="str">
            <v>19-02912</v>
          </cell>
          <cell r="B2913" t="str">
            <v>ORKHON GROUP</v>
          </cell>
          <cell r="C2913" t="str">
            <v>D</v>
          </cell>
          <cell r="D2913" t="str">
            <v>N/A</v>
          </cell>
          <cell r="E2913" t="str">
            <v>A1503-42 ALTAMAR ARETES</v>
          </cell>
          <cell r="F2913" t="str">
            <v>PENDIENTE</v>
          </cell>
          <cell r="G2913" t="str">
            <v>A1503-42</v>
          </cell>
          <cell r="H2913" t="str">
            <v>ALTAMAR</v>
          </cell>
          <cell r="I2913">
            <v>0</v>
          </cell>
        </row>
        <row r="2914">
          <cell r="A2914" t="str">
            <v>19-02913</v>
          </cell>
          <cell r="B2914" t="str">
            <v>ORKHON GROUP</v>
          </cell>
          <cell r="C2914" t="str">
            <v>A</v>
          </cell>
          <cell r="D2914" t="str">
            <v>N/A</v>
          </cell>
          <cell r="E2914" t="str">
            <v>A1503-54 ALTAMAR ARETES</v>
          </cell>
          <cell r="F2914" t="str">
            <v>PENDIENTE</v>
          </cell>
          <cell r="G2914" t="str">
            <v>A1503-54</v>
          </cell>
          <cell r="H2914" t="str">
            <v>ALTAMAR</v>
          </cell>
          <cell r="I2914">
            <v>7</v>
          </cell>
        </row>
        <row r="2915">
          <cell r="A2915" t="str">
            <v>19-02914</v>
          </cell>
          <cell r="B2915" t="str">
            <v>ORKHON GROUP</v>
          </cell>
          <cell r="C2915" t="str">
            <v>A</v>
          </cell>
          <cell r="D2915" t="str">
            <v>N/A</v>
          </cell>
          <cell r="E2915" t="str">
            <v>A1503-29 ALTAMAR ARETES</v>
          </cell>
          <cell r="F2915" t="str">
            <v>PENDIENTE</v>
          </cell>
          <cell r="G2915" t="str">
            <v>A1503-29</v>
          </cell>
          <cell r="H2915" t="str">
            <v>ALTAMAR</v>
          </cell>
          <cell r="I2915">
            <v>6</v>
          </cell>
        </row>
        <row r="2916">
          <cell r="A2916" t="str">
            <v>19-02915</v>
          </cell>
          <cell r="B2916" t="str">
            <v>ORKHON GROUP</v>
          </cell>
          <cell r="C2916" t="str">
            <v>A</v>
          </cell>
          <cell r="D2916" t="str">
            <v>N/A</v>
          </cell>
          <cell r="E2916" t="str">
            <v>A1503-25 ALTAMAR ARETES ASSORTED COLORS</v>
          </cell>
          <cell r="F2916" t="str">
            <v>PENDIENTE</v>
          </cell>
          <cell r="G2916" t="str">
            <v>A1503-25</v>
          </cell>
          <cell r="H2916" t="str">
            <v>ALTAMAR</v>
          </cell>
          <cell r="I2916">
            <v>6.5</v>
          </cell>
        </row>
        <row r="2917">
          <cell r="A2917" t="str">
            <v>19-02916</v>
          </cell>
          <cell r="B2917" t="str">
            <v>ORKHON GROUP</v>
          </cell>
          <cell r="C2917" t="str">
            <v>A</v>
          </cell>
          <cell r="D2917" t="str">
            <v>N/A</v>
          </cell>
          <cell r="E2917" t="str">
            <v>A1503-46 ALTAMAR ARETES</v>
          </cell>
          <cell r="F2917" t="str">
            <v>PENDIENTE</v>
          </cell>
          <cell r="G2917" t="str">
            <v>A1503-46</v>
          </cell>
          <cell r="H2917" t="str">
            <v>ALTAMAR</v>
          </cell>
          <cell r="I2917">
            <v>8</v>
          </cell>
        </row>
        <row r="2918">
          <cell r="A2918" t="str">
            <v>19-02917</v>
          </cell>
          <cell r="B2918" t="str">
            <v>ORKHON GROUP</v>
          </cell>
          <cell r="C2918" t="str">
            <v>A</v>
          </cell>
          <cell r="D2918" t="str">
            <v>N/A</v>
          </cell>
          <cell r="E2918" t="str">
            <v>A1503-34 ALTAMAR ARETES</v>
          </cell>
          <cell r="F2918" t="str">
            <v>PENDIENTE</v>
          </cell>
          <cell r="G2918" t="str">
            <v>A1503-34</v>
          </cell>
          <cell r="H2918" t="str">
            <v>ALTAMAR</v>
          </cell>
          <cell r="I2918">
            <v>6</v>
          </cell>
        </row>
        <row r="2919">
          <cell r="A2919" t="str">
            <v>19-02918</v>
          </cell>
          <cell r="B2919" t="str">
            <v>ORKHON GROUP</v>
          </cell>
          <cell r="C2919" t="str">
            <v>A</v>
          </cell>
          <cell r="D2919" t="str">
            <v>N/A</v>
          </cell>
          <cell r="E2919" t="str">
            <v>A1503-50 ALTAMAR ARETES</v>
          </cell>
          <cell r="F2919" t="str">
            <v>PENDIENTE</v>
          </cell>
          <cell r="G2919" t="str">
            <v>A1503-50</v>
          </cell>
          <cell r="H2919" t="str">
            <v>ALTAMAR</v>
          </cell>
          <cell r="I2919">
            <v>8</v>
          </cell>
        </row>
        <row r="2920">
          <cell r="A2920" t="str">
            <v>19-02919</v>
          </cell>
          <cell r="B2920" t="str">
            <v>ORKHON GROUP</v>
          </cell>
          <cell r="C2920" t="str">
            <v>A</v>
          </cell>
          <cell r="D2920" t="str">
            <v>N/A</v>
          </cell>
          <cell r="E2920" t="str">
            <v>A1503-12 ALTAMAR PULSERA FASHION ASSORTED COLORS</v>
          </cell>
          <cell r="F2920" t="str">
            <v>PULSERA</v>
          </cell>
          <cell r="G2920" t="str">
            <v>A1503-12</v>
          </cell>
          <cell r="H2920" t="str">
            <v>ALTAMAR</v>
          </cell>
          <cell r="I2920">
            <v>7</v>
          </cell>
        </row>
        <row r="2921">
          <cell r="A2921" t="str">
            <v>19-02920</v>
          </cell>
          <cell r="B2921" t="str">
            <v>ORKHON GROUP</v>
          </cell>
          <cell r="C2921" t="str">
            <v>A</v>
          </cell>
          <cell r="D2921" t="str">
            <v>N/A</v>
          </cell>
          <cell r="E2921" t="str">
            <v>A1503-45 ALTAMAR ARETES</v>
          </cell>
          <cell r="F2921" t="str">
            <v>PENDIENTE</v>
          </cell>
          <cell r="G2921" t="str">
            <v>A1503-45</v>
          </cell>
          <cell r="H2921" t="str">
            <v>ALTAMAR</v>
          </cell>
          <cell r="I2921">
            <v>7</v>
          </cell>
        </row>
        <row r="2922">
          <cell r="A2922" t="str">
            <v>19-02921</v>
          </cell>
          <cell r="B2922" t="str">
            <v>ORKHON GROUP</v>
          </cell>
          <cell r="C2922" t="str">
            <v>A</v>
          </cell>
          <cell r="D2922" t="str">
            <v>N/A</v>
          </cell>
          <cell r="E2922" t="str">
            <v>A1503-36 ALTAMAR ARETES</v>
          </cell>
          <cell r="F2922" t="str">
            <v>PENDIENTE</v>
          </cell>
          <cell r="G2922" t="str">
            <v>A1503-36</v>
          </cell>
          <cell r="H2922" t="str">
            <v>ALTAMAR</v>
          </cell>
          <cell r="I2922">
            <v>8</v>
          </cell>
        </row>
        <row r="2923">
          <cell r="A2923" t="str">
            <v>19-02922</v>
          </cell>
          <cell r="B2923" t="str">
            <v>ORKHON GROUP</v>
          </cell>
          <cell r="C2923" t="str">
            <v>A</v>
          </cell>
          <cell r="D2923" t="str">
            <v>N/A</v>
          </cell>
          <cell r="E2923" t="str">
            <v>A1503-33 ALTAMAR ARETES</v>
          </cell>
          <cell r="F2923" t="str">
            <v>PENDIENTE</v>
          </cell>
          <cell r="G2923" t="str">
            <v>A1503-33</v>
          </cell>
          <cell r="H2923" t="str">
            <v>ALTAMAR</v>
          </cell>
          <cell r="I2923">
            <v>6</v>
          </cell>
        </row>
        <row r="2924">
          <cell r="A2924" t="str">
            <v>19-02923</v>
          </cell>
          <cell r="B2924" t="str">
            <v>ORKHON GROUP</v>
          </cell>
          <cell r="C2924" t="str">
            <v>A</v>
          </cell>
          <cell r="D2924" t="str">
            <v>N/A</v>
          </cell>
          <cell r="E2924" t="str">
            <v>A1503-26 ALTAMAR ARETES</v>
          </cell>
          <cell r="F2924" t="str">
            <v>PENDIENTE</v>
          </cell>
          <cell r="G2924" t="str">
            <v>A1503-26</v>
          </cell>
          <cell r="H2924" t="str">
            <v>ALTAMAR</v>
          </cell>
          <cell r="I2924">
            <v>6.7</v>
          </cell>
        </row>
        <row r="2925">
          <cell r="A2925" t="str">
            <v>19-02924</v>
          </cell>
          <cell r="B2925" t="str">
            <v>ORKHON GROUP</v>
          </cell>
          <cell r="C2925" t="str">
            <v>A</v>
          </cell>
          <cell r="D2925" t="str">
            <v>N/A</v>
          </cell>
          <cell r="E2925" t="str">
            <v>S1503-01 ALTAMAR SOMBREROS</v>
          </cell>
          <cell r="F2925" t="str">
            <v>SOMBRERO</v>
          </cell>
          <cell r="G2925" t="str">
            <v>S1503-01</v>
          </cell>
          <cell r="H2925" t="str">
            <v>ALTAMAR</v>
          </cell>
          <cell r="I2925">
            <v>5.923</v>
          </cell>
        </row>
        <row r="2926">
          <cell r="A2926" t="str">
            <v>19-02925</v>
          </cell>
          <cell r="B2926" t="str">
            <v>ORKHON GROUP</v>
          </cell>
          <cell r="C2926" t="str">
            <v>A</v>
          </cell>
          <cell r="D2926" t="str">
            <v>N/A</v>
          </cell>
          <cell r="E2926" t="str">
            <v>S1503-02 ALTAMAR SOMBREROS</v>
          </cell>
          <cell r="F2926" t="str">
            <v>SOMBRERO</v>
          </cell>
          <cell r="G2926" t="str">
            <v>S1503-02</v>
          </cell>
          <cell r="H2926" t="str">
            <v>ALTAMAR</v>
          </cell>
          <cell r="I2926">
            <v>5.923</v>
          </cell>
        </row>
        <row r="2927">
          <cell r="A2927" t="str">
            <v>19-02926</v>
          </cell>
          <cell r="B2927" t="str">
            <v>ORKHON GROUP</v>
          </cell>
          <cell r="C2927" t="str">
            <v>A</v>
          </cell>
          <cell r="D2927" t="str">
            <v>N/A</v>
          </cell>
          <cell r="E2927" t="str">
            <v>S1503-05 ALTAMAR SOMBREROS</v>
          </cell>
          <cell r="F2927" t="str">
            <v>SOMBRERO</v>
          </cell>
          <cell r="G2927" t="str">
            <v>S1503-05</v>
          </cell>
          <cell r="H2927" t="str">
            <v>ALTAMAR</v>
          </cell>
          <cell r="I2927">
            <v>12.831</v>
          </cell>
        </row>
        <row r="2928">
          <cell r="A2928" t="str">
            <v>19-02927</v>
          </cell>
          <cell r="B2928" t="str">
            <v>ORKHON GROUP</v>
          </cell>
          <cell r="C2928" t="str">
            <v>A</v>
          </cell>
          <cell r="D2928" t="str">
            <v>N/A</v>
          </cell>
          <cell r="E2928" t="str">
            <v>S1503-07 ALTAMAR SOMBREROS</v>
          </cell>
          <cell r="F2928" t="str">
            <v>SOMBRERO</v>
          </cell>
          <cell r="G2928" t="str">
            <v>S1503-07</v>
          </cell>
          <cell r="H2928" t="str">
            <v>ALTAMAR</v>
          </cell>
          <cell r="I2928">
            <v>9</v>
          </cell>
        </row>
        <row r="2929">
          <cell r="A2929" t="str">
            <v>19-02928</v>
          </cell>
          <cell r="B2929" t="str">
            <v>ORKHON GROUP</v>
          </cell>
          <cell r="C2929" t="str">
            <v>A</v>
          </cell>
          <cell r="D2929" t="str">
            <v>N/A</v>
          </cell>
          <cell r="E2929" t="str">
            <v>S1503-18 ALTAMAR SOMBREROS</v>
          </cell>
          <cell r="F2929" t="str">
            <v>SOMBRERO</v>
          </cell>
          <cell r="G2929" t="str">
            <v>S1503-18</v>
          </cell>
          <cell r="H2929" t="str">
            <v>ALTAMAR</v>
          </cell>
          <cell r="I2929">
            <v>6.5</v>
          </cell>
        </row>
        <row r="2930">
          <cell r="A2930" t="str">
            <v>19-02929</v>
          </cell>
          <cell r="B2930" t="str">
            <v>ORKHON GROUP</v>
          </cell>
          <cell r="C2930" t="str">
            <v>A</v>
          </cell>
          <cell r="D2930" t="str">
            <v>N/A</v>
          </cell>
          <cell r="E2930" t="str">
            <v>S1503-17 ALTAMAR SOMBREROS</v>
          </cell>
          <cell r="F2930" t="str">
            <v>SOMBRERO</v>
          </cell>
          <cell r="G2930" t="str">
            <v>S1503-17</v>
          </cell>
          <cell r="H2930" t="str">
            <v>ALTAMAR</v>
          </cell>
          <cell r="I2930">
            <v>8.8829999999999991</v>
          </cell>
        </row>
        <row r="2931">
          <cell r="A2931" t="str">
            <v>19-02930</v>
          </cell>
          <cell r="B2931" t="str">
            <v>ORKHON GROUP</v>
          </cell>
          <cell r="C2931" t="str">
            <v>A</v>
          </cell>
          <cell r="D2931" t="str">
            <v>N/A</v>
          </cell>
          <cell r="E2931" t="str">
            <v>A1503-195 ALTAMAR ARETES</v>
          </cell>
          <cell r="F2931" t="str">
            <v>PENDIENTE</v>
          </cell>
          <cell r="G2931" t="str">
            <v>A1503-195</v>
          </cell>
          <cell r="H2931" t="str">
            <v>ALTAMAR</v>
          </cell>
          <cell r="I2931">
            <v>6.4169999999999998</v>
          </cell>
        </row>
        <row r="2932">
          <cell r="A2932" t="str">
            <v>19-02931</v>
          </cell>
          <cell r="B2932" t="str">
            <v>ORKHON GROUP</v>
          </cell>
          <cell r="C2932" t="str">
            <v>A</v>
          </cell>
          <cell r="D2932" t="str">
            <v>N/A</v>
          </cell>
          <cell r="E2932" t="str">
            <v>A1503-192 ALTAMAR ARETES</v>
          </cell>
          <cell r="F2932" t="str">
            <v>PENDIENTE</v>
          </cell>
          <cell r="G2932" t="str">
            <v>A1503-192</v>
          </cell>
          <cell r="H2932" t="str">
            <v>ALTAMAR</v>
          </cell>
          <cell r="I2932">
            <v>5.923</v>
          </cell>
        </row>
        <row r="2933">
          <cell r="A2933" t="str">
            <v>19-02932</v>
          </cell>
          <cell r="B2933" t="str">
            <v>ORKHON GROUP</v>
          </cell>
          <cell r="C2933" t="str">
            <v>A</v>
          </cell>
          <cell r="D2933" t="str">
            <v>N/A</v>
          </cell>
          <cell r="E2933" t="str">
            <v>A1503-186 ALTAMAR ARETES</v>
          </cell>
          <cell r="F2933" t="str">
            <v>PENDIENTE</v>
          </cell>
          <cell r="G2933" t="str">
            <v>A1503-186</v>
          </cell>
          <cell r="H2933" t="str">
            <v>ALTAMAR</v>
          </cell>
          <cell r="I2933">
            <v>5.923</v>
          </cell>
        </row>
        <row r="2934">
          <cell r="A2934" t="str">
            <v>19-02933</v>
          </cell>
          <cell r="B2934" t="str">
            <v>ORKHON GROUP</v>
          </cell>
          <cell r="C2934" t="str">
            <v>A</v>
          </cell>
          <cell r="D2934" t="str">
            <v>N/A</v>
          </cell>
          <cell r="E2934" t="str">
            <v>A1503-171 ALTAMAR ARETES</v>
          </cell>
          <cell r="F2934" t="str">
            <v>PENDIENTE</v>
          </cell>
          <cell r="G2934" t="str">
            <v>A1503-171</v>
          </cell>
          <cell r="H2934" t="str">
            <v>ALTAMAR</v>
          </cell>
          <cell r="I2934">
            <v>6.5</v>
          </cell>
        </row>
        <row r="2935">
          <cell r="A2935" t="str">
            <v>19-02934</v>
          </cell>
          <cell r="B2935" t="str">
            <v>ORKHON GROUP</v>
          </cell>
          <cell r="C2935" t="str">
            <v>A</v>
          </cell>
          <cell r="D2935" t="str">
            <v>N/A</v>
          </cell>
          <cell r="E2935" t="str">
            <v>A1503-193 ALTAMAR ARETES</v>
          </cell>
          <cell r="F2935" t="str">
            <v>PENDIENTE</v>
          </cell>
          <cell r="G2935" t="str">
            <v>A1503-193</v>
          </cell>
          <cell r="H2935" t="str">
            <v>ALTAMAR</v>
          </cell>
          <cell r="I2935">
            <v>6</v>
          </cell>
        </row>
        <row r="2936">
          <cell r="A2936" t="str">
            <v>19-02935</v>
          </cell>
          <cell r="B2936" t="str">
            <v>ORKHON GROUP</v>
          </cell>
          <cell r="C2936" t="str">
            <v>A</v>
          </cell>
          <cell r="D2936" t="str">
            <v>N/A</v>
          </cell>
          <cell r="E2936" t="str">
            <v>A1503-201 ALTAMAR ARETES</v>
          </cell>
          <cell r="F2936" t="str">
            <v>PENDIENTE</v>
          </cell>
          <cell r="G2936" t="str">
            <v>A1503-201</v>
          </cell>
          <cell r="H2936" t="str">
            <v>ALTAMAR</v>
          </cell>
          <cell r="I2936">
            <v>6</v>
          </cell>
        </row>
        <row r="2937">
          <cell r="A2937" t="str">
            <v>19-02936</v>
          </cell>
          <cell r="B2937" t="str">
            <v>ORKHON GROUP</v>
          </cell>
          <cell r="C2937" t="str">
            <v>A</v>
          </cell>
          <cell r="D2937" t="str">
            <v>N/A</v>
          </cell>
          <cell r="E2937" t="str">
            <v>A1503-183 ALTAMAR ARETES</v>
          </cell>
          <cell r="F2937" t="str">
            <v>PENDIENTE</v>
          </cell>
          <cell r="G2937" t="str">
            <v>A1503-183</v>
          </cell>
          <cell r="H2937" t="str">
            <v>ALTAMAR</v>
          </cell>
          <cell r="I2937">
            <v>6.4169999999999998</v>
          </cell>
        </row>
        <row r="2938">
          <cell r="A2938" t="str">
            <v>19-02937</v>
          </cell>
          <cell r="B2938" t="str">
            <v>ORKHON GROUP</v>
          </cell>
          <cell r="C2938" t="str">
            <v>A</v>
          </cell>
          <cell r="D2938" t="str">
            <v>N/A</v>
          </cell>
          <cell r="E2938" t="str">
            <v>A1503-204 ALTAMAR ARETES</v>
          </cell>
          <cell r="F2938" t="str">
            <v>PENDIENTE</v>
          </cell>
          <cell r="G2938" t="str">
            <v>A1503-204</v>
          </cell>
          <cell r="H2938" t="str">
            <v>ALTAMAR</v>
          </cell>
          <cell r="I2938">
            <v>6</v>
          </cell>
        </row>
        <row r="2939">
          <cell r="A2939" t="str">
            <v>19-02938</v>
          </cell>
          <cell r="B2939" t="str">
            <v>ORKHON GROUP</v>
          </cell>
          <cell r="C2939" t="str">
            <v>A</v>
          </cell>
          <cell r="D2939" t="str">
            <v>N/A</v>
          </cell>
          <cell r="E2939" t="str">
            <v>A1503-202 ALTAMAR ARETES</v>
          </cell>
          <cell r="F2939" t="str">
            <v>PENDIENTE</v>
          </cell>
          <cell r="G2939" t="str">
            <v>A1503-202</v>
          </cell>
          <cell r="H2939" t="str">
            <v>ALTAMAR</v>
          </cell>
          <cell r="I2939">
            <v>6.91</v>
          </cell>
        </row>
        <row r="2940">
          <cell r="A2940" t="str">
            <v>19-02939</v>
          </cell>
          <cell r="B2940" t="str">
            <v>ORKHON GROUP</v>
          </cell>
          <cell r="C2940" t="str">
            <v>A</v>
          </cell>
          <cell r="D2940" t="str">
            <v>N/A</v>
          </cell>
          <cell r="E2940" t="str">
            <v>A1503-179 ALTAMAR ARETES</v>
          </cell>
          <cell r="F2940" t="str">
            <v>PENDIENTE</v>
          </cell>
          <cell r="G2940" t="str">
            <v>A1503-179</v>
          </cell>
          <cell r="H2940" t="str">
            <v>ALTAMAR</v>
          </cell>
          <cell r="I2940">
            <v>4.9359999999999999</v>
          </cell>
        </row>
        <row r="2941">
          <cell r="A2941" t="str">
            <v>19-02940</v>
          </cell>
          <cell r="B2941" t="str">
            <v>ORKHON GROUP</v>
          </cell>
          <cell r="C2941" t="str">
            <v>A</v>
          </cell>
          <cell r="D2941" t="str">
            <v>N/A</v>
          </cell>
          <cell r="E2941" t="str">
            <v>A1503-185 ALTAMAR ARETES</v>
          </cell>
          <cell r="F2941" t="str">
            <v>PENDIENTE</v>
          </cell>
          <cell r="G2941" t="str">
            <v>A1503-185</v>
          </cell>
          <cell r="H2941" t="str">
            <v>ALTAMAR</v>
          </cell>
          <cell r="I2941">
            <v>5.923</v>
          </cell>
        </row>
        <row r="2942">
          <cell r="A2942" t="str">
            <v>19-02941</v>
          </cell>
          <cell r="B2942" t="str">
            <v>ORKHON GROUP</v>
          </cell>
          <cell r="C2942" t="str">
            <v>A</v>
          </cell>
          <cell r="D2942" t="str">
            <v>N/A</v>
          </cell>
          <cell r="E2942" t="str">
            <v>A1503-210 ALTAMAR PULSERAS</v>
          </cell>
          <cell r="F2942" t="str">
            <v>PULSERA</v>
          </cell>
          <cell r="G2942" t="str">
            <v>A1503-210</v>
          </cell>
          <cell r="H2942" t="str">
            <v>ALTAMAR</v>
          </cell>
          <cell r="I2942">
            <v>7.6050000000000004</v>
          </cell>
        </row>
        <row r="2943">
          <cell r="A2943" t="str">
            <v>19-02942</v>
          </cell>
          <cell r="B2943" t="str">
            <v>ORKHON GROUP</v>
          </cell>
          <cell r="C2943" t="str">
            <v>A</v>
          </cell>
          <cell r="D2943" t="str">
            <v>N/A</v>
          </cell>
          <cell r="E2943" t="str">
            <v>A1503-205 ALTAMAR PULSERAS CLOE ASSORTED COLORS</v>
          </cell>
          <cell r="F2943" t="str">
            <v>PULSERA</v>
          </cell>
          <cell r="G2943" t="str">
            <v>A1503-205</v>
          </cell>
          <cell r="H2943" t="str">
            <v>ALTAMAR</v>
          </cell>
          <cell r="I2943">
            <v>4.9349999999999996</v>
          </cell>
        </row>
        <row r="2944">
          <cell r="A2944" t="str">
            <v>19-02943</v>
          </cell>
          <cell r="B2944" t="str">
            <v>ORKHON GROUP</v>
          </cell>
          <cell r="C2944" t="str">
            <v>A</v>
          </cell>
          <cell r="D2944" t="str">
            <v>N/A</v>
          </cell>
          <cell r="E2944" t="str">
            <v>A1503-232 ALTAMAR PULSERAS CLOE</v>
          </cell>
          <cell r="F2944" t="str">
            <v>PULSERA</v>
          </cell>
          <cell r="G2944" t="str">
            <v>A1503-232</v>
          </cell>
          <cell r="H2944" t="str">
            <v>ALTAMAR</v>
          </cell>
          <cell r="I2944">
            <v>5</v>
          </cell>
        </row>
        <row r="2945">
          <cell r="A2945" t="str">
            <v>19-02944</v>
          </cell>
          <cell r="B2945" t="str">
            <v>ORKHON GROUP</v>
          </cell>
          <cell r="C2945" t="str">
            <v>A</v>
          </cell>
          <cell r="D2945" t="str">
            <v>N/A</v>
          </cell>
          <cell r="E2945" t="str">
            <v>A1503-225 ALTAMAR PULSERAS CLOE ASSORTED COLORS</v>
          </cell>
          <cell r="F2945" t="str">
            <v>PULSERA</v>
          </cell>
          <cell r="G2945" t="str">
            <v>A1503-225</v>
          </cell>
          <cell r="H2945" t="str">
            <v>ALTAMAR</v>
          </cell>
          <cell r="I2945">
            <v>5</v>
          </cell>
        </row>
        <row r="2946">
          <cell r="A2946" t="str">
            <v>19-02945</v>
          </cell>
          <cell r="B2946" t="str">
            <v>ORKHON GROUP</v>
          </cell>
          <cell r="C2946" t="str">
            <v>A</v>
          </cell>
          <cell r="D2946" t="str">
            <v>N/A</v>
          </cell>
          <cell r="E2946" t="str">
            <v>A1503-220 ALTAMAR PULSERAS CLOE</v>
          </cell>
          <cell r="F2946" t="str">
            <v>PULSERA</v>
          </cell>
          <cell r="G2946" t="str">
            <v>A1503-220</v>
          </cell>
          <cell r="H2946" t="str">
            <v>ALTAMAR</v>
          </cell>
          <cell r="I2946">
            <v>4.9359999999999999</v>
          </cell>
        </row>
        <row r="2947">
          <cell r="A2947" t="str">
            <v>19-02946</v>
          </cell>
          <cell r="B2947" t="str">
            <v>ORKHON GROUP</v>
          </cell>
          <cell r="C2947" t="str">
            <v>A</v>
          </cell>
          <cell r="D2947" t="str">
            <v>N/A</v>
          </cell>
          <cell r="E2947" t="str">
            <v>A1503-214 ALTAMAR PULSERAS CLOE</v>
          </cell>
          <cell r="F2947" t="str">
            <v>PULSERA</v>
          </cell>
          <cell r="G2947" t="str">
            <v>A1503-214</v>
          </cell>
          <cell r="H2947" t="str">
            <v>ALTAMAR</v>
          </cell>
          <cell r="I2947">
            <v>8.8829999999999991</v>
          </cell>
        </row>
        <row r="2948">
          <cell r="A2948" t="str">
            <v>19-02947</v>
          </cell>
          <cell r="B2948" t="str">
            <v>ORKHON GROUP</v>
          </cell>
          <cell r="C2948" t="str">
            <v>A</v>
          </cell>
          <cell r="D2948" t="str">
            <v>N/A</v>
          </cell>
          <cell r="E2948" t="str">
            <v>A1503-228 ALTAMAR PULSERAS CLOE</v>
          </cell>
          <cell r="F2948" t="str">
            <v>PULSERA</v>
          </cell>
          <cell r="G2948" t="str">
            <v>A1503-228</v>
          </cell>
          <cell r="H2948" t="str">
            <v>ALTAMAR</v>
          </cell>
          <cell r="I2948">
            <v>6.9089999999999998</v>
          </cell>
        </row>
        <row r="2949">
          <cell r="A2949" t="str">
            <v>19-02948</v>
          </cell>
          <cell r="B2949" t="str">
            <v>ORKHON GROUP</v>
          </cell>
          <cell r="C2949" t="str">
            <v>A</v>
          </cell>
          <cell r="D2949" t="str">
            <v>N/A</v>
          </cell>
          <cell r="E2949" t="str">
            <v>C1503-13 ALTAMAR BILLETERA ASSORTED COLORS</v>
          </cell>
          <cell r="F2949" t="str">
            <v>BILLETERA</v>
          </cell>
          <cell r="G2949" t="str">
            <v>C1503-13</v>
          </cell>
          <cell r="H2949" t="str">
            <v>ALTAMAR</v>
          </cell>
          <cell r="I2949">
            <v>5</v>
          </cell>
        </row>
        <row r="2950">
          <cell r="A2950" t="str">
            <v>19-02949</v>
          </cell>
          <cell r="B2950" t="str">
            <v>ORKHON GROUP</v>
          </cell>
          <cell r="C2950" t="str">
            <v>A</v>
          </cell>
          <cell r="D2950" t="str">
            <v>N/A</v>
          </cell>
          <cell r="E2950" t="str">
            <v>C1503-18 ALTAMAR BILLETERA ASSORTED COLORS</v>
          </cell>
          <cell r="F2950" t="str">
            <v>BILLETERA</v>
          </cell>
          <cell r="G2950" t="str">
            <v>C1503-18</v>
          </cell>
          <cell r="H2950" t="str">
            <v>ALTAMAR</v>
          </cell>
          <cell r="I2950">
            <v>9.3780000000000001</v>
          </cell>
        </row>
        <row r="2951">
          <cell r="A2951" t="str">
            <v>19-02950</v>
          </cell>
          <cell r="B2951" t="str">
            <v>ORKHON GROUP</v>
          </cell>
          <cell r="C2951" t="str">
            <v>A</v>
          </cell>
          <cell r="D2951" t="str">
            <v>N/A</v>
          </cell>
          <cell r="E2951" t="str">
            <v>C1503-16 ALTAMAR BILLETERA ASSORTED COLORS</v>
          </cell>
          <cell r="F2951" t="str">
            <v>BILLETERA</v>
          </cell>
          <cell r="G2951" t="str">
            <v>C1503-16</v>
          </cell>
          <cell r="H2951" t="str">
            <v>ALTAMAR</v>
          </cell>
          <cell r="I2951">
            <v>9.8719999999999999</v>
          </cell>
        </row>
        <row r="2952">
          <cell r="A2952" t="str">
            <v>19-02951</v>
          </cell>
          <cell r="B2952" t="str">
            <v>ORKHON GROUP</v>
          </cell>
          <cell r="C2952" t="str">
            <v>A</v>
          </cell>
          <cell r="D2952" t="str">
            <v>N/A</v>
          </cell>
          <cell r="E2952" t="str">
            <v>C1503-36 ALTAMAR MONEDERO ASSORTED COLORS</v>
          </cell>
          <cell r="F2952" t="str">
            <v>BILLETERA</v>
          </cell>
          <cell r="G2952" t="str">
            <v>C1503-36</v>
          </cell>
          <cell r="H2952" t="str">
            <v>ALTAMAR</v>
          </cell>
          <cell r="I2952">
            <v>9.8719999999999999</v>
          </cell>
        </row>
        <row r="2953">
          <cell r="A2953" t="str">
            <v>19-02952</v>
          </cell>
          <cell r="B2953" t="str">
            <v>ORKHON GROUP</v>
          </cell>
          <cell r="C2953" t="str">
            <v>A</v>
          </cell>
          <cell r="D2953" t="str">
            <v>N/A</v>
          </cell>
          <cell r="E2953" t="str">
            <v>C1503-29 ALTAMAR COSMETIQUERA ASSORTED COLORS</v>
          </cell>
          <cell r="F2953" t="str">
            <v>COSMETIQUERA</v>
          </cell>
          <cell r="G2953" t="str">
            <v>C1503-29</v>
          </cell>
          <cell r="H2953" t="str">
            <v>ALTAMAR</v>
          </cell>
          <cell r="I2953">
            <v>11.847</v>
          </cell>
        </row>
        <row r="2954">
          <cell r="A2954" t="str">
            <v>19-02953</v>
          </cell>
          <cell r="B2954" t="str">
            <v>ORKHON GROUP</v>
          </cell>
          <cell r="C2954" t="str">
            <v>A</v>
          </cell>
          <cell r="D2954" t="str">
            <v>N/A</v>
          </cell>
          <cell r="E2954" t="str">
            <v>C1503-32 ALTAMAR COSMETIQUERA ASSORTED COLORS</v>
          </cell>
          <cell r="F2954" t="str">
            <v>COSMETIQUERA</v>
          </cell>
          <cell r="G2954" t="str">
            <v>C1503-32</v>
          </cell>
          <cell r="H2954" t="str">
            <v>ALTAMAR</v>
          </cell>
          <cell r="I2954">
            <v>11.154999999999999</v>
          </cell>
        </row>
        <row r="2955">
          <cell r="A2955" t="str">
            <v>19-02954</v>
          </cell>
          <cell r="B2955" t="str">
            <v>ORKHON GROUP</v>
          </cell>
          <cell r="C2955" t="str">
            <v>A</v>
          </cell>
          <cell r="D2955" t="str">
            <v>N/A</v>
          </cell>
          <cell r="E2955" t="str">
            <v>C1503-37 ALTAMAR MONEDERO ASSORTED COLORS</v>
          </cell>
          <cell r="F2955" t="str">
            <v>BILLETERA</v>
          </cell>
          <cell r="G2955" t="str">
            <v>C1503-37</v>
          </cell>
          <cell r="H2955" t="str">
            <v>ALTAMAR</v>
          </cell>
          <cell r="I2955">
            <v>13</v>
          </cell>
        </row>
        <row r="2956">
          <cell r="A2956" t="str">
            <v>19-02955</v>
          </cell>
          <cell r="B2956" t="str">
            <v>ORKHON GROUP</v>
          </cell>
          <cell r="C2956" t="str">
            <v>A</v>
          </cell>
          <cell r="D2956" t="str">
            <v>N/A</v>
          </cell>
          <cell r="E2956" t="str">
            <v>C1503-12 ALTAMAR CARTERAA ASSORTED COLORS</v>
          </cell>
          <cell r="F2956" t="str">
            <v>CARTERA</v>
          </cell>
          <cell r="G2956" t="str">
            <v>C1503-12</v>
          </cell>
          <cell r="H2956" t="str">
            <v>ALTAMAR</v>
          </cell>
          <cell r="I2956">
            <v>30</v>
          </cell>
        </row>
        <row r="2957">
          <cell r="A2957" t="str">
            <v>19-02956</v>
          </cell>
          <cell r="B2957" t="str">
            <v>ORKHON GROUP</v>
          </cell>
          <cell r="C2957" t="str">
            <v>D</v>
          </cell>
          <cell r="D2957" t="str">
            <v>N/A</v>
          </cell>
          <cell r="E2957" t="str">
            <v>C1503-13 ALTAMAR BILLETERA ASSORTED COLORS</v>
          </cell>
          <cell r="F2957" t="str">
            <v>BILLETERA</v>
          </cell>
          <cell r="G2957" t="str">
            <v>C1503-13</v>
          </cell>
          <cell r="H2957" t="str">
            <v>ALTAMAR</v>
          </cell>
          <cell r="I2957">
            <v>5</v>
          </cell>
        </row>
        <row r="2958">
          <cell r="A2958" t="str">
            <v>19-02957</v>
          </cell>
          <cell r="B2958" t="str">
            <v>ORKHON GROUP</v>
          </cell>
          <cell r="C2958" t="str">
            <v>D</v>
          </cell>
          <cell r="D2958" t="str">
            <v>N/A</v>
          </cell>
          <cell r="E2958" t="str">
            <v>C1503-16 ALTAMAR BILLETERA ASSORTED COLORS</v>
          </cell>
          <cell r="F2958" t="str">
            <v>BILLETERA</v>
          </cell>
          <cell r="G2958" t="str">
            <v>C1503-16</v>
          </cell>
          <cell r="H2958" t="str">
            <v>ALTAMAR</v>
          </cell>
          <cell r="I2958">
            <v>0</v>
          </cell>
        </row>
        <row r="2959">
          <cell r="A2959" t="str">
            <v>19-02958</v>
          </cell>
          <cell r="B2959" t="str">
            <v>ORKHON GROUP</v>
          </cell>
          <cell r="C2959" t="str">
            <v>D</v>
          </cell>
          <cell r="D2959" t="str">
            <v>N/A</v>
          </cell>
          <cell r="E2959" t="str">
            <v>C1503-18 ALTAMAR BILLETERA ASSORTED COLORS</v>
          </cell>
          <cell r="F2959" t="str">
            <v>BILLETERA</v>
          </cell>
          <cell r="G2959" t="str">
            <v>C1503-18</v>
          </cell>
          <cell r="H2959" t="str">
            <v>ALTAMAR</v>
          </cell>
          <cell r="I2959">
            <v>0</v>
          </cell>
        </row>
        <row r="2960">
          <cell r="A2960" t="str">
            <v>19-02959</v>
          </cell>
          <cell r="B2960" t="str">
            <v>ORKHON GROUP</v>
          </cell>
          <cell r="C2960" t="str">
            <v>D</v>
          </cell>
          <cell r="D2960" t="str">
            <v>N/A</v>
          </cell>
          <cell r="E2960" t="str">
            <v>C1503-36 ALTAMAR MONEDERO ASSORTED COLORS</v>
          </cell>
          <cell r="F2960" t="str">
            <v>BILLETERA</v>
          </cell>
          <cell r="G2960" t="str">
            <v>C1503-36</v>
          </cell>
          <cell r="H2960" t="str">
            <v>ALTAMAR</v>
          </cell>
          <cell r="I2960">
            <v>0</v>
          </cell>
        </row>
        <row r="2961">
          <cell r="A2961" t="str">
            <v>19-02960</v>
          </cell>
          <cell r="B2961" t="str">
            <v>ORKHON GROUP</v>
          </cell>
          <cell r="C2961" t="str">
            <v>D</v>
          </cell>
          <cell r="D2961" t="str">
            <v>N/A</v>
          </cell>
          <cell r="E2961" t="str">
            <v>C1503-29 ALTAMAR COSMETIQUERA ASSORTED COLORS</v>
          </cell>
          <cell r="F2961" t="str">
            <v>COSMETIQUERA</v>
          </cell>
          <cell r="G2961" t="str">
            <v>C1503-29</v>
          </cell>
          <cell r="H2961" t="str">
            <v>ALTAMAR</v>
          </cell>
          <cell r="I2961">
            <v>0</v>
          </cell>
        </row>
        <row r="2962">
          <cell r="A2962" t="str">
            <v>19-02961</v>
          </cell>
          <cell r="B2962" t="str">
            <v>ORKHON GROUP</v>
          </cell>
          <cell r="C2962" t="str">
            <v>D</v>
          </cell>
          <cell r="D2962" t="str">
            <v>N/A</v>
          </cell>
          <cell r="E2962" t="str">
            <v>C1503-32 ALTAMAR COSMETIQUERA ASSORTED COLORS</v>
          </cell>
          <cell r="F2962" t="str">
            <v>COSMETIQUERA</v>
          </cell>
          <cell r="G2962" t="str">
            <v>C1503-32</v>
          </cell>
          <cell r="H2962" t="str">
            <v>ALTAMAR</v>
          </cell>
          <cell r="I2962">
            <v>0</v>
          </cell>
        </row>
        <row r="2963">
          <cell r="A2963" t="str">
            <v>19-02962</v>
          </cell>
          <cell r="B2963" t="str">
            <v>ORKHON GROUP</v>
          </cell>
          <cell r="C2963" t="str">
            <v>D</v>
          </cell>
          <cell r="D2963" t="str">
            <v>N/A</v>
          </cell>
          <cell r="E2963" t="str">
            <v>C1503-37 ALTAMAR MONEDERO ASSORTED COLORS</v>
          </cell>
          <cell r="F2963" t="str">
            <v>BILLETERA</v>
          </cell>
          <cell r="G2963" t="str">
            <v>C1503-37</v>
          </cell>
          <cell r="H2963" t="str">
            <v>ALTAMAR</v>
          </cell>
          <cell r="I2963">
            <v>0</v>
          </cell>
        </row>
        <row r="2964">
          <cell r="A2964" t="str">
            <v>19-02963</v>
          </cell>
          <cell r="B2964" t="str">
            <v>ORKHON GROUP</v>
          </cell>
          <cell r="C2964" t="str">
            <v>D</v>
          </cell>
          <cell r="D2964" t="str">
            <v>N/A</v>
          </cell>
          <cell r="E2964" t="str">
            <v>C1503-12 ALTAMAR CARTERA ASSORTED COLORS</v>
          </cell>
          <cell r="F2964" t="str">
            <v>CARTERA</v>
          </cell>
          <cell r="G2964" t="str">
            <v>C1503-12</v>
          </cell>
          <cell r="H2964" t="str">
            <v>ALTAMAR</v>
          </cell>
          <cell r="I2964">
            <v>30</v>
          </cell>
        </row>
        <row r="2965">
          <cell r="A2965" t="str">
            <v>19-02964</v>
          </cell>
          <cell r="B2965" t="str">
            <v>ORKHON GROUP</v>
          </cell>
          <cell r="C2965" t="str">
            <v>A</v>
          </cell>
          <cell r="D2965" t="str">
            <v>N/A</v>
          </cell>
          <cell r="E2965" t="str">
            <v>C1503-25 ALTAMAR CARTERA GRANDE ASSORTED COLORS</v>
          </cell>
          <cell r="F2965" t="str">
            <v>CARTERA</v>
          </cell>
          <cell r="G2965" t="str">
            <v>C1503-25</v>
          </cell>
          <cell r="H2965" t="str">
            <v>ALTAMAR</v>
          </cell>
          <cell r="I2965">
            <v>31</v>
          </cell>
        </row>
        <row r="2966">
          <cell r="A2966" t="str">
            <v>19-02965</v>
          </cell>
          <cell r="B2966" t="str">
            <v>ORKHON GROUP</v>
          </cell>
          <cell r="C2966" t="str">
            <v>A</v>
          </cell>
          <cell r="D2966" t="str">
            <v>N/A</v>
          </cell>
          <cell r="E2966" t="str">
            <v>C1503-23 ALTAMAR CARTERA GRANDE ASSORTED COLORS</v>
          </cell>
          <cell r="F2966" t="str">
            <v>CARTERA</v>
          </cell>
          <cell r="G2966" t="str">
            <v>C1503-23</v>
          </cell>
          <cell r="H2966" t="str">
            <v>ALTAMAR</v>
          </cell>
          <cell r="I2966">
            <v>28</v>
          </cell>
        </row>
        <row r="2967">
          <cell r="A2967" t="str">
            <v>19-02966</v>
          </cell>
          <cell r="B2967" t="str">
            <v>ORKHON GROUP</v>
          </cell>
          <cell r="C2967" t="str">
            <v>A</v>
          </cell>
          <cell r="D2967" t="str">
            <v>N/A</v>
          </cell>
          <cell r="E2967" t="str">
            <v>C1503-10 ALTAMAR CARTERA ASSORTED COLORS</v>
          </cell>
          <cell r="F2967" t="str">
            <v>CARTERA</v>
          </cell>
          <cell r="G2967" t="str">
            <v>C1503-10</v>
          </cell>
          <cell r="H2967" t="str">
            <v>ALTAMAR</v>
          </cell>
          <cell r="I2967">
            <v>32</v>
          </cell>
        </row>
        <row r="2968">
          <cell r="A2968" t="str">
            <v>19-02967</v>
          </cell>
          <cell r="B2968" t="str">
            <v>ORKHON GROUP</v>
          </cell>
          <cell r="C2968" t="str">
            <v>A</v>
          </cell>
          <cell r="D2968" t="str">
            <v>N/A</v>
          </cell>
          <cell r="E2968" t="str">
            <v>C1503-22 ALTAMAR CARTERA GRANDE ASSORTED COLORS</v>
          </cell>
          <cell r="F2968" t="str">
            <v>CARTERA</v>
          </cell>
          <cell r="G2968" t="str">
            <v>C1503-22</v>
          </cell>
          <cell r="H2968" t="str">
            <v>ALTAMAR</v>
          </cell>
          <cell r="I2968">
            <v>32</v>
          </cell>
        </row>
        <row r="2969">
          <cell r="A2969" t="str">
            <v>19-02968</v>
          </cell>
          <cell r="B2969" t="str">
            <v>ORKHON GROUP</v>
          </cell>
          <cell r="C2969" t="str">
            <v>A</v>
          </cell>
          <cell r="D2969" t="str">
            <v>N/A</v>
          </cell>
          <cell r="E2969" t="str">
            <v>B1503-15 ALTAMAR BUFANDAS ASSORTED COLORS</v>
          </cell>
          <cell r="F2969" t="str">
            <v>BUFANDA</v>
          </cell>
          <cell r="G2969" t="str">
            <v>B1503-15</v>
          </cell>
          <cell r="H2969" t="str">
            <v>ALTAMAR</v>
          </cell>
          <cell r="I2969">
            <v>6</v>
          </cell>
        </row>
        <row r="2970">
          <cell r="A2970" t="str">
            <v>19-02969</v>
          </cell>
          <cell r="B2970" t="str">
            <v>ORKHON GROUP</v>
          </cell>
          <cell r="C2970" t="str">
            <v>A</v>
          </cell>
          <cell r="D2970" t="str">
            <v>N/A</v>
          </cell>
          <cell r="E2970" t="str">
            <v>B1503-12 ALTAMAR BUFANDAS ASSORTED COLORS</v>
          </cell>
          <cell r="F2970" t="str">
            <v>BUFANDA</v>
          </cell>
          <cell r="G2970" t="str">
            <v>B1503-12</v>
          </cell>
          <cell r="H2970" t="str">
            <v>ALTAMAR</v>
          </cell>
          <cell r="I2970">
            <v>8.6999999999999993</v>
          </cell>
        </row>
        <row r="2971">
          <cell r="A2971" t="str">
            <v>19-02970</v>
          </cell>
          <cell r="B2971" t="str">
            <v>ORKHON GROUP</v>
          </cell>
          <cell r="C2971" t="str">
            <v>A</v>
          </cell>
          <cell r="D2971" t="str">
            <v>N/A</v>
          </cell>
          <cell r="E2971" t="str">
            <v>B1503-14 ALTAMAR BUFANDAS ASSORTED COLORS</v>
          </cell>
          <cell r="F2971" t="str">
            <v>BUFANDA</v>
          </cell>
          <cell r="G2971" t="str">
            <v>B1503-14</v>
          </cell>
          <cell r="H2971" t="str">
            <v>ALTAMAR</v>
          </cell>
          <cell r="I2971">
            <v>7</v>
          </cell>
        </row>
        <row r="2972">
          <cell r="A2972" t="str">
            <v>19-02971</v>
          </cell>
          <cell r="B2972" t="str">
            <v>ORKHON GROUP</v>
          </cell>
          <cell r="C2972" t="str">
            <v>A</v>
          </cell>
          <cell r="D2972" t="str">
            <v>N/A</v>
          </cell>
          <cell r="E2972" t="str">
            <v>B1503-13 ALTAMAR BUFANDAS ASSORTED COLORS</v>
          </cell>
          <cell r="F2972" t="str">
            <v>BUFANDA</v>
          </cell>
          <cell r="G2972" t="str">
            <v>B1503-13</v>
          </cell>
          <cell r="H2972" t="str">
            <v>ALTAMAR</v>
          </cell>
          <cell r="I2972">
            <v>6</v>
          </cell>
        </row>
        <row r="2973">
          <cell r="A2973" t="str">
            <v>19-02972</v>
          </cell>
          <cell r="B2973" t="str">
            <v>ORKHON GROUP</v>
          </cell>
          <cell r="C2973" t="str">
            <v>A</v>
          </cell>
          <cell r="D2973" t="str">
            <v>N/A</v>
          </cell>
          <cell r="E2973" t="str">
            <v>B1503-16 ALTAMAR BUFANDAS ASSORTED COLORS</v>
          </cell>
          <cell r="F2973" t="str">
            <v>BUFANDA</v>
          </cell>
          <cell r="G2973" t="str">
            <v>B1503-16</v>
          </cell>
          <cell r="H2973" t="str">
            <v>ALTAMAR</v>
          </cell>
          <cell r="I2973">
            <v>8.6999999999999993</v>
          </cell>
        </row>
        <row r="2974">
          <cell r="A2974" t="str">
            <v>19-02973</v>
          </cell>
          <cell r="B2974" t="str">
            <v>ORKHON GROUP</v>
          </cell>
          <cell r="C2974" t="str">
            <v>A</v>
          </cell>
          <cell r="D2974" t="str">
            <v>N/A</v>
          </cell>
          <cell r="E2974" t="str">
            <v>B1503-17 ALTAMAR BUFANDA ASSORTED COLORS</v>
          </cell>
          <cell r="F2974" t="str">
            <v>BUFANDA</v>
          </cell>
          <cell r="G2974" t="str">
            <v>B1503-17</v>
          </cell>
          <cell r="H2974" t="str">
            <v>ALTAMAR</v>
          </cell>
          <cell r="I2974">
            <v>7</v>
          </cell>
        </row>
        <row r="2975">
          <cell r="A2975" t="str">
            <v>19-02974</v>
          </cell>
          <cell r="B2975" t="str">
            <v>ORKHON GROUP</v>
          </cell>
          <cell r="C2975" t="str">
            <v>A</v>
          </cell>
          <cell r="D2975" t="str">
            <v>N/A</v>
          </cell>
          <cell r="E2975" t="str">
            <v>B1503-18 ALTAMAR BUFANDAS ASSORTED COLORS</v>
          </cell>
          <cell r="F2975" t="str">
            <v>BUFANDA</v>
          </cell>
          <cell r="G2975" t="str">
            <v>B1503-18</v>
          </cell>
          <cell r="H2975" t="str">
            <v>ALTAMAR</v>
          </cell>
          <cell r="I2975">
            <v>9.4</v>
          </cell>
        </row>
        <row r="2976">
          <cell r="A2976" t="str">
            <v>19-02975</v>
          </cell>
          <cell r="B2976" t="str">
            <v>ORKHON GROUP</v>
          </cell>
          <cell r="C2976" t="str">
            <v>A</v>
          </cell>
          <cell r="D2976" t="str">
            <v>N/A</v>
          </cell>
          <cell r="E2976" t="str">
            <v>B1503-11 ALTAMAR BUFANDAS ASSORTED COLORS</v>
          </cell>
          <cell r="F2976" t="str">
            <v>BUFANDA</v>
          </cell>
          <cell r="G2976" t="str">
            <v>B1503-11</v>
          </cell>
          <cell r="H2976" t="str">
            <v>ALTAMAR</v>
          </cell>
          <cell r="I2976">
            <v>6</v>
          </cell>
        </row>
        <row r="2977">
          <cell r="A2977" t="str">
            <v>19-02976</v>
          </cell>
          <cell r="B2977" t="str">
            <v>ORKHON GROUP</v>
          </cell>
          <cell r="C2977" t="str">
            <v>A</v>
          </cell>
          <cell r="D2977" t="str">
            <v>N/A</v>
          </cell>
          <cell r="E2977" t="str">
            <v>B1503-06 ALTAMAR BUFANDA</v>
          </cell>
          <cell r="F2977" t="str">
            <v>BUFANDA</v>
          </cell>
          <cell r="G2977" t="str">
            <v>B1503-06</v>
          </cell>
          <cell r="H2977" t="str">
            <v>ALTAMAR</v>
          </cell>
          <cell r="I2977">
            <v>8.6999999999999993</v>
          </cell>
        </row>
        <row r="2978">
          <cell r="A2978" t="str">
            <v>19-02977</v>
          </cell>
          <cell r="B2978" t="str">
            <v>ORKHON GROUP</v>
          </cell>
          <cell r="C2978" t="str">
            <v>A</v>
          </cell>
          <cell r="D2978" t="str">
            <v>N/A</v>
          </cell>
          <cell r="E2978" t="str">
            <v>B1503-07 ALTAMAR BUFANDA ASSORTED COLORS</v>
          </cell>
          <cell r="F2978" t="str">
            <v>BUFANDA</v>
          </cell>
          <cell r="G2978" t="str">
            <v>B1503-07</v>
          </cell>
          <cell r="H2978" t="str">
            <v>ALTAMAR</v>
          </cell>
          <cell r="I2978">
            <v>6</v>
          </cell>
        </row>
        <row r="2979">
          <cell r="A2979" t="str">
            <v>19-02978</v>
          </cell>
          <cell r="B2979" t="str">
            <v>ORKHON GROUP</v>
          </cell>
          <cell r="C2979" t="str">
            <v>A</v>
          </cell>
          <cell r="D2979" t="str">
            <v>N/A</v>
          </cell>
          <cell r="E2979" t="str">
            <v>B1503-08 ALTAMAR BUFANDA ASSORTED COLORS</v>
          </cell>
          <cell r="F2979" t="str">
            <v>BUFANDA</v>
          </cell>
          <cell r="G2979" t="str">
            <v>B1503-08</v>
          </cell>
          <cell r="H2979" t="str">
            <v>ALTAMAR</v>
          </cell>
          <cell r="I2979">
            <v>7</v>
          </cell>
        </row>
        <row r="2980">
          <cell r="A2980" t="str">
            <v>19-02979</v>
          </cell>
          <cell r="B2980" t="str">
            <v>ORKHON GROUP</v>
          </cell>
          <cell r="C2980" t="str">
            <v>A</v>
          </cell>
          <cell r="D2980" t="str">
            <v>N/A</v>
          </cell>
          <cell r="E2980" t="str">
            <v>B1503-09 ALTAMAR BUFANDA ASSORTED COLORS</v>
          </cell>
          <cell r="F2980" t="str">
            <v>BUFANDA</v>
          </cell>
          <cell r="G2980" t="str">
            <v>B1503-09</v>
          </cell>
          <cell r="H2980" t="str">
            <v>ALTAMAR</v>
          </cell>
          <cell r="I2980">
            <v>7</v>
          </cell>
        </row>
        <row r="2981">
          <cell r="A2981" t="str">
            <v>19-02980</v>
          </cell>
          <cell r="B2981" t="str">
            <v>ORKHON GROUP</v>
          </cell>
          <cell r="C2981" t="str">
            <v>A</v>
          </cell>
          <cell r="D2981" t="str">
            <v>N/A</v>
          </cell>
          <cell r="E2981" t="str">
            <v>B1503-10 ALTAMAR BUFANDAS ASSORTED COLORS</v>
          </cell>
          <cell r="F2981" t="str">
            <v>BUFANDA</v>
          </cell>
          <cell r="G2981" t="str">
            <v>B1503-10</v>
          </cell>
          <cell r="H2981" t="str">
            <v>ALTAMAR</v>
          </cell>
          <cell r="I2981">
            <v>7</v>
          </cell>
        </row>
        <row r="2982">
          <cell r="A2982" t="str">
            <v>19-02981</v>
          </cell>
          <cell r="B2982" t="str">
            <v>ORKHON GROUP</v>
          </cell>
          <cell r="C2982" t="str">
            <v>A</v>
          </cell>
          <cell r="D2982" t="str">
            <v>N/A</v>
          </cell>
          <cell r="E2982" t="str">
            <v>B1503-03 ALTAMAR BUFANDA ASSORTED COLORS</v>
          </cell>
          <cell r="F2982" t="str">
            <v>BUFANDA</v>
          </cell>
          <cell r="G2982" t="str">
            <v>B1503-03</v>
          </cell>
          <cell r="H2982" t="str">
            <v>ALTAMAR</v>
          </cell>
          <cell r="I2982">
            <v>7</v>
          </cell>
        </row>
        <row r="2983">
          <cell r="A2983" t="str">
            <v>19-02982</v>
          </cell>
          <cell r="B2983" t="str">
            <v>ORKHON GROUP</v>
          </cell>
          <cell r="C2983" t="str">
            <v>A</v>
          </cell>
          <cell r="D2983" t="str">
            <v>N/A</v>
          </cell>
          <cell r="E2983" t="str">
            <v>B1503-05 ALTAMAR BUFANDA ASSORTED COLORS</v>
          </cell>
          <cell r="F2983" t="str">
            <v>BUFANDA</v>
          </cell>
          <cell r="G2983" t="str">
            <v>B1503-05</v>
          </cell>
          <cell r="H2983" t="str">
            <v>ALTAMAR</v>
          </cell>
          <cell r="I2983">
            <v>9.4</v>
          </cell>
        </row>
        <row r="2984">
          <cell r="A2984" t="str">
            <v>19-02983</v>
          </cell>
          <cell r="B2984" t="str">
            <v>ORKHON GROUP</v>
          </cell>
          <cell r="C2984" t="str">
            <v>A</v>
          </cell>
          <cell r="D2984" t="str">
            <v>N/A</v>
          </cell>
          <cell r="E2984" t="str">
            <v>B1503-04 ALTAMAR BUFANDA ASSORTED COLORS</v>
          </cell>
          <cell r="F2984" t="str">
            <v>BUFANDA</v>
          </cell>
          <cell r="G2984" t="str">
            <v>B1503-04</v>
          </cell>
          <cell r="H2984" t="str">
            <v>ALTAMAR</v>
          </cell>
          <cell r="I2984">
            <v>8.1999999999999993</v>
          </cell>
        </row>
        <row r="2985">
          <cell r="A2985" t="str">
            <v>19-02984</v>
          </cell>
          <cell r="B2985" t="str">
            <v>ORKHON GROUP</v>
          </cell>
          <cell r="C2985" t="str">
            <v>A</v>
          </cell>
          <cell r="D2985" t="str">
            <v>N/A</v>
          </cell>
          <cell r="E2985" t="str">
            <v>A1503-19 ALTAMAR PULSERA FASHION ASSORTED COLORS</v>
          </cell>
          <cell r="F2985" t="str">
            <v>PULSERA</v>
          </cell>
          <cell r="G2985" t="str">
            <v>A1503-19</v>
          </cell>
          <cell r="H2985" t="str">
            <v>ALTAMAR</v>
          </cell>
          <cell r="I2985">
            <v>11.156000000000001</v>
          </cell>
        </row>
        <row r="2986">
          <cell r="A2986" t="str">
            <v>19-02985</v>
          </cell>
          <cell r="B2986" t="str">
            <v>ORKHON GROUP</v>
          </cell>
          <cell r="C2986" t="str">
            <v>A</v>
          </cell>
          <cell r="D2986" t="str">
            <v>N/A</v>
          </cell>
          <cell r="E2986" t="str">
            <v>A1503-18 ALTAMAR PULSERA FASHION ASSORTED COLORS</v>
          </cell>
          <cell r="F2986" t="str">
            <v>PULSERA</v>
          </cell>
          <cell r="G2986" t="str">
            <v>A1503-18</v>
          </cell>
          <cell r="H2986" t="str">
            <v>ALTAMAR</v>
          </cell>
          <cell r="I2986">
            <v>9.3780000000000001</v>
          </cell>
        </row>
        <row r="2987">
          <cell r="A2987" t="str">
            <v>19-02986</v>
          </cell>
          <cell r="B2987" t="str">
            <v>ORKHON GROUP</v>
          </cell>
          <cell r="C2987" t="str">
            <v>A</v>
          </cell>
          <cell r="D2987" t="str">
            <v>N/A</v>
          </cell>
          <cell r="E2987" t="str">
            <v>A1503-21 ALTAMAR PULSERA FASHION ASSORTED COLORS</v>
          </cell>
          <cell r="F2987" t="str">
            <v>PULSERA</v>
          </cell>
          <cell r="G2987" t="str">
            <v>A1503-21</v>
          </cell>
          <cell r="H2987" t="str">
            <v>ALTAMAR</v>
          </cell>
          <cell r="I2987">
            <v>11.3</v>
          </cell>
        </row>
        <row r="2988">
          <cell r="A2988" t="str">
            <v>19-02987</v>
          </cell>
          <cell r="B2988" t="str">
            <v>ORKHON GROUP</v>
          </cell>
          <cell r="C2988" t="str">
            <v>A</v>
          </cell>
          <cell r="D2988" t="str">
            <v>N/A</v>
          </cell>
          <cell r="E2988" t="str">
            <v>A1503-20 ALTAMAR PULSERA FASHION ASSORTED COLORS</v>
          </cell>
          <cell r="F2988" t="str">
            <v>PULSERA</v>
          </cell>
          <cell r="G2988" t="str">
            <v>A1503-20</v>
          </cell>
          <cell r="H2988" t="str">
            <v>ALTAMAR</v>
          </cell>
          <cell r="I2988">
            <v>10</v>
          </cell>
        </row>
        <row r="2989">
          <cell r="A2989" t="str">
            <v>19-02988</v>
          </cell>
          <cell r="B2989" t="str">
            <v>ORKHON GROUP</v>
          </cell>
          <cell r="C2989" t="str">
            <v>A</v>
          </cell>
          <cell r="D2989" t="str">
            <v>N/A</v>
          </cell>
          <cell r="E2989" t="str">
            <v>A1503-01 ALTAMAR PULSERA FASHION ASSORTED COLORS</v>
          </cell>
          <cell r="F2989" t="str">
            <v>PULSERA</v>
          </cell>
          <cell r="G2989" t="str">
            <v>A1503-01</v>
          </cell>
          <cell r="H2989" t="str">
            <v>ALTAMAR</v>
          </cell>
          <cell r="I2989">
            <v>3.5</v>
          </cell>
        </row>
        <row r="2990">
          <cell r="A2990" t="str">
            <v>19-02989</v>
          </cell>
          <cell r="B2990" t="str">
            <v>ORKHON GROUP</v>
          </cell>
          <cell r="C2990" t="str">
            <v>A</v>
          </cell>
          <cell r="D2990" t="str">
            <v>N/A</v>
          </cell>
          <cell r="E2990" t="str">
            <v>A1503-08 ALTAMAR PULSERA FASHION ASSORTED COLORS</v>
          </cell>
          <cell r="F2990" t="str">
            <v>PULSERA</v>
          </cell>
          <cell r="G2990" t="str">
            <v>A1503-08</v>
          </cell>
          <cell r="H2990" t="str">
            <v>ALTAMAR</v>
          </cell>
          <cell r="I2990">
            <v>3.9489999999999998</v>
          </cell>
        </row>
        <row r="2991">
          <cell r="A2991" t="str">
            <v>19-02990</v>
          </cell>
          <cell r="B2991" t="str">
            <v>ORKHON GROUP</v>
          </cell>
          <cell r="C2991" t="str">
            <v>A</v>
          </cell>
          <cell r="D2991" t="str">
            <v>N/A</v>
          </cell>
          <cell r="E2991" t="str">
            <v>A1503-24 ALTAMAR PULSERA ASSORTED COLORS</v>
          </cell>
          <cell r="F2991" t="str">
            <v>PULSERA</v>
          </cell>
          <cell r="G2991" t="str">
            <v>A1503-24</v>
          </cell>
          <cell r="H2991" t="str">
            <v>ALTAMAR</v>
          </cell>
          <cell r="I2991">
            <v>4.2</v>
          </cell>
        </row>
        <row r="2992">
          <cell r="A2992" t="str">
            <v>19-02991</v>
          </cell>
          <cell r="B2992" t="str">
            <v>ORKHON GROUP</v>
          </cell>
          <cell r="C2992" t="str">
            <v>A</v>
          </cell>
          <cell r="D2992" t="str">
            <v>N/A</v>
          </cell>
          <cell r="E2992" t="str">
            <v>A1503-06 ALTAMAR PULSERA FASHION ASSORTED COLORS</v>
          </cell>
          <cell r="F2992" t="str">
            <v>PULSERA</v>
          </cell>
          <cell r="G2992" t="str">
            <v>A1503-06</v>
          </cell>
          <cell r="H2992" t="str">
            <v>ALTAMAR</v>
          </cell>
          <cell r="I2992">
            <v>3.9489999999999998</v>
          </cell>
        </row>
        <row r="2993">
          <cell r="A2993" t="str">
            <v>19-02992</v>
          </cell>
          <cell r="B2993" t="str">
            <v>ORKHON GROUP</v>
          </cell>
          <cell r="C2993" t="str">
            <v>A</v>
          </cell>
          <cell r="D2993" t="str">
            <v>N/A</v>
          </cell>
          <cell r="E2993" t="str">
            <v>A1503-10 ALTAMAR PULSERA FASHION ASSORTED COLORS</v>
          </cell>
          <cell r="F2993" t="str">
            <v>PULSERA</v>
          </cell>
          <cell r="G2993" t="str">
            <v>A1503-10</v>
          </cell>
          <cell r="H2993" t="str">
            <v>ALTAMAR</v>
          </cell>
          <cell r="I2993">
            <v>6.12</v>
          </cell>
        </row>
        <row r="2994">
          <cell r="A2994" t="str">
            <v>19-02993</v>
          </cell>
          <cell r="B2994" t="str">
            <v>ORKHON GROUP</v>
          </cell>
          <cell r="C2994" t="str">
            <v>D</v>
          </cell>
          <cell r="D2994" t="str">
            <v>N/A</v>
          </cell>
          <cell r="E2994" t="str">
            <v>A1503-12 ALTAMAR PULSERA FASHION ASSORTED COLORS</v>
          </cell>
          <cell r="F2994" t="str">
            <v>PULSERA</v>
          </cell>
          <cell r="G2994" t="str">
            <v>A1503-12</v>
          </cell>
          <cell r="H2994" t="str">
            <v>ALTAMAR</v>
          </cell>
          <cell r="I2994">
            <v>7</v>
          </cell>
        </row>
        <row r="2995">
          <cell r="A2995" t="str">
            <v>19-02994</v>
          </cell>
          <cell r="B2995" t="str">
            <v>ORKHON GROUP</v>
          </cell>
          <cell r="C2995" t="str">
            <v>A</v>
          </cell>
          <cell r="D2995" t="str">
            <v>N/A</v>
          </cell>
          <cell r="E2995" t="str">
            <v>A1503-13 ALTAMAR PULSERA FASHION ASSORTED COLORS</v>
          </cell>
          <cell r="F2995" t="str">
            <v>PULSERA</v>
          </cell>
          <cell r="G2995" t="str">
            <v>A1503-13</v>
          </cell>
          <cell r="H2995" t="str">
            <v>ALTAMAR</v>
          </cell>
          <cell r="I2995">
            <v>7</v>
          </cell>
        </row>
        <row r="2996">
          <cell r="A2996" t="str">
            <v>19-02995</v>
          </cell>
          <cell r="B2996" t="str">
            <v>ORKHON GROUP</v>
          </cell>
          <cell r="C2996" t="str">
            <v>A</v>
          </cell>
          <cell r="D2996" t="str">
            <v>N/A</v>
          </cell>
          <cell r="E2996" t="str">
            <v>A1503-16 ALTAMAR PULSERA FASHION ASSORTED COLORS</v>
          </cell>
          <cell r="F2996" t="str">
            <v>PULSERA</v>
          </cell>
          <cell r="G2996" t="str">
            <v>A1503-16</v>
          </cell>
          <cell r="H2996" t="str">
            <v>ALTAMAR</v>
          </cell>
          <cell r="I2996">
            <v>7</v>
          </cell>
        </row>
        <row r="2997">
          <cell r="A2997" t="str">
            <v>19-02996</v>
          </cell>
          <cell r="B2997" t="str">
            <v>ORKHON GROUP</v>
          </cell>
          <cell r="C2997" t="str">
            <v>A</v>
          </cell>
          <cell r="D2997" t="str">
            <v>N/A</v>
          </cell>
          <cell r="E2997" t="str">
            <v>A1503-05 ALTAMAR PULSERA FASHION ASSORTED COLORS</v>
          </cell>
          <cell r="F2997" t="str">
            <v>PULSERA</v>
          </cell>
          <cell r="G2997" t="str">
            <v>A1503-05</v>
          </cell>
          <cell r="H2997" t="str">
            <v>ALTAMAR</v>
          </cell>
          <cell r="I2997">
            <v>3.948</v>
          </cell>
        </row>
        <row r="2998">
          <cell r="A2998" t="str">
            <v>19-02997</v>
          </cell>
          <cell r="B2998" t="str">
            <v>ORKHON GROUP</v>
          </cell>
          <cell r="C2998" t="str">
            <v>A</v>
          </cell>
          <cell r="D2998" t="str">
            <v>N/A</v>
          </cell>
          <cell r="E2998" t="str">
            <v>A1503-15 ALTAMARPULSERA DE HILO CLOE ASSORTED COLORS</v>
          </cell>
          <cell r="F2998" t="str">
            <v>PULSERA</v>
          </cell>
          <cell r="G2998" t="str">
            <v>A1503-15</v>
          </cell>
          <cell r="H2998" t="str">
            <v>ALTAMAR</v>
          </cell>
          <cell r="I2998">
            <v>3.948</v>
          </cell>
        </row>
        <row r="2999">
          <cell r="A2999" t="str">
            <v>19-02998</v>
          </cell>
          <cell r="B2999" t="str">
            <v>ORKHON GROUP</v>
          </cell>
          <cell r="C2999" t="str">
            <v>A</v>
          </cell>
          <cell r="D2999" t="str">
            <v>N/A</v>
          </cell>
          <cell r="E2999" t="str">
            <v>B1503-02 ALTAMAR PANUELO ASSORTED COLORS</v>
          </cell>
          <cell r="F2999" t="str">
            <v>PANUELO</v>
          </cell>
          <cell r="G2999" t="str">
            <v>B1503-02</v>
          </cell>
          <cell r="H2999" t="str">
            <v>ALTAMAR</v>
          </cell>
          <cell r="I2999">
            <v>5</v>
          </cell>
        </row>
        <row r="3000">
          <cell r="A3000" t="str">
            <v>19-02999</v>
          </cell>
          <cell r="B3000" t="str">
            <v>ORKHON GROUP</v>
          </cell>
          <cell r="C3000" t="str">
            <v>A</v>
          </cell>
          <cell r="D3000" t="str">
            <v>N/A</v>
          </cell>
          <cell r="E3000" t="str">
            <v>B1503-01 ALTAMAR PANUELO ASSORTED COLORS</v>
          </cell>
          <cell r="F3000" t="str">
            <v>PANUELO</v>
          </cell>
          <cell r="G3000" t="str">
            <v>B1503-01</v>
          </cell>
          <cell r="H3000" t="str">
            <v>ALTAMAR</v>
          </cell>
          <cell r="I3000">
            <v>2.5</v>
          </cell>
        </row>
        <row r="3001">
          <cell r="A3001" t="str">
            <v>19-03000</v>
          </cell>
          <cell r="B3001" t="str">
            <v>ORKHON GROUP</v>
          </cell>
          <cell r="C3001" t="str">
            <v>A</v>
          </cell>
          <cell r="D3001" t="str">
            <v>N/A</v>
          </cell>
          <cell r="E3001" t="str">
            <v>A1503-23 ALTAMAR PULSERA DE HILO CLOE MULTICOLOR</v>
          </cell>
          <cell r="F3001" t="str">
            <v>PULSERA</v>
          </cell>
          <cell r="G3001" t="str">
            <v>A1503-23</v>
          </cell>
          <cell r="H3001" t="str">
            <v>ALTAMAR</v>
          </cell>
          <cell r="I3001">
            <v>4.1449999999999996</v>
          </cell>
        </row>
        <row r="3002">
          <cell r="A3002" t="str">
            <v>19-03001</v>
          </cell>
          <cell r="B3002" t="str">
            <v>ORKHON GROUP</v>
          </cell>
          <cell r="C3002" t="str">
            <v>A</v>
          </cell>
          <cell r="D3002" t="str">
            <v>N/A</v>
          </cell>
          <cell r="E3002" t="str">
            <v>A1503-236 ALTAMAR COLLAR</v>
          </cell>
          <cell r="F3002" t="str">
            <v>COLLAR</v>
          </cell>
          <cell r="G3002" t="str">
            <v>A1503-236</v>
          </cell>
          <cell r="H3002" t="str">
            <v>ALTAMAR</v>
          </cell>
          <cell r="I3002">
            <v>7.7</v>
          </cell>
        </row>
        <row r="3003">
          <cell r="A3003" t="str">
            <v>19-03002</v>
          </cell>
          <cell r="B3003" t="str">
            <v>ORKHON GROUP</v>
          </cell>
          <cell r="C3003" t="str">
            <v>A</v>
          </cell>
          <cell r="D3003" t="str">
            <v>N/A</v>
          </cell>
          <cell r="E3003" t="str">
            <v>A1503-131 ALTAMAR COLLAR</v>
          </cell>
          <cell r="F3003" t="str">
            <v>COLLAR</v>
          </cell>
          <cell r="G3003" t="str">
            <v>A1503-131</v>
          </cell>
          <cell r="H3003" t="str">
            <v>ALTAMAR</v>
          </cell>
          <cell r="I3003">
            <v>9.5760000000000005</v>
          </cell>
        </row>
        <row r="3004">
          <cell r="A3004" t="str">
            <v>19-03003</v>
          </cell>
          <cell r="B3004" t="str">
            <v>ORKHON GROUP</v>
          </cell>
          <cell r="C3004" t="str">
            <v>A</v>
          </cell>
          <cell r="D3004" t="str">
            <v>N/A</v>
          </cell>
          <cell r="E3004" t="str">
            <v>A1503-158 ALTAMAR COLLAR</v>
          </cell>
          <cell r="F3004" t="str">
            <v>COLLAR</v>
          </cell>
          <cell r="G3004" t="str">
            <v>A1503-158</v>
          </cell>
          <cell r="H3004" t="str">
            <v>ALTAMAR</v>
          </cell>
          <cell r="I3004">
            <v>8.6859999999999999</v>
          </cell>
        </row>
        <row r="3005">
          <cell r="A3005" t="str">
            <v>19-03004</v>
          </cell>
          <cell r="B3005" t="str">
            <v>ORKHON GROUP</v>
          </cell>
          <cell r="C3005" t="str">
            <v>A</v>
          </cell>
          <cell r="D3005" t="str">
            <v>N/A</v>
          </cell>
          <cell r="E3005" t="str">
            <v>A1503-164 ALTAMAR COLLAR</v>
          </cell>
          <cell r="F3005" t="str">
            <v>COLLAR</v>
          </cell>
          <cell r="G3005" t="str">
            <v>A1503-164</v>
          </cell>
          <cell r="H3005" t="str">
            <v>ALTAMAR</v>
          </cell>
          <cell r="I3005">
            <v>8.6880000000000006</v>
          </cell>
        </row>
        <row r="3006">
          <cell r="A3006" t="str">
            <v>19-03005</v>
          </cell>
          <cell r="B3006" t="str">
            <v>ORKHON GROUP</v>
          </cell>
          <cell r="C3006" t="str">
            <v>A</v>
          </cell>
          <cell r="D3006" t="str">
            <v>N/A</v>
          </cell>
          <cell r="E3006" t="str">
            <v>A1503-182 ALTAMAR AROS</v>
          </cell>
          <cell r="F3006" t="str">
            <v>PENDIENTE</v>
          </cell>
          <cell r="G3006" t="str">
            <v>A1503-182</v>
          </cell>
          <cell r="H3006" t="str">
            <v>ALTAMAR</v>
          </cell>
          <cell r="I3006">
            <v>5.923</v>
          </cell>
        </row>
        <row r="3007">
          <cell r="A3007" t="str">
            <v>19-03006</v>
          </cell>
          <cell r="B3007" t="str">
            <v>ORKHON GROUP</v>
          </cell>
          <cell r="C3007" t="str">
            <v>A</v>
          </cell>
          <cell r="D3007" t="str">
            <v>N/A</v>
          </cell>
          <cell r="E3007" t="str">
            <v>A1503-141 ALTAMAR COLLAR</v>
          </cell>
          <cell r="F3007" t="str">
            <v>COLLAR</v>
          </cell>
          <cell r="G3007" t="str">
            <v>A1503-141</v>
          </cell>
          <cell r="H3007" t="str">
            <v>ALTAMAR</v>
          </cell>
          <cell r="I3007">
            <v>8.6880000000000006</v>
          </cell>
        </row>
        <row r="3008">
          <cell r="A3008" t="str">
            <v>19-03007</v>
          </cell>
          <cell r="B3008" t="str">
            <v>ORKHON GROUP</v>
          </cell>
          <cell r="C3008" t="str">
            <v>A</v>
          </cell>
          <cell r="D3008" t="str">
            <v>N/A</v>
          </cell>
          <cell r="E3008" t="str">
            <v>A1503-148 ALTAMAR COLLAR</v>
          </cell>
          <cell r="F3008" t="str">
            <v>COLLAR</v>
          </cell>
          <cell r="G3008" t="str">
            <v>A1503-148</v>
          </cell>
          <cell r="H3008" t="str">
            <v>ALTAMAR</v>
          </cell>
          <cell r="I3008">
            <v>9.5760000000000005</v>
          </cell>
        </row>
        <row r="3009">
          <cell r="A3009" t="str">
            <v>19-03008</v>
          </cell>
          <cell r="B3009" t="str">
            <v>ORKHON GROUP</v>
          </cell>
          <cell r="C3009" t="str">
            <v>A</v>
          </cell>
          <cell r="D3009" t="str">
            <v>N/A</v>
          </cell>
          <cell r="E3009" t="str">
            <v>A1503-146 ALTAMAR COLLAR</v>
          </cell>
          <cell r="F3009" t="str">
            <v>COLLAR</v>
          </cell>
          <cell r="G3009" t="str">
            <v>A1503-146</v>
          </cell>
          <cell r="H3009" t="str">
            <v>ALTAMAR</v>
          </cell>
          <cell r="I3009">
            <v>11.747999999999999</v>
          </cell>
        </row>
        <row r="3010">
          <cell r="A3010" t="str">
            <v>19-03009</v>
          </cell>
          <cell r="B3010" t="str">
            <v>ORKHON GROUP</v>
          </cell>
          <cell r="C3010" t="str">
            <v>A</v>
          </cell>
          <cell r="D3010" t="str">
            <v>N/A</v>
          </cell>
          <cell r="E3010" t="str">
            <v>A1503-151 ALTAMAR COLLAR ASSORTED COLORS</v>
          </cell>
          <cell r="F3010" t="str">
            <v>COLLAR</v>
          </cell>
          <cell r="G3010" t="str">
            <v>A1503-151</v>
          </cell>
          <cell r="H3010" t="str">
            <v>ALTAMAR</v>
          </cell>
          <cell r="I3010">
            <v>9.5760000000000005</v>
          </cell>
        </row>
        <row r="3011">
          <cell r="A3011" t="str">
            <v>19-03010</v>
          </cell>
          <cell r="B3011" t="str">
            <v>ORKHON GROUP</v>
          </cell>
          <cell r="C3011" t="str">
            <v>A</v>
          </cell>
          <cell r="D3011" t="str">
            <v>N/A</v>
          </cell>
          <cell r="E3011" t="str">
            <v>A1503-157 ALTAMAR COLLAR</v>
          </cell>
          <cell r="F3011" t="str">
            <v>COLLAR</v>
          </cell>
          <cell r="G3011" t="str">
            <v>A1503-157</v>
          </cell>
          <cell r="H3011" t="str">
            <v>ALTAMAR</v>
          </cell>
          <cell r="I3011">
            <v>9.5760000000000005</v>
          </cell>
        </row>
        <row r="3012">
          <cell r="A3012" t="str">
            <v>19-03011</v>
          </cell>
          <cell r="B3012" t="str">
            <v>ORKHON GROUP</v>
          </cell>
          <cell r="C3012" t="str">
            <v>A</v>
          </cell>
          <cell r="D3012" t="str">
            <v>N/A</v>
          </cell>
          <cell r="E3012" t="str">
            <v>A1503-160 ALTAMAR COLLAR</v>
          </cell>
          <cell r="F3012" t="str">
            <v>COLLAR</v>
          </cell>
          <cell r="G3012" t="str">
            <v>A1503-160</v>
          </cell>
          <cell r="H3012" t="str">
            <v>ALTAMAR</v>
          </cell>
          <cell r="I3012">
            <v>6.4169999999999998</v>
          </cell>
        </row>
        <row r="3013">
          <cell r="A3013" t="str">
            <v>19-03012</v>
          </cell>
          <cell r="B3013" t="str">
            <v>ORKHON GROUP</v>
          </cell>
          <cell r="C3013" t="str">
            <v>A</v>
          </cell>
          <cell r="D3013" t="str">
            <v>N/A</v>
          </cell>
          <cell r="E3013" t="str">
            <v>A1503-145 ALTAMAR COLLAR ASSORTED COLORS</v>
          </cell>
          <cell r="F3013" t="str">
            <v>COLLAR</v>
          </cell>
          <cell r="G3013" t="str">
            <v>A1503-145</v>
          </cell>
          <cell r="H3013" t="str">
            <v>ALTAMAR</v>
          </cell>
          <cell r="I3013">
            <v>9.5760000000000005</v>
          </cell>
        </row>
        <row r="3014">
          <cell r="A3014" t="str">
            <v>19-03013</v>
          </cell>
          <cell r="B3014" t="str">
            <v>ORKHON GROUP</v>
          </cell>
          <cell r="C3014" t="str">
            <v>A</v>
          </cell>
          <cell r="D3014" t="str">
            <v>N/A</v>
          </cell>
          <cell r="E3014" t="str">
            <v>A1503-166 ALTAMAR COLLAR</v>
          </cell>
          <cell r="F3014" t="str">
            <v>COLLAR</v>
          </cell>
          <cell r="G3014" t="str">
            <v>A1503-166</v>
          </cell>
          <cell r="H3014" t="str">
            <v>ALTAMAR</v>
          </cell>
          <cell r="I3014">
            <v>8.6880000000000006</v>
          </cell>
        </row>
        <row r="3015">
          <cell r="A3015" t="str">
            <v>19-03014</v>
          </cell>
          <cell r="B3015" t="str">
            <v>ORKHON GROUP</v>
          </cell>
          <cell r="C3015" t="str">
            <v>A</v>
          </cell>
          <cell r="D3015" t="str">
            <v>N/A</v>
          </cell>
          <cell r="E3015" t="str">
            <v>A1503-133 ALTAMAR COLLAR</v>
          </cell>
          <cell r="F3015" t="str">
            <v>COLLAR</v>
          </cell>
          <cell r="G3015" t="str">
            <v>A1503-133</v>
          </cell>
          <cell r="H3015" t="str">
            <v>ALTAMAR</v>
          </cell>
          <cell r="I3015">
            <v>11.452</v>
          </cell>
        </row>
        <row r="3016">
          <cell r="A3016" t="str">
            <v>19-03015</v>
          </cell>
          <cell r="B3016" t="str">
            <v>ORKHON GROUP</v>
          </cell>
          <cell r="C3016" t="str">
            <v>A</v>
          </cell>
          <cell r="D3016" t="str">
            <v>N/A</v>
          </cell>
          <cell r="E3016" t="str">
            <v>A1503-208 ALTAMAR PULSERAS</v>
          </cell>
          <cell r="F3016" t="str">
            <v>PULSERA</v>
          </cell>
          <cell r="G3016" t="str">
            <v>A1503-208</v>
          </cell>
          <cell r="H3016" t="str">
            <v>ALTAMAR</v>
          </cell>
          <cell r="I3016">
            <v>7.6050000000000004</v>
          </cell>
        </row>
        <row r="3017">
          <cell r="A3017" t="str">
            <v>19-03016</v>
          </cell>
          <cell r="B3017" t="str">
            <v>ORKHON GROUP</v>
          </cell>
          <cell r="C3017" t="str">
            <v>A</v>
          </cell>
          <cell r="D3017" t="str">
            <v>N/A</v>
          </cell>
          <cell r="E3017" t="str">
            <v>A1503-218 ALTAMAR PULSERAS CLOE</v>
          </cell>
          <cell r="F3017" t="str">
            <v>PULSERA</v>
          </cell>
          <cell r="G3017" t="str">
            <v>A1503-218</v>
          </cell>
          <cell r="H3017" t="str">
            <v>ALTAMAR</v>
          </cell>
          <cell r="I3017">
            <v>7.6050000000000004</v>
          </cell>
        </row>
        <row r="3018">
          <cell r="A3018" t="str">
            <v>19-03017</v>
          </cell>
          <cell r="B3018" t="str">
            <v>ORKHON GROUP</v>
          </cell>
          <cell r="C3018" t="str">
            <v>A</v>
          </cell>
          <cell r="D3018" t="str">
            <v>N/A</v>
          </cell>
          <cell r="E3018" t="str">
            <v>A1503-209 ALTAMAR PULSERAS</v>
          </cell>
          <cell r="F3018" t="str">
            <v>PULSERA</v>
          </cell>
          <cell r="G3018" t="str">
            <v>A1503-209</v>
          </cell>
          <cell r="H3018" t="str">
            <v>ALTAMAR</v>
          </cell>
          <cell r="I3018">
            <v>6.9080000000000004</v>
          </cell>
        </row>
        <row r="3019">
          <cell r="A3019" t="str">
            <v>19-03018</v>
          </cell>
          <cell r="B3019" t="str">
            <v>ORKHON GROUP</v>
          </cell>
          <cell r="C3019" t="str">
            <v>A</v>
          </cell>
          <cell r="D3019" t="str">
            <v>N/A</v>
          </cell>
          <cell r="E3019" t="str">
            <v>117-HT2844 ALTAMAR SOMBRERO</v>
          </cell>
          <cell r="F3019" t="str">
            <v>SOMBRERO</v>
          </cell>
          <cell r="G3019" t="str">
            <v>117-HT2844</v>
          </cell>
          <cell r="H3019" t="str">
            <v>ALTAMAR</v>
          </cell>
          <cell r="I3019">
            <v>10.199999999999999</v>
          </cell>
        </row>
        <row r="3020">
          <cell r="A3020" t="str">
            <v>19-03019</v>
          </cell>
          <cell r="B3020" t="str">
            <v>ORKHON GROUP</v>
          </cell>
          <cell r="C3020" t="str">
            <v>A</v>
          </cell>
          <cell r="D3020" t="str">
            <v>N/A</v>
          </cell>
          <cell r="E3020" t="str">
            <v>117-HT2948 ALTAMAR SOMBRERO</v>
          </cell>
          <cell r="F3020" t="str">
            <v>SOMBRERO</v>
          </cell>
          <cell r="G3020" t="str">
            <v>117-HT2948</v>
          </cell>
          <cell r="H3020" t="str">
            <v>ALTAMAR</v>
          </cell>
          <cell r="I3020">
            <v>13</v>
          </cell>
        </row>
        <row r="3021">
          <cell r="A3021" t="str">
            <v>19-03020</v>
          </cell>
          <cell r="B3021" t="str">
            <v>ORKHON GROUP</v>
          </cell>
          <cell r="C3021" t="str">
            <v>A</v>
          </cell>
          <cell r="D3021" t="str">
            <v>N/A</v>
          </cell>
          <cell r="E3021" t="str">
            <v>C1503-14 ALTAMAR MONEDERO ASSORTED COLORS</v>
          </cell>
          <cell r="F3021" t="str">
            <v>BILLETERA</v>
          </cell>
          <cell r="G3021" t="str">
            <v>C1503-14</v>
          </cell>
          <cell r="H3021" t="str">
            <v>ALTAMAR</v>
          </cell>
          <cell r="I3021">
            <v>4.5</v>
          </cell>
        </row>
        <row r="3022">
          <cell r="A3022" t="str">
            <v>19-03021</v>
          </cell>
          <cell r="B3022" t="str">
            <v>ORKHON GROUP</v>
          </cell>
          <cell r="C3022" t="str">
            <v>A</v>
          </cell>
          <cell r="D3022" t="str">
            <v>N/A</v>
          </cell>
          <cell r="E3022" t="str">
            <v>C1503-35 ALTAMAR COSMETIQUERA ASSORTED COLORS</v>
          </cell>
          <cell r="F3022" t="str">
            <v>COSMETIQUERA</v>
          </cell>
          <cell r="G3022" t="str">
            <v>C1503-35</v>
          </cell>
          <cell r="H3022" t="str">
            <v>ALTAMAR</v>
          </cell>
          <cell r="I3022">
            <v>9</v>
          </cell>
        </row>
        <row r="3023">
          <cell r="A3023" t="str">
            <v>19-03022</v>
          </cell>
          <cell r="B3023" t="str">
            <v>ORKHON GROUP</v>
          </cell>
          <cell r="C3023" t="str">
            <v>A</v>
          </cell>
          <cell r="D3023" t="str">
            <v>N/A</v>
          </cell>
          <cell r="E3023" t="str">
            <v>S1503-22 ALTAMAR SOMBRERO</v>
          </cell>
          <cell r="F3023" t="str">
            <v>SOMBRERO</v>
          </cell>
          <cell r="G3023" t="str">
            <v>S1503-22</v>
          </cell>
          <cell r="H3023" t="str">
            <v>ALTAMAR</v>
          </cell>
          <cell r="I3023">
            <v>8.8849999999999998</v>
          </cell>
        </row>
        <row r="3024">
          <cell r="A3024" t="str">
            <v>19-03023</v>
          </cell>
          <cell r="B3024" t="str">
            <v>ORKHON GROUP</v>
          </cell>
          <cell r="C3024" t="str">
            <v>D</v>
          </cell>
          <cell r="D3024" t="str">
            <v>N/A</v>
          </cell>
          <cell r="E3024" t="str">
            <v>S1503-22 ALTAMAR SOMBRERO</v>
          </cell>
          <cell r="F3024" t="str">
            <v>SOMBRERO</v>
          </cell>
          <cell r="G3024" t="str">
            <v>S1503-22</v>
          </cell>
          <cell r="H3024" t="str">
            <v>ALTAMAR</v>
          </cell>
          <cell r="I3024">
            <v>0</v>
          </cell>
        </row>
        <row r="3025">
          <cell r="A3025" t="str">
            <v>19-03024</v>
          </cell>
          <cell r="B3025" t="str">
            <v>ORKHON GROUP</v>
          </cell>
          <cell r="C3025" t="str">
            <v>A</v>
          </cell>
          <cell r="D3025" t="str">
            <v>N/A</v>
          </cell>
          <cell r="E3025" t="str">
            <v>S1503-25 ALTAMAR SOMBRERO</v>
          </cell>
          <cell r="F3025" t="str">
            <v>SOMBRERO</v>
          </cell>
          <cell r="G3025" t="str">
            <v>S1503-25</v>
          </cell>
          <cell r="H3025" t="str">
            <v>ALTAMAR</v>
          </cell>
          <cell r="I3025">
            <v>8.8829999999999991</v>
          </cell>
        </row>
        <row r="3026">
          <cell r="A3026" t="str">
            <v>19-03025</v>
          </cell>
          <cell r="B3026" t="str">
            <v>ORKHON GROUP</v>
          </cell>
          <cell r="C3026" t="str">
            <v>A</v>
          </cell>
          <cell r="D3026" t="str">
            <v>N/A</v>
          </cell>
          <cell r="E3026" t="str">
            <v>S1503-27 ALTAMAR SOMBRERO</v>
          </cell>
          <cell r="F3026" t="str">
            <v>SOMBRERO</v>
          </cell>
          <cell r="G3026" t="str">
            <v>S1503-27</v>
          </cell>
          <cell r="H3026" t="str">
            <v>ALTAMAR</v>
          </cell>
          <cell r="I3026">
            <v>9.8699999999999992</v>
          </cell>
        </row>
        <row r="3027">
          <cell r="A3027" t="str">
            <v>19-03026</v>
          </cell>
          <cell r="B3027" t="str">
            <v>ORKHON GROUP</v>
          </cell>
          <cell r="C3027" t="str">
            <v>A</v>
          </cell>
          <cell r="D3027" t="str">
            <v>N/A</v>
          </cell>
          <cell r="E3027" t="str">
            <v>A1503-153 ALTAMAR COLLAR</v>
          </cell>
          <cell r="F3027" t="str">
            <v>COLLAR</v>
          </cell>
          <cell r="G3027" t="str">
            <v>A1503-153</v>
          </cell>
          <cell r="H3027" t="str">
            <v>ALTAMAR</v>
          </cell>
          <cell r="I3027">
            <v>9.5760000000000005</v>
          </cell>
        </row>
        <row r="3028">
          <cell r="A3028" t="str">
            <v>19-03027</v>
          </cell>
          <cell r="B3028" t="str">
            <v>ORKHON GROUP</v>
          </cell>
          <cell r="C3028" t="str">
            <v>A</v>
          </cell>
          <cell r="D3028" t="str">
            <v>N/A</v>
          </cell>
          <cell r="E3028" t="str">
            <v>A1503-136 ALTAMAR COLLAR</v>
          </cell>
          <cell r="F3028" t="str">
            <v>COLLAR</v>
          </cell>
          <cell r="G3028" t="str">
            <v>A1503-136</v>
          </cell>
          <cell r="H3028" t="str">
            <v>ALTAMAR</v>
          </cell>
          <cell r="I3028">
            <v>8.6869999999999994</v>
          </cell>
        </row>
        <row r="3029">
          <cell r="A3029" t="str">
            <v>19-03028</v>
          </cell>
          <cell r="B3029" t="str">
            <v>ORKHON GROUP</v>
          </cell>
          <cell r="C3029" t="str">
            <v>A</v>
          </cell>
          <cell r="D3029" t="str">
            <v>N/A</v>
          </cell>
          <cell r="E3029" t="str">
            <v>A1503-147 ALTAMAR COLLAR</v>
          </cell>
          <cell r="F3029" t="str">
            <v>COLLAR</v>
          </cell>
          <cell r="G3029" t="str">
            <v>A1503-147</v>
          </cell>
          <cell r="H3029" t="str">
            <v>ALTAMAR</v>
          </cell>
          <cell r="I3029">
            <v>9.5760000000000005</v>
          </cell>
        </row>
        <row r="3030">
          <cell r="A3030" t="str">
            <v>19-03029</v>
          </cell>
          <cell r="B3030" t="str">
            <v>ORKHON GROUP</v>
          </cell>
          <cell r="C3030" t="str">
            <v>A</v>
          </cell>
          <cell r="D3030" t="str">
            <v>N/A</v>
          </cell>
          <cell r="E3030" t="str">
            <v>A1503-152 ALTAMAR COLLAR</v>
          </cell>
          <cell r="F3030" t="str">
            <v>COLLAR</v>
          </cell>
          <cell r="G3030" t="str">
            <v>A1503-152</v>
          </cell>
          <cell r="H3030" t="str">
            <v>ALTAMAR</v>
          </cell>
          <cell r="I3030">
            <v>9.5760000000000005</v>
          </cell>
        </row>
        <row r="3031">
          <cell r="A3031" t="str">
            <v>19-03030</v>
          </cell>
          <cell r="B3031" t="str">
            <v>ORKHON GROUP</v>
          </cell>
          <cell r="C3031" t="str">
            <v>A</v>
          </cell>
          <cell r="D3031" t="str">
            <v>N/A</v>
          </cell>
          <cell r="E3031" t="str">
            <v>A1503-155 ALTAMAR COLLAR</v>
          </cell>
          <cell r="F3031" t="str">
            <v>COLLAR</v>
          </cell>
          <cell r="G3031" t="str">
            <v>A1503-155</v>
          </cell>
          <cell r="H3031" t="str">
            <v>ALTAMAR</v>
          </cell>
          <cell r="I3031">
            <v>6.9109999999999996</v>
          </cell>
        </row>
        <row r="3032">
          <cell r="A3032" t="str">
            <v>19-03031</v>
          </cell>
          <cell r="B3032" t="str">
            <v>ORKHON GROUP</v>
          </cell>
          <cell r="C3032" t="str">
            <v>A</v>
          </cell>
          <cell r="D3032" t="str">
            <v>N/A</v>
          </cell>
          <cell r="E3032" t="str">
            <v>A1503-159 ALTAMAR COLLAR</v>
          </cell>
          <cell r="F3032" t="str">
            <v>COLLAR</v>
          </cell>
          <cell r="G3032" t="str">
            <v>A1503-159</v>
          </cell>
          <cell r="H3032" t="str">
            <v>ALTAMAR</v>
          </cell>
          <cell r="I3032">
            <v>8.6880000000000006</v>
          </cell>
        </row>
        <row r="3033">
          <cell r="A3033" t="str">
            <v>19-03032</v>
          </cell>
          <cell r="B3033" t="str">
            <v>ORKHON GROUP</v>
          </cell>
          <cell r="C3033" t="str">
            <v>A</v>
          </cell>
          <cell r="D3033" t="str">
            <v>N/A</v>
          </cell>
          <cell r="E3033" t="str">
            <v>A1503-168 ALTAMAR COLLAR</v>
          </cell>
          <cell r="F3033" t="str">
            <v>COLLAR</v>
          </cell>
          <cell r="G3033" t="str">
            <v>A1503-168</v>
          </cell>
          <cell r="H3033" t="str">
            <v>ALTAMAR</v>
          </cell>
          <cell r="I3033">
            <v>8.6880000000000006</v>
          </cell>
        </row>
        <row r="3034">
          <cell r="A3034" t="str">
            <v>19-03033</v>
          </cell>
          <cell r="B3034" t="str">
            <v>ORKHON GROUP</v>
          </cell>
          <cell r="C3034" t="str">
            <v>A</v>
          </cell>
          <cell r="D3034" t="str">
            <v>N/A</v>
          </cell>
          <cell r="E3034" t="str">
            <v>A1503-137 ALTAMAR COLLAR</v>
          </cell>
          <cell r="F3034" t="str">
            <v>COLLAR</v>
          </cell>
          <cell r="G3034" t="str">
            <v>A1503-137</v>
          </cell>
          <cell r="H3034" t="str">
            <v>ALTAMAR</v>
          </cell>
          <cell r="I3034">
            <v>9.5760000000000005</v>
          </cell>
        </row>
        <row r="3035">
          <cell r="A3035" t="str">
            <v>19-03034</v>
          </cell>
          <cell r="B3035" t="str">
            <v>ORKHON GROUP</v>
          </cell>
          <cell r="C3035" t="str">
            <v>A</v>
          </cell>
          <cell r="D3035" t="str">
            <v>N/A</v>
          </cell>
          <cell r="E3035" t="str">
            <v>A1503-154 ALTAMAR COLLAR</v>
          </cell>
          <cell r="F3035" t="str">
            <v>COLLAR</v>
          </cell>
          <cell r="G3035" t="str">
            <v>A1503-154</v>
          </cell>
          <cell r="H3035" t="str">
            <v>ALTAMAR</v>
          </cell>
          <cell r="I3035">
            <v>9.8719999999999999</v>
          </cell>
        </row>
        <row r="3036">
          <cell r="A3036" t="str">
            <v>19-03035</v>
          </cell>
          <cell r="B3036" t="str">
            <v>ORKHON GROUP</v>
          </cell>
          <cell r="C3036" t="str">
            <v>A</v>
          </cell>
          <cell r="D3036" t="str">
            <v>N/A</v>
          </cell>
          <cell r="E3036" t="str">
            <v>A1503-169 ALTAMAR COLLAR</v>
          </cell>
          <cell r="F3036" t="str">
            <v>COLLAR</v>
          </cell>
          <cell r="G3036" t="str">
            <v>A1503-169</v>
          </cell>
          <cell r="H3036" t="str">
            <v>ALTAMAR</v>
          </cell>
          <cell r="I3036">
            <v>7.8979999999999997</v>
          </cell>
        </row>
        <row r="3037">
          <cell r="A3037" t="str">
            <v>19-03036</v>
          </cell>
          <cell r="B3037" t="str">
            <v>ORKHON GROUP</v>
          </cell>
          <cell r="C3037" t="str">
            <v>A</v>
          </cell>
          <cell r="D3037" t="str">
            <v>N/A</v>
          </cell>
          <cell r="E3037" t="str">
            <v>A1503-196 ALTAMAR ARETES</v>
          </cell>
          <cell r="F3037" t="str">
            <v>PENDIENTE</v>
          </cell>
          <cell r="G3037" t="str">
            <v>A1503-196</v>
          </cell>
          <cell r="H3037" t="str">
            <v>ALTAMAR</v>
          </cell>
          <cell r="I3037">
            <v>6.9089999999999998</v>
          </cell>
        </row>
        <row r="3038">
          <cell r="A3038" t="str">
            <v>19-03037</v>
          </cell>
          <cell r="B3038" t="str">
            <v>ORKHON GROUP</v>
          </cell>
          <cell r="C3038" t="str">
            <v>A</v>
          </cell>
          <cell r="D3038" t="str">
            <v>N/A</v>
          </cell>
          <cell r="E3038" t="str">
            <v>A1503-207 ALTAMAR PULSERAS</v>
          </cell>
          <cell r="F3038" t="str">
            <v>PULSERA</v>
          </cell>
          <cell r="G3038" t="str">
            <v>A1503-207</v>
          </cell>
          <cell r="H3038" t="str">
            <v>ALTAMAR</v>
          </cell>
          <cell r="I3038">
            <v>7.6050000000000004</v>
          </cell>
        </row>
        <row r="3039">
          <cell r="A3039" t="str">
            <v>19-03038</v>
          </cell>
          <cell r="B3039" t="str">
            <v>ORKHON GROUP</v>
          </cell>
          <cell r="C3039" t="str">
            <v>A</v>
          </cell>
          <cell r="D3039" t="str">
            <v>N/A</v>
          </cell>
          <cell r="E3039" t="str">
            <v>A1503-212 ALTAMAR PULSERAS</v>
          </cell>
          <cell r="F3039" t="str">
            <v>PULSERA</v>
          </cell>
          <cell r="G3039" t="str">
            <v>A1503-212</v>
          </cell>
          <cell r="H3039" t="str">
            <v>ALTAMAR</v>
          </cell>
          <cell r="I3039">
            <v>8.8819999999999997</v>
          </cell>
        </row>
        <row r="3040">
          <cell r="A3040" t="str">
            <v>19-03039</v>
          </cell>
          <cell r="B3040" t="str">
            <v>ORKHON GROUP</v>
          </cell>
          <cell r="C3040" t="str">
            <v>A</v>
          </cell>
          <cell r="D3040" t="str">
            <v>N/A</v>
          </cell>
          <cell r="E3040" t="str">
            <v>A1503-216 ALTAMAR PULSERAS CLOE</v>
          </cell>
          <cell r="F3040" t="str">
            <v>PULSERA</v>
          </cell>
          <cell r="G3040" t="str">
            <v>A1503-216</v>
          </cell>
          <cell r="H3040" t="str">
            <v>ALTAMAR</v>
          </cell>
          <cell r="I3040">
            <v>6.9089999999999998</v>
          </cell>
        </row>
        <row r="3041">
          <cell r="A3041" t="str">
            <v>19-03040</v>
          </cell>
          <cell r="B3041" t="str">
            <v>ORKHON GROUP</v>
          </cell>
          <cell r="C3041" t="str">
            <v>A</v>
          </cell>
          <cell r="D3041" t="str">
            <v>N/A</v>
          </cell>
          <cell r="E3041" t="str">
            <v>A1503-217 ALTAMAR PULSERAS</v>
          </cell>
          <cell r="F3041" t="str">
            <v>PULSERA</v>
          </cell>
          <cell r="G3041" t="str">
            <v>A1503-217</v>
          </cell>
          <cell r="H3041" t="str">
            <v>ALTAMAR</v>
          </cell>
          <cell r="I3041">
            <v>7.6050000000000004</v>
          </cell>
        </row>
        <row r="3042">
          <cell r="A3042" t="str">
            <v>19-03041</v>
          </cell>
          <cell r="B3042" t="str">
            <v>ORKHON GROUP</v>
          </cell>
          <cell r="C3042" t="str">
            <v>A</v>
          </cell>
          <cell r="D3042" t="str">
            <v>N/A</v>
          </cell>
          <cell r="E3042" t="str">
            <v>A1503-224 ALTAMAR PULSERAS CLOE</v>
          </cell>
          <cell r="F3042" t="str">
            <v>PULSERA</v>
          </cell>
          <cell r="G3042" t="str">
            <v>A1503-224</v>
          </cell>
          <cell r="H3042" t="str">
            <v>ALTAMAR</v>
          </cell>
          <cell r="I3042">
            <v>4.9349999999999996</v>
          </cell>
        </row>
        <row r="3043">
          <cell r="A3043" t="str">
            <v>19-03042</v>
          </cell>
          <cell r="B3043" t="str">
            <v>ORKHON GROUP</v>
          </cell>
          <cell r="C3043" t="str">
            <v>A</v>
          </cell>
          <cell r="D3043" t="str">
            <v>N/A</v>
          </cell>
          <cell r="E3043" t="str">
            <v>A1503-226 ALTAMAR PULSERAS CLOE</v>
          </cell>
          <cell r="F3043" t="str">
            <v>PULSERA</v>
          </cell>
          <cell r="G3043" t="str">
            <v>A1503-226</v>
          </cell>
          <cell r="H3043" t="str">
            <v>ALTAMAR</v>
          </cell>
          <cell r="I3043">
            <v>5</v>
          </cell>
        </row>
        <row r="3044">
          <cell r="A3044" t="str">
            <v>19-03043</v>
          </cell>
          <cell r="B3044" t="str">
            <v>ORKHON GROUP</v>
          </cell>
          <cell r="C3044" t="str">
            <v>A</v>
          </cell>
          <cell r="D3044" t="str">
            <v>N/A</v>
          </cell>
          <cell r="E3044" t="str">
            <v>A1503-227 ALTAMAR PULSERAS CLOE</v>
          </cell>
          <cell r="F3044" t="str">
            <v>PULSERA</v>
          </cell>
          <cell r="G3044" t="str">
            <v>A1503-227</v>
          </cell>
          <cell r="H3044" t="str">
            <v>ALTAMAR</v>
          </cell>
          <cell r="I3044">
            <v>5</v>
          </cell>
        </row>
        <row r="3045">
          <cell r="A3045" t="str">
            <v>19-03044</v>
          </cell>
          <cell r="B3045" t="str">
            <v>ORKHON GROUP</v>
          </cell>
          <cell r="C3045" t="str">
            <v>A</v>
          </cell>
          <cell r="D3045" t="str">
            <v>N/A</v>
          </cell>
          <cell r="E3045" t="str">
            <v>A1503-229 ALTAMAR PULSERAS CLOE</v>
          </cell>
          <cell r="F3045" t="str">
            <v>PULSERA</v>
          </cell>
          <cell r="G3045" t="str">
            <v>A1503-229</v>
          </cell>
          <cell r="H3045" t="str">
            <v>ALTAMAR</v>
          </cell>
          <cell r="I3045">
            <v>6</v>
          </cell>
        </row>
        <row r="3046">
          <cell r="A3046" t="str">
            <v>19-03045</v>
          </cell>
          <cell r="B3046" t="str">
            <v>ORKHON GROUP</v>
          </cell>
          <cell r="C3046" t="str">
            <v>A</v>
          </cell>
          <cell r="D3046" t="str">
            <v>N/A</v>
          </cell>
          <cell r="E3046" t="str">
            <v>A1503-230 ALTAMAR PULSERAS CLOE</v>
          </cell>
          <cell r="F3046" t="str">
            <v>PULSERA</v>
          </cell>
          <cell r="G3046" t="str">
            <v>A1503-230</v>
          </cell>
          <cell r="H3046" t="str">
            <v>ALTAMAR</v>
          </cell>
          <cell r="I3046">
            <v>3</v>
          </cell>
        </row>
        <row r="3047">
          <cell r="A3047" t="str">
            <v>19-03046</v>
          </cell>
          <cell r="B3047" t="str">
            <v>ORKHON GROUP</v>
          </cell>
          <cell r="C3047" t="str">
            <v>A</v>
          </cell>
          <cell r="D3047" t="str">
            <v>N/A</v>
          </cell>
          <cell r="E3047" t="str">
            <v>A1503-231 ALTAMAR PULSERAS CLOE</v>
          </cell>
          <cell r="F3047" t="str">
            <v>PULSERA</v>
          </cell>
          <cell r="G3047" t="str">
            <v>A1503-231</v>
          </cell>
          <cell r="H3047" t="str">
            <v>ALTAMAR</v>
          </cell>
          <cell r="I3047">
            <v>3</v>
          </cell>
        </row>
        <row r="3048">
          <cell r="A3048" t="str">
            <v>19-03047</v>
          </cell>
          <cell r="B3048" t="str">
            <v>ORKHON GROUP</v>
          </cell>
          <cell r="C3048" t="str">
            <v>A</v>
          </cell>
          <cell r="D3048" t="str">
            <v>N/A</v>
          </cell>
          <cell r="E3048" t="str">
            <v>A1503-233 ALTAMAR PULSERAS CLOE</v>
          </cell>
          <cell r="F3048" t="str">
            <v>PULSERA</v>
          </cell>
          <cell r="G3048" t="str">
            <v>A1503-233</v>
          </cell>
          <cell r="H3048" t="str">
            <v>ALTAMAR</v>
          </cell>
          <cell r="I3048">
            <v>2.9609999999999999</v>
          </cell>
        </row>
        <row r="3049">
          <cell r="A3049" t="str">
            <v>19-03048</v>
          </cell>
          <cell r="B3049" t="str">
            <v>ORKHON GROUP</v>
          </cell>
          <cell r="C3049" t="str">
            <v>A</v>
          </cell>
          <cell r="D3049" t="str">
            <v>N/A</v>
          </cell>
          <cell r="E3049" t="str">
            <v>A1503-234 ALTAMAR PULSERAS CLOE</v>
          </cell>
          <cell r="F3049" t="str">
            <v>PULSERA</v>
          </cell>
          <cell r="G3049" t="str">
            <v>A1503-234</v>
          </cell>
          <cell r="H3049" t="str">
            <v>ALTAMAR</v>
          </cell>
          <cell r="I3049">
            <v>2.9609999999999999</v>
          </cell>
        </row>
        <row r="3050">
          <cell r="A3050" t="str">
            <v>19-03049</v>
          </cell>
          <cell r="B3050" t="str">
            <v>ORKHON GROUP</v>
          </cell>
          <cell r="C3050" t="str">
            <v>A</v>
          </cell>
          <cell r="D3050" t="str">
            <v>N/A</v>
          </cell>
          <cell r="E3050" t="str">
            <v>A1503-106 ALTAMAR ARETE</v>
          </cell>
          <cell r="F3050" t="str">
            <v>PENDIENTE</v>
          </cell>
          <cell r="G3050" t="str">
            <v>A1503-106</v>
          </cell>
          <cell r="H3050" t="str">
            <v>ALTAMAR</v>
          </cell>
          <cell r="I3050">
            <v>6</v>
          </cell>
        </row>
        <row r="3051">
          <cell r="A3051" t="str">
            <v>19-03050</v>
          </cell>
          <cell r="B3051" t="str">
            <v>ORKHON GROUP</v>
          </cell>
          <cell r="C3051" t="str">
            <v>A</v>
          </cell>
          <cell r="D3051" t="str">
            <v>N/A</v>
          </cell>
          <cell r="E3051" t="str">
            <v>A1503-107 ALTAMAR ARETE</v>
          </cell>
          <cell r="F3051" t="str">
            <v>PENDIENTE</v>
          </cell>
          <cell r="G3051" t="str">
            <v>A1503-107</v>
          </cell>
          <cell r="H3051" t="str">
            <v>ALTAMAR</v>
          </cell>
          <cell r="I3051">
            <v>6</v>
          </cell>
        </row>
        <row r="3052">
          <cell r="A3052" t="str">
            <v>19-03051</v>
          </cell>
          <cell r="B3052" t="str">
            <v>ORKHON GROUP</v>
          </cell>
          <cell r="C3052" t="str">
            <v>A</v>
          </cell>
          <cell r="D3052" t="str">
            <v>N/A</v>
          </cell>
          <cell r="E3052" t="str">
            <v>A1503-110 ALTAMAR ARETE</v>
          </cell>
          <cell r="F3052" t="str">
            <v>PENDIENTE</v>
          </cell>
          <cell r="G3052" t="str">
            <v>A1503-110</v>
          </cell>
          <cell r="H3052" t="str">
            <v>ALTAMAR</v>
          </cell>
          <cell r="I3052">
            <v>6</v>
          </cell>
        </row>
        <row r="3053">
          <cell r="A3053" t="str">
            <v>19-03052</v>
          </cell>
          <cell r="B3053" t="str">
            <v>ORKHON GROUP</v>
          </cell>
          <cell r="C3053" t="str">
            <v>A</v>
          </cell>
          <cell r="D3053" t="str">
            <v>N/A</v>
          </cell>
          <cell r="E3053" t="str">
            <v>A1503-120 ALTAMAR PULSERA CLOE</v>
          </cell>
          <cell r="F3053" t="str">
            <v>PULSERA</v>
          </cell>
          <cell r="G3053" t="str">
            <v>A1503-120</v>
          </cell>
          <cell r="H3053" t="str">
            <v>ALTAMAR</v>
          </cell>
          <cell r="I3053">
            <v>2.472</v>
          </cell>
        </row>
        <row r="3054">
          <cell r="A3054" t="str">
            <v>19-03053</v>
          </cell>
          <cell r="B3054" t="str">
            <v>ORKHON GROUP</v>
          </cell>
          <cell r="C3054" t="str">
            <v>A</v>
          </cell>
          <cell r="D3054" t="str">
            <v>N/A</v>
          </cell>
          <cell r="E3054" t="str">
            <v>A1503-121 ALTAMAR PULSERA CLOE</v>
          </cell>
          <cell r="F3054" t="str">
            <v>PULSERA</v>
          </cell>
          <cell r="G3054" t="str">
            <v>A1503-121</v>
          </cell>
          <cell r="H3054" t="str">
            <v>ALTAMAR</v>
          </cell>
          <cell r="I3054">
            <v>2.9609999999999999</v>
          </cell>
        </row>
        <row r="3055">
          <cell r="A3055" t="str">
            <v>19-03054</v>
          </cell>
          <cell r="B3055" t="str">
            <v>ORKHON GROUP</v>
          </cell>
          <cell r="C3055" t="str">
            <v>A</v>
          </cell>
          <cell r="D3055" t="str">
            <v>N/A</v>
          </cell>
          <cell r="E3055" t="str">
            <v>A1503-122 ALTAMAR PULSERA CLOE</v>
          </cell>
          <cell r="F3055" t="str">
            <v>PULSERA</v>
          </cell>
          <cell r="G3055" t="str">
            <v>A1503-122</v>
          </cell>
          <cell r="H3055" t="str">
            <v>ALTAMAR</v>
          </cell>
          <cell r="I3055">
            <v>2.472</v>
          </cell>
        </row>
        <row r="3056">
          <cell r="A3056" t="str">
            <v>19-03055</v>
          </cell>
          <cell r="B3056" t="str">
            <v>ORKHON GROUP</v>
          </cell>
          <cell r="C3056" t="str">
            <v>A</v>
          </cell>
          <cell r="D3056" t="str">
            <v>N/A</v>
          </cell>
          <cell r="E3056" t="str">
            <v>A1503-123 ALTAMAR PULSERA CLOE</v>
          </cell>
          <cell r="F3056" t="str">
            <v>PULSERA</v>
          </cell>
          <cell r="G3056" t="str">
            <v>A1503-123</v>
          </cell>
          <cell r="H3056" t="str">
            <v>ALTAMAR</v>
          </cell>
          <cell r="I3056">
            <v>1.974</v>
          </cell>
        </row>
        <row r="3057">
          <cell r="A3057" t="str">
            <v>19-03056</v>
          </cell>
          <cell r="B3057" t="str">
            <v>ORKHON GROUP</v>
          </cell>
          <cell r="C3057" t="str">
            <v>A</v>
          </cell>
          <cell r="D3057" t="str">
            <v>N/A</v>
          </cell>
          <cell r="E3057" t="str">
            <v>A1503-124 ALTAMAR PULSERA COE</v>
          </cell>
          <cell r="F3057" t="str">
            <v>PULSERA</v>
          </cell>
          <cell r="G3057" t="str">
            <v>A1503-124</v>
          </cell>
          <cell r="H3057" t="str">
            <v>ALTAMAR</v>
          </cell>
          <cell r="I3057">
            <v>1.974</v>
          </cell>
        </row>
        <row r="3058">
          <cell r="A3058" t="str">
            <v>19-03057</v>
          </cell>
          <cell r="B3058" t="str">
            <v>ORKHON GROUP</v>
          </cell>
          <cell r="C3058" t="str">
            <v>A</v>
          </cell>
          <cell r="D3058" t="str">
            <v>N/A</v>
          </cell>
          <cell r="E3058" t="str">
            <v>A1503-125 ALTAMAR PULSERA CLOE</v>
          </cell>
          <cell r="F3058" t="str">
            <v>PULSERA</v>
          </cell>
          <cell r="G3058" t="str">
            <v>A1503-125</v>
          </cell>
          <cell r="H3058" t="str">
            <v>ALTAMAR</v>
          </cell>
          <cell r="I3058">
            <v>1.974</v>
          </cell>
        </row>
        <row r="3059">
          <cell r="A3059" t="str">
            <v>19-03058</v>
          </cell>
          <cell r="B3059" t="str">
            <v>ORKHON GROUP</v>
          </cell>
          <cell r="C3059" t="str">
            <v>A</v>
          </cell>
          <cell r="D3059" t="str">
            <v>N/A</v>
          </cell>
          <cell r="E3059" t="str">
            <v>A1503-126 ALTAMAR PULSERA CLOE</v>
          </cell>
          <cell r="F3059" t="str">
            <v>PULSERA</v>
          </cell>
          <cell r="G3059" t="str">
            <v>A1503-126</v>
          </cell>
          <cell r="H3059" t="str">
            <v>ALTAMAR</v>
          </cell>
          <cell r="I3059">
            <v>1.974</v>
          </cell>
        </row>
        <row r="3060">
          <cell r="A3060" t="str">
            <v>19-03059</v>
          </cell>
          <cell r="B3060" t="str">
            <v>ORKHON GROUP</v>
          </cell>
          <cell r="C3060" t="str">
            <v>A</v>
          </cell>
          <cell r="D3060" t="str">
            <v>N/A</v>
          </cell>
          <cell r="E3060" t="str">
            <v>A1503-126 ALTAMAR PULSERA CLOE</v>
          </cell>
          <cell r="F3060" t="str">
            <v>PULSERA</v>
          </cell>
          <cell r="G3060" t="str">
            <v>A1503-126</v>
          </cell>
          <cell r="H3060" t="str">
            <v>ALTAMAR</v>
          </cell>
          <cell r="I3060">
            <v>0</v>
          </cell>
        </row>
        <row r="3061">
          <cell r="A3061" t="str">
            <v>19-03060</v>
          </cell>
          <cell r="B3061" t="str">
            <v>ORKHON GROUP</v>
          </cell>
          <cell r="C3061" t="str">
            <v>A</v>
          </cell>
          <cell r="D3061" t="str">
            <v>N/A</v>
          </cell>
          <cell r="E3061" t="str">
            <v>A1503-252 ALTAMAR PULSERA CLOE</v>
          </cell>
          <cell r="F3061" t="str">
            <v>PULSERA</v>
          </cell>
          <cell r="G3061" t="str">
            <v>A1503-252</v>
          </cell>
          <cell r="H3061" t="str">
            <v>ALTAMAR</v>
          </cell>
          <cell r="I3061">
            <v>4.9349999999999996</v>
          </cell>
        </row>
        <row r="3062">
          <cell r="A3062" t="str">
            <v>19-03061</v>
          </cell>
          <cell r="B3062" t="str">
            <v>ORKHON GROUP</v>
          </cell>
          <cell r="C3062" t="str">
            <v>A</v>
          </cell>
          <cell r="D3062" t="str">
            <v>N/A</v>
          </cell>
          <cell r="E3062" t="str">
            <v>A1503-253 ALTAMAR PULSERA CLOE</v>
          </cell>
          <cell r="F3062" t="str">
            <v>PULSERA</v>
          </cell>
          <cell r="G3062" t="str">
            <v>A1503-253</v>
          </cell>
          <cell r="H3062" t="str">
            <v>ALTAMAR</v>
          </cell>
          <cell r="I3062">
            <v>3.948</v>
          </cell>
        </row>
        <row r="3063">
          <cell r="A3063" t="str">
            <v>19-03062</v>
          </cell>
          <cell r="B3063" t="str">
            <v>ORKHON GROUP</v>
          </cell>
          <cell r="C3063" t="str">
            <v>A</v>
          </cell>
          <cell r="D3063" t="str">
            <v>N/A</v>
          </cell>
          <cell r="E3063" t="str">
            <v>A1503-254 ALTAMAR PULSERA CLOE</v>
          </cell>
          <cell r="F3063" t="str">
            <v>PULSERA</v>
          </cell>
          <cell r="G3063" t="str">
            <v>A1503-254</v>
          </cell>
          <cell r="H3063" t="str">
            <v>ALTAMAR</v>
          </cell>
          <cell r="I3063">
            <v>3.948</v>
          </cell>
        </row>
        <row r="3064">
          <cell r="A3064" t="str">
            <v>19-03063</v>
          </cell>
          <cell r="B3064" t="str">
            <v>ORKHON GROUP</v>
          </cell>
          <cell r="C3064" t="str">
            <v>A</v>
          </cell>
          <cell r="D3064" t="str">
            <v>N/A</v>
          </cell>
          <cell r="E3064" t="str">
            <v>A1503-255 ALTAMAR PULSERA CLOE</v>
          </cell>
          <cell r="F3064" t="str">
            <v>PULSERA</v>
          </cell>
          <cell r="G3064" t="str">
            <v>A1503-255</v>
          </cell>
          <cell r="H3064" t="str">
            <v>ALTAMAR</v>
          </cell>
          <cell r="I3064">
            <v>3.948</v>
          </cell>
        </row>
        <row r="3065">
          <cell r="A3065" t="str">
            <v>19-03064</v>
          </cell>
          <cell r="B3065" t="str">
            <v>ORKHON GROUP</v>
          </cell>
          <cell r="C3065" t="str">
            <v>A</v>
          </cell>
          <cell r="D3065" t="str">
            <v>N/A</v>
          </cell>
          <cell r="E3065" t="str">
            <v>A1503-256 ALTAMAR PULSERA CLOE</v>
          </cell>
          <cell r="F3065" t="str">
            <v>PULSERA</v>
          </cell>
          <cell r="G3065" t="str">
            <v>A1503-256</v>
          </cell>
          <cell r="H3065" t="str">
            <v>ALTAMAR</v>
          </cell>
          <cell r="I3065">
            <v>3.948</v>
          </cell>
        </row>
        <row r="3066">
          <cell r="A3066" t="str">
            <v>19-03065</v>
          </cell>
          <cell r="B3066" t="str">
            <v>ORKHON GROUP</v>
          </cell>
          <cell r="C3066" t="str">
            <v>A</v>
          </cell>
          <cell r="D3066" t="str">
            <v>N/A</v>
          </cell>
          <cell r="E3066" t="str">
            <v>A1503-257 ALTAMAR PULSERA CLOE</v>
          </cell>
          <cell r="F3066" t="str">
            <v>PULSERA</v>
          </cell>
          <cell r="G3066" t="str">
            <v>A1503-257</v>
          </cell>
          <cell r="H3066" t="str">
            <v>ALTAMAR</v>
          </cell>
          <cell r="I3066">
            <v>3.948</v>
          </cell>
        </row>
        <row r="3067">
          <cell r="A3067" t="str">
            <v>19-03066</v>
          </cell>
          <cell r="B3067" t="str">
            <v>ORKHON GROUP</v>
          </cell>
          <cell r="C3067" t="str">
            <v>A</v>
          </cell>
          <cell r="D3067" t="str">
            <v>N/A</v>
          </cell>
          <cell r="E3067" t="str">
            <v>A1503-258 ALTAMAR PULSERA CLOE</v>
          </cell>
          <cell r="F3067" t="str">
            <v>PULSERA</v>
          </cell>
          <cell r="G3067" t="str">
            <v>A1503-258</v>
          </cell>
          <cell r="H3067" t="str">
            <v>ALTAMAR</v>
          </cell>
          <cell r="I3067">
            <v>6.42</v>
          </cell>
        </row>
        <row r="3068">
          <cell r="A3068" t="str">
            <v>19-03067</v>
          </cell>
          <cell r="B3068" t="str">
            <v>ORKHON GROUP</v>
          </cell>
          <cell r="C3068" t="str">
            <v>A</v>
          </cell>
          <cell r="D3068" t="str">
            <v>N/A</v>
          </cell>
          <cell r="E3068" t="str">
            <v>A1503-259 ALTAMAR PULSERA CLOE</v>
          </cell>
          <cell r="F3068" t="str">
            <v>PULSERA</v>
          </cell>
          <cell r="G3068" t="str">
            <v>A1503-259</v>
          </cell>
          <cell r="H3068" t="str">
            <v>ALTAMAR</v>
          </cell>
          <cell r="I3068">
            <v>6.42</v>
          </cell>
        </row>
        <row r="3069">
          <cell r="A3069" t="str">
            <v>19-03068</v>
          </cell>
          <cell r="B3069" t="str">
            <v>ORKHON GROUP</v>
          </cell>
          <cell r="C3069" t="str">
            <v>A</v>
          </cell>
          <cell r="D3069" t="str">
            <v>N/A</v>
          </cell>
          <cell r="E3069" t="str">
            <v>A1503-260 ALTAMAR PULSERA CLOE</v>
          </cell>
          <cell r="F3069" t="str">
            <v>PULSERA</v>
          </cell>
          <cell r="G3069" t="str">
            <v>A1503-260</v>
          </cell>
          <cell r="H3069" t="str">
            <v>ALTAMAR</v>
          </cell>
          <cell r="I3069">
            <v>3.4590000000000001</v>
          </cell>
        </row>
        <row r="3070">
          <cell r="A3070" t="str">
            <v>19-03069</v>
          </cell>
          <cell r="B3070" t="str">
            <v>ORKHON GROUP</v>
          </cell>
          <cell r="C3070" t="str">
            <v>A</v>
          </cell>
          <cell r="D3070" t="str">
            <v>N/A</v>
          </cell>
          <cell r="E3070" t="str">
            <v>A1503-261 ALTAMAR PULSERA CLOE</v>
          </cell>
          <cell r="F3070" t="str">
            <v>PULSERA</v>
          </cell>
          <cell r="G3070" t="str">
            <v>A1503-261</v>
          </cell>
          <cell r="H3070" t="str">
            <v>ALTAMAR</v>
          </cell>
          <cell r="I3070">
            <v>2.9609999999999999</v>
          </cell>
        </row>
        <row r="3071">
          <cell r="A3071" t="str">
            <v>19-03070</v>
          </cell>
          <cell r="B3071" t="str">
            <v>ORKHON GROUP</v>
          </cell>
          <cell r="C3071" t="str">
            <v>A</v>
          </cell>
          <cell r="D3071" t="str">
            <v>N/A</v>
          </cell>
          <cell r="E3071" t="str">
            <v>A1503-262 ALTAMAR PULSERA CLOE</v>
          </cell>
          <cell r="F3071" t="str">
            <v>PULSERA</v>
          </cell>
          <cell r="G3071" t="str">
            <v>A1503-262</v>
          </cell>
          <cell r="H3071" t="str">
            <v>ALTAMAR</v>
          </cell>
          <cell r="I3071">
            <v>5.9219999999999997</v>
          </cell>
        </row>
        <row r="3072">
          <cell r="A3072" t="str">
            <v>19-03071</v>
          </cell>
          <cell r="B3072" t="str">
            <v>ORKHON GROUP</v>
          </cell>
          <cell r="C3072" t="str">
            <v>A</v>
          </cell>
          <cell r="D3072" t="str">
            <v>N/A</v>
          </cell>
          <cell r="E3072" t="str">
            <v>C1503-64 ALTAMAR CESTA</v>
          </cell>
          <cell r="F3072" t="str">
            <v>BOLSO</v>
          </cell>
          <cell r="G3072" t="str">
            <v>C1503-64</v>
          </cell>
          <cell r="H3072" t="str">
            <v>ALTAMAR</v>
          </cell>
          <cell r="I3072">
            <v>3.948</v>
          </cell>
        </row>
        <row r="3073">
          <cell r="A3073" t="str">
            <v>19-03072</v>
          </cell>
          <cell r="B3073" t="str">
            <v>ORKHON GROUP</v>
          </cell>
          <cell r="C3073" t="str">
            <v>A</v>
          </cell>
          <cell r="D3073" t="str">
            <v>N/A</v>
          </cell>
          <cell r="E3073" t="str">
            <v>C1503-63 ALTAMAR CESTA</v>
          </cell>
          <cell r="F3073" t="str">
            <v>BOLSO</v>
          </cell>
          <cell r="G3073" t="str">
            <v>C1503-63</v>
          </cell>
          <cell r="H3073" t="str">
            <v>ALTAMAR</v>
          </cell>
          <cell r="I3073">
            <v>3.948</v>
          </cell>
        </row>
        <row r="3074">
          <cell r="A3074" t="str">
            <v>19-03073</v>
          </cell>
          <cell r="B3074" t="str">
            <v>ORKHON GROUP</v>
          </cell>
          <cell r="C3074" t="str">
            <v>A</v>
          </cell>
          <cell r="D3074" t="str">
            <v>N/A</v>
          </cell>
          <cell r="E3074" t="str">
            <v>S1503-19 ALTAMAR SOMBRERO</v>
          </cell>
          <cell r="F3074" t="str">
            <v>SOMBRERO</v>
          </cell>
          <cell r="G3074" t="str">
            <v>S1503-19</v>
          </cell>
          <cell r="H3074" t="str">
            <v>ALTAMAR</v>
          </cell>
          <cell r="I3074">
            <v>6.42</v>
          </cell>
        </row>
        <row r="3075">
          <cell r="A3075" t="str">
            <v>19-03074</v>
          </cell>
          <cell r="B3075" t="str">
            <v>ORKHON GROUP</v>
          </cell>
          <cell r="C3075" t="str">
            <v>A</v>
          </cell>
          <cell r="D3075" t="str">
            <v>N/A</v>
          </cell>
          <cell r="E3075" t="str">
            <v>S1503-26 ALTAMAR SOMBRERO</v>
          </cell>
          <cell r="F3075" t="str">
            <v>SOMBRERO</v>
          </cell>
          <cell r="G3075" t="str">
            <v>S1503-26</v>
          </cell>
          <cell r="H3075" t="str">
            <v>ALTAMAR</v>
          </cell>
          <cell r="I3075">
            <v>10.368</v>
          </cell>
        </row>
        <row r="3076">
          <cell r="A3076" t="str">
            <v>19-03075</v>
          </cell>
          <cell r="B3076" t="str">
            <v>ORKHON GROUP</v>
          </cell>
          <cell r="C3076" t="str">
            <v>A</v>
          </cell>
          <cell r="D3076" t="str">
            <v>N/A</v>
          </cell>
          <cell r="E3076" t="str">
            <v>S1503-31 ALTAMAR SOMBRERO</v>
          </cell>
          <cell r="F3076" t="str">
            <v>SOMBRERO</v>
          </cell>
          <cell r="G3076" t="str">
            <v>S1503-31</v>
          </cell>
          <cell r="H3076" t="str">
            <v>ALTAMAR</v>
          </cell>
          <cell r="I3076">
            <v>7.8959999999999999</v>
          </cell>
        </row>
        <row r="3077">
          <cell r="A3077" t="str">
            <v>19-03076</v>
          </cell>
          <cell r="B3077" t="str">
            <v>ORKHON GROUP</v>
          </cell>
          <cell r="C3077" t="str">
            <v>A</v>
          </cell>
          <cell r="D3077" t="str">
            <v>N/A</v>
          </cell>
          <cell r="E3077" t="str">
            <v>S1503-33 ALTAMAR SOMBRERO</v>
          </cell>
          <cell r="F3077" t="str">
            <v>SOMBRERO</v>
          </cell>
          <cell r="G3077" t="str">
            <v>S1503-33</v>
          </cell>
          <cell r="H3077" t="str">
            <v>ALTAMAR</v>
          </cell>
          <cell r="I3077">
            <v>8.8829999999999991</v>
          </cell>
        </row>
        <row r="3078">
          <cell r="A3078" t="str">
            <v>19-03077</v>
          </cell>
          <cell r="B3078" t="str">
            <v>ORKHON GROUP</v>
          </cell>
          <cell r="C3078" t="str">
            <v>A</v>
          </cell>
          <cell r="D3078" t="str">
            <v>N/A</v>
          </cell>
          <cell r="E3078" t="str">
            <v>S1503-38 ALTAMAR SOMBRERO</v>
          </cell>
          <cell r="F3078" t="str">
            <v>SOMBRERO</v>
          </cell>
          <cell r="G3078" t="str">
            <v>S1503-38</v>
          </cell>
          <cell r="H3078" t="str">
            <v>ALTAMAR</v>
          </cell>
          <cell r="I3078">
            <v>8.8829999999999991</v>
          </cell>
        </row>
        <row r="3079">
          <cell r="A3079" t="str">
            <v>19-03078</v>
          </cell>
          <cell r="B3079" t="str">
            <v>ORKHON GROUP</v>
          </cell>
          <cell r="C3079" t="str">
            <v>A</v>
          </cell>
          <cell r="D3079" t="str">
            <v>N/A</v>
          </cell>
          <cell r="E3079" t="str">
            <v>S1503-39 ALTAMAR SOMBRERO</v>
          </cell>
          <cell r="F3079" t="str">
            <v>SOMBRERO</v>
          </cell>
          <cell r="G3079" t="str">
            <v>S1503-39</v>
          </cell>
          <cell r="H3079" t="str">
            <v>ALTAMAR</v>
          </cell>
          <cell r="I3079">
            <v>9.8699999999999992</v>
          </cell>
        </row>
        <row r="3080">
          <cell r="A3080" t="str">
            <v>19-03079</v>
          </cell>
          <cell r="B3080" t="str">
            <v>ORKHON GROUP</v>
          </cell>
          <cell r="C3080" t="str">
            <v>A</v>
          </cell>
          <cell r="D3080" t="str">
            <v>N/A</v>
          </cell>
          <cell r="E3080" t="str">
            <v>S1503-40 ALTAMAR SOMBRERO</v>
          </cell>
          <cell r="F3080" t="str">
            <v>SOMBRERO</v>
          </cell>
          <cell r="G3080" t="str">
            <v>S1503-40</v>
          </cell>
          <cell r="H3080" t="str">
            <v>ALTAMAR</v>
          </cell>
          <cell r="I3080">
            <v>8.8829999999999991</v>
          </cell>
        </row>
        <row r="3081">
          <cell r="A3081" t="str">
            <v>19-03080</v>
          </cell>
          <cell r="B3081" t="str">
            <v>ORKHON GROUP</v>
          </cell>
          <cell r="C3081" t="str">
            <v>A</v>
          </cell>
          <cell r="D3081" t="str">
            <v>N/A</v>
          </cell>
          <cell r="E3081" t="str">
            <v>S1503-45 ALTAMAR SOMBRERO</v>
          </cell>
          <cell r="F3081" t="str">
            <v>SOMBRERO</v>
          </cell>
          <cell r="G3081" t="str">
            <v>S1503-45</v>
          </cell>
          <cell r="H3081" t="str">
            <v>ALTAMAR</v>
          </cell>
          <cell r="I3081">
            <v>9.8699999999999992</v>
          </cell>
        </row>
        <row r="3082">
          <cell r="A3082" t="str">
            <v>19-03081</v>
          </cell>
          <cell r="B3082" t="str">
            <v>ORKHON GROUP</v>
          </cell>
          <cell r="C3082" t="str">
            <v>A</v>
          </cell>
          <cell r="D3082" t="str">
            <v>N/A</v>
          </cell>
          <cell r="E3082" t="str">
            <v>S1503-47 ALTAMAR SOMBRERO</v>
          </cell>
          <cell r="F3082" t="str">
            <v>SOMBRERO</v>
          </cell>
          <cell r="G3082" t="str">
            <v>S1503-47</v>
          </cell>
          <cell r="H3082" t="str">
            <v>ALTAMAR</v>
          </cell>
          <cell r="I3082">
            <v>9.8699999999999992</v>
          </cell>
        </row>
        <row r="3083">
          <cell r="A3083" t="str">
            <v>19-03082</v>
          </cell>
          <cell r="B3083" t="str">
            <v>ORKHON GROUP</v>
          </cell>
          <cell r="C3083" t="str">
            <v>A</v>
          </cell>
          <cell r="D3083" t="str">
            <v>N/A</v>
          </cell>
          <cell r="E3083" t="str">
            <v>S1503-48 ALTAMAR SOMBRERO</v>
          </cell>
          <cell r="F3083" t="str">
            <v>SOMBRERO</v>
          </cell>
          <cell r="G3083" t="str">
            <v>S1503-48</v>
          </cell>
          <cell r="H3083" t="str">
            <v>ALTAMAR</v>
          </cell>
          <cell r="I3083">
            <v>9.8699999999999992</v>
          </cell>
        </row>
        <row r="3084">
          <cell r="A3084" t="str">
            <v>19-03083</v>
          </cell>
          <cell r="B3084" t="str">
            <v>ORKHON GROUP</v>
          </cell>
          <cell r="C3084" t="str">
            <v>A</v>
          </cell>
          <cell r="D3084" t="str">
            <v>N/A</v>
          </cell>
          <cell r="E3084" t="str">
            <v>S1503-50 ALTAMAR SOMBRERO</v>
          </cell>
          <cell r="F3084" t="str">
            <v>SOMBRERO</v>
          </cell>
          <cell r="G3084" t="str">
            <v>S1503-50</v>
          </cell>
          <cell r="H3084" t="str">
            <v>ALTAMAR</v>
          </cell>
          <cell r="I3084">
            <v>8.8829999999999991</v>
          </cell>
        </row>
        <row r="3085">
          <cell r="A3085" t="str">
            <v>19-03084</v>
          </cell>
          <cell r="B3085" t="str">
            <v>ORKHON GROUP</v>
          </cell>
          <cell r="C3085" t="str">
            <v>A</v>
          </cell>
          <cell r="D3085" t="str">
            <v>N/A</v>
          </cell>
          <cell r="E3085" t="str">
            <v>S1503-51 ALTAMAR SOMBRERO</v>
          </cell>
          <cell r="F3085" t="str">
            <v>SOMBRERO</v>
          </cell>
          <cell r="G3085" t="str">
            <v>S1503-51</v>
          </cell>
          <cell r="H3085" t="str">
            <v>ALTAMAR</v>
          </cell>
          <cell r="I3085">
            <v>8.8849999999999998</v>
          </cell>
        </row>
        <row r="3086">
          <cell r="A3086" t="str">
            <v>19-03085</v>
          </cell>
          <cell r="B3086" t="str">
            <v>ORKHON GROUP</v>
          </cell>
          <cell r="C3086" t="str">
            <v>A</v>
          </cell>
          <cell r="D3086" t="str">
            <v>N/A</v>
          </cell>
          <cell r="E3086" t="str">
            <v>S1503-52 ALTAMAR SOMBRERO</v>
          </cell>
          <cell r="F3086" t="str">
            <v>SOMBRERO</v>
          </cell>
          <cell r="G3086" t="str">
            <v>S1503-52</v>
          </cell>
          <cell r="H3086" t="str">
            <v>ALTAMAR</v>
          </cell>
          <cell r="I3086">
            <v>8.8829999999999991</v>
          </cell>
        </row>
        <row r="3087">
          <cell r="A3087" t="str">
            <v>19-03086</v>
          </cell>
          <cell r="B3087" t="str">
            <v>ORKHON GROUP</v>
          </cell>
          <cell r="C3087" t="str">
            <v>A</v>
          </cell>
          <cell r="D3087" t="str">
            <v>N/A</v>
          </cell>
          <cell r="E3087" t="str">
            <v>S1503-53 ALTAMAR SOMBRERO</v>
          </cell>
          <cell r="F3087" t="str">
            <v>SOMBRERO</v>
          </cell>
          <cell r="G3087" t="str">
            <v>S1503-53</v>
          </cell>
          <cell r="H3087" t="str">
            <v>ALTAMAR</v>
          </cell>
          <cell r="I3087">
            <v>9.8699999999999992</v>
          </cell>
        </row>
        <row r="3088">
          <cell r="A3088" t="str">
            <v>19-03087</v>
          </cell>
          <cell r="B3088" t="str">
            <v>ORKHON GROUP</v>
          </cell>
          <cell r="C3088" t="str">
            <v>A</v>
          </cell>
          <cell r="D3088" t="str">
            <v>N/A</v>
          </cell>
          <cell r="E3088" t="str">
            <v>S1503-56 ALTAMAR SOMBRERO</v>
          </cell>
          <cell r="F3088" t="str">
            <v>SOMBRERO</v>
          </cell>
          <cell r="G3088" t="str">
            <v>S1503-56</v>
          </cell>
          <cell r="H3088" t="str">
            <v>ALTAMAR</v>
          </cell>
          <cell r="I3088">
            <v>9.3810000000000002</v>
          </cell>
        </row>
        <row r="3089">
          <cell r="A3089" t="str">
            <v>19-03088</v>
          </cell>
          <cell r="B3089" t="str">
            <v>ORKHON GROUP</v>
          </cell>
          <cell r="C3089" t="str">
            <v>A</v>
          </cell>
          <cell r="D3089" t="str">
            <v>N/A</v>
          </cell>
          <cell r="E3089" t="str">
            <v>S1503-58 ALTAMAR SOMBRERO</v>
          </cell>
          <cell r="F3089" t="str">
            <v>SOMBRERO</v>
          </cell>
          <cell r="G3089" t="str">
            <v>S1503-58</v>
          </cell>
          <cell r="H3089" t="str">
            <v>ALTAMAR</v>
          </cell>
          <cell r="I3089">
            <v>9.8699999999999992</v>
          </cell>
        </row>
        <row r="3090">
          <cell r="A3090" t="str">
            <v>19-03089</v>
          </cell>
          <cell r="B3090" t="str">
            <v>ORKHON GROUP</v>
          </cell>
          <cell r="C3090" t="str">
            <v>A</v>
          </cell>
          <cell r="D3090" t="str">
            <v>N/A</v>
          </cell>
          <cell r="E3090" t="str">
            <v>S1503-59 ALTAMAR SOMBRERO</v>
          </cell>
          <cell r="F3090" t="str">
            <v>SOMBRERO</v>
          </cell>
          <cell r="G3090" t="str">
            <v>S1503-59</v>
          </cell>
          <cell r="H3090" t="str">
            <v>ALTAMAR</v>
          </cell>
          <cell r="I3090">
            <v>9.8699999999999992</v>
          </cell>
        </row>
        <row r="3091">
          <cell r="A3091" t="str">
            <v>19-03090</v>
          </cell>
          <cell r="B3091" t="str">
            <v>ORKHON GROUP</v>
          </cell>
          <cell r="C3091" t="str">
            <v>A</v>
          </cell>
          <cell r="D3091" t="str">
            <v>N/A</v>
          </cell>
          <cell r="E3091" t="str">
            <v>S1503-60 ALTAMAR SOMBRERO</v>
          </cell>
          <cell r="F3091" t="str">
            <v>SOMBRERO</v>
          </cell>
          <cell r="G3091" t="str">
            <v>S1503-60</v>
          </cell>
          <cell r="H3091" t="str">
            <v>ALTAMAR</v>
          </cell>
          <cell r="I3091">
            <v>9.8699999999999992</v>
          </cell>
        </row>
        <row r="3092">
          <cell r="A3092" t="str">
            <v>19-03091</v>
          </cell>
          <cell r="B3092" t="str">
            <v>ORKHON GROUP</v>
          </cell>
          <cell r="C3092" t="str">
            <v>A</v>
          </cell>
          <cell r="D3092" t="str">
            <v>N/A</v>
          </cell>
          <cell r="E3092" t="str">
            <v>S1503-61 ALTAMAR SOMBRERO</v>
          </cell>
          <cell r="F3092" t="str">
            <v>SOMBRERO</v>
          </cell>
          <cell r="G3092" t="str">
            <v>S1503-61</v>
          </cell>
          <cell r="H3092" t="str">
            <v>ALTAMAR</v>
          </cell>
          <cell r="I3092">
            <v>9.8699999999999992</v>
          </cell>
        </row>
        <row r="3093">
          <cell r="A3093" t="str">
            <v>19-03092</v>
          </cell>
          <cell r="B3093" t="str">
            <v>ORKHON GROUP</v>
          </cell>
          <cell r="C3093" t="str">
            <v>A</v>
          </cell>
          <cell r="D3093" t="str">
            <v>N/A</v>
          </cell>
          <cell r="E3093" t="str">
            <v>S1503-62 ALTAMAR SOMBRERO</v>
          </cell>
          <cell r="F3093" t="str">
            <v>SOMBRERO</v>
          </cell>
          <cell r="G3093" t="str">
            <v>S1503-62</v>
          </cell>
          <cell r="H3093" t="str">
            <v>ALTAMAR</v>
          </cell>
          <cell r="I3093">
            <v>8.8829999999999991</v>
          </cell>
        </row>
        <row r="3094">
          <cell r="A3094" t="str">
            <v>19-03093</v>
          </cell>
          <cell r="B3094" t="str">
            <v>ORKHON GROUP</v>
          </cell>
          <cell r="C3094" t="str">
            <v>A</v>
          </cell>
          <cell r="D3094" t="str">
            <v>N/A</v>
          </cell>
          <cell r="E3094" t="str">
            <v>S1503-23 ALTAMAR SOMBRERO</v>
          </cell>
          <cell r="F3094" t="str">
            <v>SOMBRERO</v>
          </cell>
          <cell r="G3094" t="str">
            <v>S1503-23</v>
          </cell>
          <cell r="H3094" t="str">
            <v>ALTAMAR</v>
          </cell>
          <cell r="I3094">
            <v>10.368</v>
          </cell>
        </row>
        <row r="3095">
          <cell r="A3095" t="str">
            <v>19-03094</v>
          </cell>
          <cell r="B3095" t="str">
            <v>MOTTA INT.</v>
          </cell>
          <cell r="C3095" t="str">
            <v>P</v>
          </cell>
          <cell r="D3095" t="str">
            <v>N/A</v>
          </cell>
          <cell r="E3095" t="str">
            <v>IMATBBT71 MATTEL DORA AVENTURA EN PATINES</v>
          </cell>
          <cell r="F3095" t="str">
            <v>JUGUETES</v>
          </cell>
          <cell r="G3095" t="str">
            <v>IMATBBT71</v>
          </cell>
          <cell r="H3095" t="str">
            <v>MATTEL</v>
          </cell>
          <cell r="I3095">
            <v>32.65</v>
          </cell>
        </row>
        <row r="3096">
          <cell r="A3096" t="str">
            <v>19-03095</v>
          </cell>
          <cell r="B3096" t="str">
            <v>MOTTA INT.</v>
          </cell>
          <cell r="C3096" t="str">
            <v>D</v>
          </cell>
          <cell r="D3096" t="str">
            <v>N/A</v>
          </cell>
          <cell r="E3096" t="str">
            <v>IMATBBY78 MATTEL HOT WHEELS SURTIDO MUTANT MACHINES DISCONTINUED</v>
          </cell>
          <cell r="F3096" t="str">
            <v>JUGUETES</v>
          </cell>
          <cell r="G3096" t="str">
            <v>IMATBBY78</v>
          </cell>
          <cell r="H3096" t="str">
            <v>MATTEL</v>
          </cell>
          <cell r="I3096">
            <v>4.8499999999999996</v>
          </cell>
        </row>
        <row r="3097">
          <cell r="A3097" t="str">
            <v>19-03096</v>
          </cell>
          <cell r="B3097" t="str">
            <v>MOTTA INT.</v>
          </cell>
          <cell r="C3097" t="str">
            <v>P</v>
          </cell>
          <cell r="D3097" t="str">
            <v>N/A</v>
          </cell>
          <cell r="E3097" t="str">
            <v>IMATBCF33-0 MATTEL MONSTER HIGH DIARIO SECRETO</v>
          </cell>
          <cell r="F3097" t="str">
            <v>JUGUETES</v>
          </cell>
          <cell r="G3097" t="str">
            <v>IMATBCF33-0</v>
          </cell>
          <cell r="H3097" t="str">
            <v>MATTEL</v>
          </cell>
          <cell r="I3097">
            <v>25</v>
          </cell>
        </row>
        <row r="3098">
          <cell r="A3098" t="str">
            <v>19-03097</v>
          </cell>
          <cell r="B3098" t="str">
            <v>MOTTA INT.</v>
          </cell>
          <cell r="C3098" t="str">
            <v>P</v>
          </cell>
          <cell r="D3098" t="str">
            <v>N/A</v>
          </cell>
          <cell r="E3098" t="str">
            <v>IMATBGB60 MATTEL FISHER PRICE RIE Y APRENDE BOTIQUIN MEDICO CANTA</v>
          </cell>
          <cell r="F3098" t="str">
            <v>JUGUETES</v>
          </cell>
          <cell r="G3098" t="str">
            <v>IMATBGB60</v>
          </cell>
          <cell r="H3098" t="str">
            <v>MATTEL</v>
          </cell>
          <cell r="I3098">
            <v>15.15</v>
          </cell>
        </row>
        <row r="3099">
          <cell r="A3099" t="str">
            <v>19-03098</v>
          </cell>
          <cell r="B3099" t="str">
            <v>MOTTA INT.</v>
          </cell>
          <cell r="C3099" t="str">
            <v>P</v>
          </cell>
          <cell r="D3099" t="str">
            <v>N/A</v>
          </cell>
          <cell r="E3099" t="str">
            <v>IMATBGB68 MATTEL FISHER PRICE RIE Y APRENDE MARTILLO DE APRENDIZAJE</v>
          </cell>
          <cell r="F3099" t="str">
            <v>JUGUETES</v>
          </cell>
          <cell r="G3099" t="str">
            <v>IMATBGB68</v>
          </cell>
          <cell r="H3099" t="str">
            <v>MATTEL</v>
          </cell>
          <cell r="I3099">
            <v>6.85</v>
          </cell>
        </row>
        <row r="3100">
          <cell r="A3100" t="str">
            <v>19-03099</v>
          </cell>
          <cell r="B3100" t="str">
            <v>MOTTA INT.</v>
          </cell>
          <cell r="C3100" t="str">
            <v>P</v>
          </cell>
          <cell r="D3100" t="str">
            <v>N/A</v>
          </cell>
          <cell r="E3100" t="str">
            <v>IMATBMK17 MATTEL FISHER PRICE MINNIE SURTIDO CON PONY</v>
          </cell>
          <cell r="F3100" t="str">
            <v>JUGUETES</v>
          </cell>
          <cell r="G3100" t="str">
            <v>IMATBMK17</v>
          </cell>
          <cell r="H3100" t="str">
            <v>MATTEL</v>
          </cell>
          <cell r="I3100">
            <v>15.15</v>
          </cell>
        </row>
        <row r="3101">
          <cell r="A3101" t="str">
            <v>19-03100</v>
          </cell>
          <cell r="B3101" t="str">
            <v>MOTTA INT.</v>
          </cell>
          <cell r="C3101" t="str">
            <v>P</v>
          </cell>
          <cell r="D3101" t="str">
            <v>N/A</v>
          </cell>
          <cell r="E3101" t="str">
            <v>IMATBMN55 MATTEL DORA SET DE EXPLORACION - VARIADO</v>
          </cell>
          <cell r="F3101" t="str">
            <v>JUGUETES</v>
          </cell>
          <cell r="G3101" t="str">
            <v>IMATBMN55</v>
          </cell>
          <cell r="H3101" t="str">
            <v>MATTEL</v>
          </cell>
          <cell r="I3101">
            <v>13.05</v>
          </cell>
        </row>
        <row r="3102">
          <cell r="A3102" t="str">
            <v>19-03101</v>
          </cell>
          <cell r="B3102" t="str">
            <v>MOTTA INT.</v>
          </cell>
          <cell r="C3102" t="str">
            <v>P</v>
          </cell>
          <cell r="D3102" t="str">
            <v>N/A</v>
          </cell>
          <cell r="E3102" t="str">
            <v>IMATCCX88 MATTEL FISHER PRICE ZAPATOS MAGICOS MICKEY/GOOFY</v>
          </cell>
          <cell r="F3102" t="str">
            <v>JUGUETES</v>
          </cell>
          <cell r="G3102" t="str">
            <v>IMATCCX88</v>
          </cell>
          <cell r="H3102" t="str">
            <v>MATTEL</v>
          </cell>
          <cell r="I3102">
            <v>16.25</v>
          </cell>
        </row>
        <row r="3103">
          <cell r="A3103" t="str">
            <v>19-03102</v>
          </cell>
          <cell r="B3103" t="str">
            <v>MOTTA INT.</v>
          </cell>
          <cell r="C3103" t="str">
            <v>D</v>
          </cell>
          <cell r="D3103" t="str">
            <v>N/A</v>
          </cell>
          <cell r="E3103" t="str">
            <v>IMATCDD27 MATTEL HOT WHEELS AVENGERS ARA ULTRON PISTA DE ATAQUE DISCONTINUED</v>
          </cell>
          <cell r="F3103" t="str">
            <v>JUGUETES</v>
          </cell>
          <cell r="G3103" t="str">
            <v>IMATCDD27</v>
          </cell>
          <cell r="H3103" t="str">
            <v>MATTEL</v>
          </cell>
          <cell r="I3103">
            <v>20.75</v>
          </cell>
        </row>
        <row r="3104">
          <cell r="A3104" t="str">
            <v>19-03103</v>
          </cell>
          <cell r="B3104" t="str">
            <v>MOTTA INT.</v>
          </cell>
          <cell r="C3104" t="str">
            <v>P</v>
          </cell>
          <cell r="D3104" t="str">
            <v>N/A</v>
          </cell>
          <cell r="E3104" t="str">
            <v>IMATCDY62 MATTEL BARBIE SUPER PRINCESA</v>
          </cell>
          <cell r="F3104" t="str">
            <v>JUGUETES</v>
          </cell>
          <cell r="G3104" t="str">
            <v>IMATCDY62</v>
          </cell>
          <cell r="H3104" t="str">
            <v>MATTEL</v>
          </cell>
          <cell r="I3104">
            <v>16.850000000000001</v>
          </cell>
        </row>
        <row r="3105">
          <cell r="A3105" t="str">
            <v>19-03104</v>
          </cell>
          <cell r="B3105" t="str">
            <v>MOTTA INT.</v>
          </cell>
          <cell r="C3105" t="str">
            <v>P</v>
          </cell>
          <cell r="D3105" t="str">
            <v>N/A</v>
          </cell>
          <cell r="E3105" t="str">
            <v>IMATCFF49 MATTEL BARBIE SIRENA BURBUJAS MAGICAS</v>
          </cell>
          <cell r="F3105" t="str">
            <v>JUGUETES</v>
          </cell>
          <cell r="G3105" t="str">
            <v>IMATCFF49</v>
          </cell>
          <cell r="H3105" t="str">
            <v>MATTEL</v>
          </cell>
          <cell r="I3105">
            <v>20.25</v>
          </cell>
        </row>
        <row r="3106">
          <cell r="A3106" t="str">
            <v>19-03105</v>
          </cell>
          <cell r="B3106" t="str">
            <v>MOTTA INT.</v>
          </cell>
          <cell r="C3106" t="str">
            <v>P</v>
          </cell>
          <cell r="D3106" t="str">
            <v>N/A</v>
          </cell>
          <cell r="E3106" t="str">
            <v>IMATCGW35 MATTEL HOT WHEELS STAR WARS SURTIDO DE AUTOS</v>
          </cell>
          <cell r="F3106" t="str">
            <v>JUGUETES</v>
          </cell>
          <cell r="G3106" t="str">
            <v>IMATCGW35</v>
          </cell>
          <cell r="H3106" t="str">
            <v>MATTEL</v>
          </cell>
          <cell r="I3106">
            <v>4.3499999999999996</v>
          </cell>
        </row>
        <row r="3107">
          <cell r="A3107" t="str">
            <v>19-03106</v>
          </cell>
          <cell r="B3107" t="str">
            <v>MOTTA INT.</v>
          </cell>
          <cell r="C3107" t="str">
            <v>D</v>
          </cell>
          <cell r="D3107" t="str">
            <v>N/A</v>
          </cell>
          <cell r="E3107" t="str">
            <v>IMATCGX36 MATTEL HOT WHEELS STAR WARS PAQUETE DE 5 AUTOS PERSONAJES DISCONTINUED</v>
          </cell>
          <cell r="F3107" t="str">
            <v>JUGUETES</v>
          </cell>
          <cell r="G3107" t="str">
            <v>IMATCGX36</v>
          </cell>
          <cell r="H3107" t="str">
            <v>MATTEL</v>
          </cell>
          <cell r="I3107">
            <v>20.75</v>
          </cell>
        </row>
        <row r="3108">
          <cell r="A3108" t="str">
            <v>19-03107</v>
          </cell>
          <cell r="B3108" t="str">
            <v>MOTTA INT.</v>
          </cell>
          <cell r="C3108" t="str">
            <v>P</v>
          </cell>
          <cell r="D3108" t="str">
            <v>N/A</v>
          </cell>
          <cell r="E3108" t="str">
            <v>IMATCJD19 MATTEL BARBIE MINI SIRENA SURTIDO</v>
          </cell>
          <cell r="F3108" t="str">
            <v>JUGUETES</v>
          </cell>
          <cell r="G3108" t="str">
            <v>IMATCJD19</v>
          </cell>
          <cell r="H3108" t="str">
            <v>MATTEL</v>
          </cell>
          <cell r="I3108">
            <v>6.65</v>
          </cell>
        </row>
        <row r="3109">
          <cell r="A3109" t="str">
            <v>19-03108</v>
          </cell>
          <cell r="B3109" t="str">
            <v>MOTTA INT.</v>
          </cell>
          <cell r="C3109" t="str">
            <v>P</v>
          </cell>
          <cell r="D3109" t="str">
            <v>N/A</v>
          </cell>
          <cell r="E3109" t="str">
            <v>IMATCKB21 MATTEL BARBIE GIROS MAGICOS</v>
          </cell>
          <cell r="F3109" t="str">
            <v>JUGUETES</v>
          </cell>
          <cell r="G3109" t="str">
            <v>IMATCKB21</v>
          </cell>
          <cell r="H3109" t="str">
            <v>MATTEL</v>
          </cell>
          <cell r="I3109">
            <v>17.45</v>
          </cell>
        </row>
        <row r="3110">
          <cell r="A3110" t="str">
            <v>19-03109</v>
          </cell>
          <cell r="B3110" t="str">
            <v>MOTTA INT.</v>
          </cell>
          <cell r="C3110" t="str">
            <v>D</v>
          </cell>
          <cell r="D3110" t="str">
            <v>N/A</v>
          </cell>
          <cell r="E3110" t="str">
            <v>IMATCKB28 MATTEL PRINCESITA SOFIA FIESTA FLORAL DISCONTINUED</v>
          </cell>
          <cell r="F3110" t="str">
            <v>JUGUETES</v>
          </cell>
          <cell r="G3110" t="str">
            <v>IMATCKB28</v>
          </cell>
          <cell r="H3110" t="str">
            <v>MATTEL</v>
          </cell>
          <cell r="I3110">
            <v>18.55</v>
          </cell>
        </row>
        <row r="3111">
          <cell r="A3111" t="str">
            <v>19-03110</v>
          </cell>
          <cell r="B3111" t="str">
            <v>MOTTA INT.</v>
          </cell>
          <cell r="C3111" t="str">
            <v>P</v>
          </cell>
          <cell r="D3111" t="str">
            <v>N/A</v>
          </cell>
          <cell r="E3111" t="str">
            <v>IMATCKW07 MATTEL FISHER PRICE MINNIE DULCES SUENOS</v>
          </cell>
          <cell r="F3111" t="str">
            <v>JUGUETES</v>
          </cell>
          <cell r="G3111" t="str">
            <v>IMATCKW07</v>
          </cell>
          <cell r="H3111" t="str">
            <v>MATTEL</v>
          </cell>
          <cell r="I3111">
            <v>21.65</v>
          </cell>
        </row>
        <row r="3112">
          <cell r="A3112" t="str">
            <v>19-03111</v>
          </cell>
          <cell r="B3112" t="str">
            <v>MOTTA INT.</v>
          </cell>
          <cell r="C3112" t="str">
            <v>D</v>
          </cell>
          <cell r="D3112" t="str">
            <v>N/A</v>
          </cell>
          <cell r="E3112" t="str">
            <v>IMATCLX49 MATTEL DISNEY TOY STORY WOODY VAQUERO DE RODEO DISCONTINUED</v>
          </cell>
          <cell r="F3112" t="str">
            <v>JUGUETES</v>
          </cell>
          <cell r="G3112" t="str">
            <v>IMATCLX49</v>
          </cell>
          <cell r="H3112" t="str">
            <v>MATTEL</v>
          </cell>
          <cell r="I3112">
            <v>38.15</v>
          </cell>
        </row>
        <row r="3113">
          <cell r="A3113" t="str">
            <v>19-03112</v>
          </cell>
          <cell r="B3113" t="str">
            <v>MOTTA INT.</v>
          </cell>
          <cell r="C3113" t="str">
            <v>P</v>
          </cell>
          <cell r="D3113" t="str">
            <v>N/A</v>
          </cell>
          <cell r="E3113" t="str">
            <v>IMATM4079 MATTEL FISHER PRICE PERRITO CANTA Y JUEGA CONMIGO</v>
          </cell>
          <cell r="F3113" t="str">
            <v>JUGUETES</v>
          </cell>
          <cell r="G3113" t="str">
            <v>IMATM4079</v>
          </cell>
          <cell r="H3113" t="str">
            <v>MATTEL</v>
          </cell>
          <cell r="I3113">
            <v>15.55</v>
          </cell>
        </row>
        <row r="3114">
          <cell r="A3114" t="str">
            <v>19-03113</v>
          </cell>
          <cell r="B3114" t="str">
            <v>MOTTA INT.</v>
          </cell>
          <cell r="C3114" t="str">
            <v>P</v>
          </cell>
          <cell r="D3114" t="str">
            <v>N/A</v>
          </cell>
          <cell r="E3114" t="str">
            <v>IMATN8820-0 MATTEL BARBIE FASHION CON ACCESORIOS - SURTIDO</v>
          </cell>
          <cell r="F3114" t="str">
            <v>JUGUETES</v>
          </cell>
          <cell r="G3114" t="str">
            <v>IMATN8820-0</v>
          </cell>
          <cell r="H3114" t="str">
            <v>MATTEL</v>
          </cell>
          <cell r="I3114">
            <v>18</v>
          </cell>
        </row>
        <row r="3115">
          <cell r="A3115" t="str">
            <v>19-03114</v>
          </cell>
          <cell r="B3115" t="str">
            <v>MOTTA INT.</v>
          </cell>
          <cell r="C3115" t="str">
            <v>P</v>
          </cell>
          <cell r="D3115" t="str">
            <v>N/A</v>
          </cell>
          <cell r="E3115" t="str">
            <v>IMATV4048 MATTEL DORA BAILARINA BALLET</v>
          </cell>
          <cell r="F3115" t="str">
            <v>JUGUETES</v>
          </cell>
          <cell r="G3115" t="str">
            <v>IMATV4048</v>
          </cell>
          <cell r="H3115" t="str">
            <v>MATTEL</v>
          </cell>
          <cell r="I3115">
            <v>14.15</v>
          </cell>
        </row>
        <row r="3116">
          <cell r="A3116" t="str">
            <v>19-03115</v>
          </cell>
          <cell r="B3116" t="str">
            <v>MOTTA INT.</v>
          </cell>
          <cell r="C3116" t="str">
            <v>D</v>
          </cell>
          <cell r="D3116" t="str">
            <v>N/A</v>
          </cell>
          <cell r="E3116" t="str">
            <v>IMATV9560-0 MATTEL DORA MOCHILA PARLANCHINA DISCONTINUED</v>
          </cell>
          <cell r="F3116" t="str">
            <v>JUGUETES</v>
          </cell>
          <cell r="G3116" t="str">
            <v>IMATV9560-0</v>
          </cell>
          <cell r="H3116" t="str">
            <v>MATTEL</v>
          </cell>
          <cell r="I3116">
            <v>18.350000000000001</v>
          </cell>
        </row>
        <row r="3117">
          <cell r="A3117" t="str">
            <v>19-03116</v>
          </cell>
          <cell r="B3117" t="str">
            <v>MOTTA INT.</v>
          </cell>
          <cell r="C3117" t="str">
            <v>P</v>
          </cell>
          <cell r="D3117" t="str">
            <v>N/A</v>
          </cell>
          <cell r="E3117" t="str">
            <v>IMATW5260 MATTEL FISHER PRICE JAKE SURTIDO DE FIGURAS 3"</v>
          </cell>
          <cell r="F3117" t="str">
            <v>JUGUETES</v>
          </cell>
          <cell r="G3117" t="str">
            <v>IMATW5260</v>
          </cell>
          <cell r="H3117" t="str">
            <v>MATTEL</v>
          </cell>
          <cell r="I3117">
            <v>8.65</v>
          </cell>
        </row>
        <row r="3118">
          <cell r="A3118" t="str">
            <v>19-03117</v>
          </cell>
          <cell r="B3118" t="str">
            <v>MOTTA INT.</v>
          </cell>
          <cell r="C3118" t="str">
            <v>D</v>
          </cell>
          <cell r="D3118" t="str">
            <v>N/A</v>
          </cell>
          <cell r="E3118" t="str">
            <v>IMATX5165 MATTEL LITTLE MOMMY MI BEBITA INTERACTIVA DISCONTINUED</v>
          </cell>
          <cell r="F3118" t="str">
            <v>JUGUETES</v>
          </cell>
          <cell r="G3118" t="str">
            <v>IMATX5165</v>
          </cell>
          <cell r="H3118" t="str">
            <v>MATTEL</v>
          </cell>
          <cell r="I3118">
            <v>26.25</v>
          </cell>
        </row>
        <row r="3119">
          <cell r="A3119" t="str">
            <v>19-03118</v>
          </cell>
          <cell r="B3119" t="str">
            <v>MOTTA INT.</v>
          </cell>
          <cell r="C3119" t="str">
            <v>D</v>
          </cell>
          <cell r="D3119" t="str">
            <v>N/A</v>
          </cell>
          <cell r="E3119" t="str">
            <v>IMATX8148 MATTEL LITTLE MOMMY BEBITA HORA DE DORMIR DISCONTINUED</v>
          </cell>
          <cell r="F3119" t="str">
            <v>JUGUETES</v>
          </cell>
          <cell r="G3119" t="str">
            <v>IMATX8148</v>
          </cell>
          <cell r="H3119" t="str">
            <v>MATTEL</v>
          </cell>
          <cell r="I3119">
            <v>17.45</v>
          </cell>
        </row>
        <row r="3120">
          <cell r="A3120" t="str">
            <v>19-03119</v>
          </cell>
          <cell r="B3120" t="str">
            <v>MOTTA INT.</v>
          </cell>
          <cell r="C3120" t="str">
            <v>P</v>
          </cell>
          <cell r="D3120" t="str">
            <v>N/A</v>
          </cell>
          <cell r="E3120" t="str">
            <v>IMATY2265 MATTEL FISHER PRICE JAKE BARCO PIRATA DE GARFIO</v>
          </cell>
          <cell r="F3120" t="str">
            <v>JUGUETES</v>
          </cell>
          <cell r="G3120" t="str">
            <v>IMATY2265</v>
          </cell>
          <cell r="H3120" t="str">
            <v>MATTEL</v>
          </cell>
          <cell r="I3120">
            <v>23.15</v>
          </cell>
        </row>
        <row r="3121">
          <cell r="A3121" t="str">
            <v>19-03120</v>
          </cell>
          <cell r="B3121" t="str">
            <v>MOTTA INT.</v>
          </cell>
          <cell r="C3121" t="str">
            <v>A</v>
          </cell>
          <cell r="D3121" t="str">
            <v>NO</v>
          </cell>
          <cell r="E3121" t="str">
            <v>A11890794 HASBRO STAR WARS EXTENDED LIGHTSABERS</v>
          </cell>
          <cell r="F3121" t="str">
            <v>JUGUETES</v>
          </cell>
          <cell r="G3121" t="str">
            <v>IHASA11890794</v>
          </cell>
          <cell r="H3121" t="str">
            <v>HASBRO</v>
          </cell>
          <cell r="I3121">
            <v>6.85</v>
          </cell>
        </row>
        <row r="3122">
          <cell r="A3122" t="str">
            <v>19-03121</v>
          </cell>
          <cell r="B3122" t="str">
            <v>MOTTA INT.</v>
          </cell>
          <cell r="C3122" t="str">
            <v>A</v>
          </cell>
          <cell r="D3122" t="str">
            <v>NO</v>
          </cell>
          <cell r="E3122" t="str">
            <v>A59332210 HASBRO MY LITTLE PONY DELUXE FASHION PONY</v>
          </cell>
          <cell r="F3122" t="str">
            <v>JUGUETES</v>
          </cell>
          <cell r="G3122" t="str">
            <v>IHASA59332210</v>
          </cell>
          <cell r="H3122" t="str">
            <v>HASBRO</v>
          </cell>
          <cell r="I3122">
            <v>11.5</v>
          </cell>
        </row>
        <row r="3123">
          <cell r="A3123" t="str">
            <v>19-03122</v>
          </cell>
          <cell r="B3123" t="str">
            <v>MOTTA INT.</v>
          </cell>
          <cell r="C3123" t="str">
            <v>A</v>
          </cell>
          <cell r="D3123" t="str">
            <v>NO</v>
          </cell>
          <cell r="E3123" t="str">
            <v>A72722211 HASBRO PLAYSKOOL MR POTATO HEAD MASH UP MARVEL 2 PACK</v>
          </cell>
          <cell r="F3123" t="str">
            <v>JUGUETES</v>
          </cell>
          <cell r="G3123" t="str">
            <v>IHASA72722211</v>
          </cell>
          <cell r="H3123" t="str">
            <v>HASBRO</v>
          </cell>
          <cell r="I3123">
            <v>5.65</v>
          </cell>
        </row>
        <row r="3124">
          <cell r="A3124" t="str">
            <v>19-03123</v>
          </cell>
          <cell r="B3124" t="str">
            <v>MOTTA INT.</v>
          </cell>
          <cell r="C3124" t="str">
            <v>A</v>
          </cell>
          <cell r="D3124" t="str">
            <v>NO</v>
          </cell>
          <cell r="E3124" t="str">
            <v>A72812210 HASBRO MR POTATO HEAD MASH UP TRANSFORMER FIG ASST RB</v>
          </cell>
          <cell r="F3124" t="str">
            <v>JUGUETES</v>
          </cell>
          <cell r="G3124" t="str">
            <v>IHASA72812210</v>
          </cell>
          <cell r="H3124" t="str">
            <v>HASBRO</v>
          </cell>
          <cell r="I3124">
            <v>3</v>
          </cell>
        </row>
        <row r="3125">
          <cell r="A3125" t="str">
            <v>19-03124</v>
          </cell>
          <cell r="B3125" t="str">
            <v>MOTTA INT.</v>
          </cell>
          <cell r="C3125" t="str">
            <v>A</v>
          </cell>
          <cell r="D3125" t="str">
            <v>NO</v>
          </cell>
          <cell r="E3125" t="str">
            <v>A92104680 HASBRO PLAY DOH VINCI BUTTERFLY WALL ART</v>
          </cell>
          <cell r="F3125" t="str">
            <v>JUGUETES</v>
          </cell>
          <cell r="G3125" t="str">
            <v>IHASA92104680</v>
          </cell>
          <cell r="H3125" t="str">
            <v>HASBRO</v>
          </cell>
          <cell r="I3125">
            <v>5.5</v>
          </cell>
        </row>
        <row r="3126">
          <cell r="A3126" t="str">
            <v>19-03125</v>
          </cell>
          <cell r="B3126" t="str">
            <v>MOTTA INT.</v>
          </cell>
          <cell r="C3126" t="str">
            <v>A</v>
          </cell>
          <cell r="D3126" t="str">
            <v>NO</v>
          </cell>
          <cell r="E3126" t="str">
            <v>B0070AS04 HASBRO TRANSFORMER RID WARRIORS SURTIDO</v>
          </cell>
          <cell r="F3126" t="str">
            <v>JUGUETES</v>
          </cell>
          <cell r="G3126" t="str">
            <v>IHASB0070AS04</v>
          </cell>
          <cell r="H3126" t="str">
            <v>HASBRO</v>
          </cell>
          <cell r="I3126">
            <v>12.05</v>
          </cell>
        </row>
        <row r="3127">
          <cell r="A3127" t="str">
            <v>19-03126</v>
          </cell>
          <cell r="B3127" t="str">
            <v>MOTTA INT.</v>
          </cell>
          <cell r="C3127" t="str">
            <v>A</v>
          </cell>
          <cell r="D3127" t="str">
            <v>NO</v>
          </cell>
          <cell r="E3127" t="str">
            <v>B0138AS00 HASBRO PLAYSKOOL SUPER HERO ADVENTURES STARK TECH ARMOR</v>
          </cell>
          <cell r="F3127" t="str">
            <v>JUGUETES</v>
          </cell>
          <cell r="G3127" t="str">
            <v>IHASB0138AS00</v>
          </cell>
          <cell r="H3127" t="str">
            <v>HASBRO</v>
          </cell>
          <cell r="I3127">
            <v>16.05</v>
          </cell>
        </row>
        <row r="3128">
          <cell r="A3128" t="str">
            <v>19-03127</v>
          </cell>
          <cell r="B3128" t="str">
            <v>MOTTA INT.</v>
          </cell>
          <cell r="C3128" t="str">
            <v>A</v>
          </cell>
          <cell r="D3128" t="str">
            <v>NO</v>
          </cell>
          <cell r="E3128" t="str">
            <v>B0357AS00 HASBRO MY LITTLE PONY CUTIE MARK MAGIC WATER FRIENDS</v>
          </cell>
          <cell r="F3128" t="str">
            <v>JUGUETES</v>
          </cell>
          <cell r="G3128" t="str">
            <v>IHASB0357AS00</v>
          </cell>
          <cell r="H3128" t="str">
            <v>HASBRO</v>
          </cell>
          <cell r="I3128">
            <v>6.6</v>
          </cell>
        </row>
        <row r="3129">
          <cell r="A3129" t="str">
            <v>19-03128</v>
          </cell>
          <cell r="B3129" t="str">
            <v>MOTTA INT.</v>
          </cell>
          <cell r="C3129" t="str">
            <v>A</v>
          </cell>
          <cell r="D3129" t="str">
            <v>NO</v>
          </cell>
          <cell r="E3129" t="str">
            <v>B0426AS00 HASBRO AVENGERS VOICE CHANGER MASK - SURTIDO</v>
          </cell>
          <cell r="F3129" t="str">
            <v>JUGUETES</v>
          </cell>
          <cell r="G3129" t="str">
            <v>IHASB0426AS00</v>
          </cell>
          <cell r="H3129" t="str">
            <v>HASBRO</v>
          </cell>
          <cell r="I3129">
            <v>20.6</v>
          </cell>
        </row>
        <row r="3130">
          <cell r="A3130" t="str">
            <v>19-03129</v>
          </cell>
          <cell r="B3130" t="str">
            <v>MOTTA INT.</v>
          </cell>
          <cell r="C3130" t="str">
            <v>A</v>
          </cell>
          <cell r="D3130" t="str">
            <v>NO</v>
          </cell>
          <cell r="E3130" t="str">
            <v>B04415730 HASBRO AVENGERS INTERACTIVE HULK BUSTER</v>
          </cell>
          <cell r="F3130" t="str">
            <v>JUGUETES</v>
          </cell>
          <cell r="G3130" t="str">
            <v>IHASB04415730</v>
          </cell>
          <cell r="H3130" t="str">
            <v>HASBRO</v>
          </cell>
          <cell r="I3130">
            <v>28.6</v>
          </cell>
        </row>
        <row r="3131">
          <cell r="A3131" t="str">
            <v>19-03130</v>
          </cell>
          <cell r="B3131" t="str">
            <v>MOTTA INT.</v>
          </cell>
          <cell r="C3131" t="str">
            <v>A</v>
          </cell>
          <cell r="D3131" t="str">
            <v>NO</v>
          </cell>
          <cell r="E3131" t="str">
            <v>B0538AS00 HASBRO PLAYSKOOL HEROES JURASSIC WORLD SFX CHOMPERS -</v>
          </cell>
          <cell r="F3131" t="str">
            <v>JUGUETES</v>
          </cell>
          <cell r="G3131" t="str">
            <v>IHASB0538AS00</v>
          </cell>
          <cell r="H3131" t="str">
            <v>HASBRO</v>
          </cell>
          <cell r="I3131">
            <v>12</v>
          </cell>
        </row>
        <row r="3132">
          <cell r="A3132" t="str">
            <v>19-03131</v>
          </cell>
          <cell r="B3132" t="str">
            <v>MOTTA INT.</v>
          </cell>
          <cell r="C3132" t="str">
            <v>A</v>
          </cell>
          <cell r="D3132" t="str">
            <v>NO</v>
          </cell>
          <cell r="E3132" t="str">
            <v>B1139AS00 HASBRO JURASSIC WORLD VELOCIRAPTOR TITAN DINO SURT</v>
          </cell>
          <cell r="F3132" t="str">
            <v>JUGUETES</v>
          </cell>
          <cell r="G3132" t="str">
            <v>IHASB1139AS00</v>
          </cell>
          <cell r="H3132" t="str">
            <v>HASBRO</v>
          </cell>
          <cell r="I3132">
            <v>7.35</v>
          </cell>
        </row>
        <row r="3133">
          <cell r="A3133" t="str">
            <v>19-03132</v>
          </cell>
          <cell r="B3133" t="str">
            <v>MOTTA INT.</v>
          </cell>
          <cell r="C3133" t="str">
            <v>A</v>
          </cell>
          <cell r="D3133" t="str">
            <v>NO</v>
          </cell>
          <cell r="E3133" t="str">
            <v>B1156AS00 HASBRO JURASSIC WORLD CHOMPING T REX TITAN DINO</v>
          </cell>
          <cell r="F3133" t="str">
            <v>JUGUETES</v>
          </cell>
          <cell r="G3133" t="str">
            <v>IHASB1156AS00</v>
          </cell>
          <cell r="H3133" t="str">
            <v>HASBRO</v>
          </cell>
          <cell r="I3133">
            <v>16.5</v>
          </cell>
        </row>
        <row r="3134">
          <cell r="A3134" t="str">
            <v>19-03133</v>
          </cell>
          <cell r="B3134" t="str">
            <v>MOTTA INT.</v>
          </cell>
          <cell r="C3134" t="str">
            <v>A</v>
          </cell>
          <cell r="D3134" t="str">
            <v>NO</v>
          </cell>
          <cell r="E3134" t="str">
            <v>B1494L200 HASBRO AVENGERS IRON MAN ELECTRONIC TITAN HERO TECH</v>
          </cell>
          <cell r="F3134" t="str">
            <v>JUGUETES</v>
          </cell>
          <cell r="G3134" t="str">
            <v>IHASB1494L200</v>
          </cell>
          <cell r="H3134" t="str">
            <v>HASBRO</v>
          </cell>
          <cell r="I3134">
            <v>16.2</v>
          </cell>
        </row>
        <row r="3135">
          <cell r="A3135" t="str">
            <v>19-03134</v>
          </cell>
          <cell r="B3135" t="str">
            <v>MOTTA INT.</v>
          </cell>
          <cell r="C3135" t="str">
            <v>A</v>
          </cell>
          <cell r="D3135" t="str">
            <v>NO</v>
          </cell>
          <cell r="E3135" t="str">
            <v>B1495L200 HASBRO AVENGERS CAPTAIN AMERICA ELECTRONIC TITAN HERO</v>
          </cell>
          <cell r="F3135" t="str">
            <v>JUGUETES</v>
          </cell>
          <cell r="G3135" t="str">
            <v>IHASB1495L200</v>
          </cell>
          <cell r="H3135" t="str">
            <v>HASBRO</v>
          </cell>
          <cell r="I3135">
            <v>16.2</v>
          </cell>
        </row>
        <row r="3136">
          <cell r="A3136" t="str">
            <v>19-03135</v>
          </cell>
          <cell r="B3136" t="str">
            <v>MOTTA INT.</v>
          </cell>
          <cell r="C3136" t="str">
            <v>A</v>
          </cell>
          <cell r="D3136" t="str">
            <v>NO</v>
          </cell>
          <cell r="E3136" t="str">
            <v>B1496L200 HASBRO AVENGERS THOR ELECTRONIC TITAN HERO TECH</v>
          </cell>
          <cell r="F3136" t="str">
            <v>JUGUETES</v>
          </cell>
          <cell r="G3136" t="str">
            <v>IHASB1496L200</v>
          </cell>
          <cell r="H3136" t="str">
            <v>HASBRO</v>
          </cell>
          <cell r="I3136">
            <v>16.2</v>
          </cell>
        </row>
        <row r="3137">
          <cell r="A3137" t="str">
            <v>19-03136</v>
          </cell>
          <cell r="B3137" t="str">
            <v>MOTTA INT.</v>
          </cell>
          <cell r="C3137" t="str">
            <v>A</v>
          </cell>
          <cell r="D3137" t="str">
            <v>NO</v>
          </cell>
          <cell r="E3137" t="str">
            <v>B17174680 HASBRO PLAY DOH VINCI KEEPSAKE DESIGN KIT</v>
          </cell>
          <cell r="F3137" t="str">
            <v>JUGUETES</v>
          </cell>
          <cell r="G3137" t="str">
            <v>IHASB17174680</v>
          </cell>
          <cell r="H3137" t="str">
            <v>HASBRO</v>
          </cell>
          <cell r="I3137">
            <v>6.85</v>
          </cell>
        </row>
        <row r="3138">
          <cell r="A3138" t="str">
            <v>19-03137</v>
          </cell>
          <cell r="B3138" t="str">
            <v>MOTTA INT.</v>
          </cell>
          <cell r="C3138" t="str">
            <v>A</v>
          </cell>
          <cell r="D3138" t="str">
            <v>NO</v>
          </cell>
          <cell r="E3138" t="str">
            <v>B2057AS00 HASBRO PLAYSKOOL TRANSFORMERS ADVENTURE PACK SURTIDO</v>
          </cell>
          <cell r="F3138" t="str">
            <v>JUGUETES</v>
          </cell>
          <cell r="G3138" t="str">
            <v>IHASB2057AS00</v>
          </cell>
          <cell r="H3138" t="str">
            <v>HASBRO</v>
          </cell>
          <cell r="I3138">
            <v>12.05</v>
          </cell>
        </row>
        <row r="3139">
          <cell r="A3139" t="str">
            <v>19-03138</v>
          </cell>
          <cell r="B3139" t="str">
            <v>MOTTA INT.</v>
          </cell>
          <cell r="C3139" t="str">
            <v>A</v>
          </cell>
          <cell r="D3139" t="str">
            <v>NO</v>
          </cell>
          <cell r="E3139" t="str">
            <v>B23545730 HASBRO STAR WARS LOOPIN CHEWIE GAME</v>
          </cell>
          <cell r="F3139" t="str">
            <v>JUGUETES</v>
          </cell>
          <cell r="G3139" t="str">
            <v>IHASB23545730</v>
          </cell>
          <cell r="H3139" t="str">
            <v>HASBRO</v>
          </cell>
          <cell r="I3139">
            <v>20.2</v>
          </cell>
        </row>
        <row r="3140">
          <cell r="A3140" t="str">
            <v>19-03139</v>
          </cell>
          <cell r="B3140" t="str">
            <v>MOTTA INT.</v>
          </cell>
          <cell r="C3140" t="str">
            <v>A</v>
          </cell>
          <cell r="D3140" t="str">
            <v>NO</v>
          </cell>
          <cell r="E3140" t="str">
            <v>B2912AS00 HASBRO STAR WARS E7 EXTENDABLE LIGHTSABER</v>
          </cell>
          <cell r="F3140" t="str">
            <v>JUGUETES</v>
          </cell>
          <cell r="G3140" t="str">
            <v>IHASB2912AS00</v>
          </cell>
          <cell r="H3140" t="str">
            <v>HASBRO</v>
          </cell>
          <cell r="I3140">
            <v>8</v>
          </cell>
        </row>
        <row r="3141">
          <cell r="A3141" t="str">
            <v>19-03140</v>
          </cell>
          <cell r="B3141" t="str">
            <v>MOTTA INT.</v>
          </cell>
          <cell r="C3141" t="str">
            <v>A</v>
          </cell>
          <cell r="D3141" t="str">
            <v>NO</v>
          </cell>
          <cell r="E3141" t="str">
            <v>B3075AS00 HASBRO STAR WARS E7 VALUE HERO VEHICLE</v>
          </cell>
          <cell r="F3141" t="str">
            <v>JUGUETES</v>
          </cell>
          <cell r="G3141" t="str">
            <v>IHASB3075AS00</v>
          </cell>
          <cell r="H3141" t="str">
            <v>HASBRO</v>
          </cell>
          <cell r="I3141">
            <v>7.8</v>
          </cell>
        </row>
        <row r="3142">
          <cell r="A3142" t="str">
            <v>19-03141</v>
          </cell>
          <cell r="B3142" t="str">
            <v>MOTTA INT.</v>
          </cell>
          <cell r="C3142" t="str">
            <v>A</v>
          </cell>
          <cell r="D3142" t="str">
            <v>NO</v>
          </cell>
          <cell r="E3142" t="str">
            <v>B3226AS00 HASBRO STAR WARS CHEWBACCA ELETRONIC MASK</v>
          </cell>
          <cell r="F3142" t="str">
            <v>JUGUETES</v>
          </cell>
          <cell r="G3142" t="str">
            <v>IHASB3226AS00</v>
          </cell>
          <cell r="H3142" t="str">
            <v>HASBRO</v>
          </cell>
          <cell r="I3142">
            <v>23.3</v>
          </cell>
        </row>
        <row r="3143">
          <cell r="A3143" t="str">
            <v>19-03142</v>
          </cell>
          <cell r="B3143" t="str">
            <v>MOTTA INT.</v>
          </cell>
          <cell r="C3143" t="str">
            <v>A</v>
          </cell>
          <cell r="D3143" t="str">
            <v>NO</v>
          </cell>
          <cell r="E3143" t="str">
            <v>B3817AS00 HASBRO STAR WARS JF FIGURAS VARIADOS</v>
          </cell>
          <cell r="F3143" t="str">
            <v>JUGUETES</v>
          </cell>
          <cell r="G3143" t="str">
            <v>IHASB3817AS00</v>
          </cell>
          <cell r="H3143" t="str">
            <v>HASBRO</v>
          </cell>
          <cell r="I3143">
            <v>5.15</v>
          </cell>
        </row>
        <row r="3144">
          <cell r="A3144" t="str">
            <v>19-03143</v>
          </cell>
          <cell r="B3144" t="str">
            <v>MOTTA INT.</v>
          </cell>
          <cell r="C3144" t="str">
            <v>A</v>
          </cell>
          <cell r="D3144" t="str">
            <v>NO</v>
          </cell>
          <cell r="E3144" t="str">
            <v>B3908AS00 HASBRO STAR WARS E7 HERO SERIES FIGURAS VARIADAS</v>
          </cell>
          <cell r="F3144" t="str">
            <v>JUGUETES</v>
          </cell>
          <cell r="G3144" t="str">
            <v>IHASB3908AS00</v>
          </cell>
          <cell r="H3144" t="str">
            <v>HASBRO</v>
          </cell>
          <cell r="I3144">
            <v>8.5</v>
          </cell>
        </row>
        <row r="3145">
          <cell r="A3145" t="str">
            <v>19-03144</v>
          </cell>
          <cell r="B3145" t="str">
            <v>MOTTA INT.</v>
          </cell>
          <cell r="C3145" t="str">
            <v>A</v>
          </cell>
          <cell r="D3145" t="str">
            <v>NO</v>
          </cell>
          <cell r="E3145" t="str">
            <v>B3914AS00 HASBRO STAR WARS E7 HERO SERIES FIGURAS DELUXE</v>
          </cell>
          <cell r="F3145" t="str">
            <v>JUGUETES</v>
          </cell>
          <cell r="G3145" t="str">
            <v>IHASB3914AS00</v>
          </cell>
          <cell r="H3145" t="str">
            <v>HASBRO</v>
          </cell>
          <cell r="I3145">
            <v>11.5</v>
          </cell>
        </row>
        <row r="3146">
          <cell r="A3146" t="str">
            <v>19-03145</v>
          </cell>
          <cell r="B3146" t="str">
            <v>MOTTA INT.</v>
          </cell>
          <cell r="C3146" t="str">
            <v>A</v>
          </cell>
          <cell r="D3146" t="str">
            <v>NO</v>
          </cell>
          <cell r="E3146" t="str">
            <v>B3917AS00 HASBRO STAR WARS E7 HERO SERIES C/FIGURAS Y VEHICULOS</v>
          </cell>
          <cell r="F3146" t="str">
            <v>JUGUETES</v>
          </cell>
          <cell r="G3146" t="str">
            <v>IHASB3917AS00</v>
          </cell>
          <cell r="H3146" t="str">
            <v>HASBRO</v>
          </cell>
          <cell r="I3146">
            <v>17</v>
          </cell>
        </row>
        <row r="3147">
          <cell r="A3147" t="str">
            <v>19-03146</v>
          </cell>
          <cell r="B3147" t="str">
            <v>MOTTA INT.</v>
          </cell>
          <cell r="C3147" t="str">
            <v>A</v>
          </cell>
          <cell r="D3147" t="str">
            <v>NO</v>
          </cell>
          <cell r="E3147" t="str">
            <v>24985221A HASBRO MY LITTLE PONY FASHION PONIES ASSORTMENT</v>
          </cell>
          <cell r="F3147" t="str">
            <v>JUGUETES</v>
          </cell>
          <cell r="G3147" t="str">
            <v>IHAS24985221A</v>
          </cell>
          <cell r="H3147" t="str">
            <v>HASBRO</v>
          </cell>
          <cell r="I3147">
            <v>10</v>
          </cell>
        </row>
        <row r="3148">
          <cell r="A3148" t="str">
            <v>19-03147</v>
          </cell>
          <cell r="B3148" t="str">
            <v>MOTTA INT.</v>
          </cell>
          <cell r="C3148" t="str">
            <v>A</v>
          </cell>
          <cell r="D3148" t="str">
            <v>NO</v>
          </cell>
          <cell r="E3148" t="str">
            <v>329691482 HASBRO SUPER HEROES DELUXE VEHICLE ASSORTMENT WAVE 3</v>
          </cell>
          <cell r="F3148" t="str">
            <v>JUGUETES</v>
          </cell>
          <cell r="G3148" t="str">
            <v>IHAS329691482</v>
          </cell>
          <cell r="H3148" t="str">
            <v>HASBRO</v>
          </cell>
          <cell r="I3148">
            <v>10</v>
          </cell>
        </row>
        <row r="3149">
          <cell r="A3149" t="str">
            <v>19-03148</v>
          </cell>
          <cell r="B3149" t="str">
            <v>MOTTA INT.</v>
          </cell>
          <cell r="C3149" t="str">
            <v>P</v>
          </cell>
          <cell r="D3149" t="str">
            <v>N/A</v>
          </cell>
          <cell r="E3149" t="str">
            <v>ILEG21119 LEGO MINECRAFT THE DUNGEON</v>
          </cell>
          <cell r="F3149" t="str">
            <v>JUGUETES</v>
          </cell>
          <cell r="G3149" t="str">
            <v>ILEG21119</v>
          </cell>
          <cell r="H3149" t="str">
            <v>LEGO</v>
          </cell>
          <cell r="I3149">
            <v>18.600000000000001</v>
          </cell>
        </row>
        <row r="3150">
          <cell r="A3150" t="str">
            <v>19-03149</v>
          </cell>
          <cell r="B3150" t="str">
            <v>MOTTA INT.</v>
          </cell>
          <cell r="C3150" t="str">
            <v>P</v>
          </cell>
          <cell r="D3150" t="str">
            <v>N/A</v>
          </cell>
          <cell r="E3150" t="str">
            <v>ILEG41086 LEGO FRIENDS VET AMBULANCE</v>
          </cell>
          <cell r="F3150" t="str">
            <v>JUGUETES</v>
          </cell>
          <cell r="G3150" t="str">
            <v>ILEG41086</v>
          </cell>
          <cell r="H3150" t="str">
            <v>LEGO</v>
          </cell>
          <cell r="I3150">
            <v>10.3</v>
          </cell>
        </row>
        <row r="3151">
          <cell r="A3151" t="str">
            <v>19-03150</v>
          </cell>
          <cell r="B3151" t="str">
            <v>MOTTA INT.</v>
          </cell>
          <cell r="C3151" t="str">
            <v>P</v>
          </cell>
          <cell r="D3151" t="str">
            <v>N/A</v>
          </cell>
          <cell r="E3151" t="str">
            <v>ILEG41099 LEGO FRIENDS HEARTLAKE SKATE PARK</v>
          </cell>
          <cell r="F3151" t="str">
            <v>JUGUETES</v>
          </cell>
          <cell r="G3151" t="str">
            <v>ILEG41099</v>
          </cell>
          <cell r="H3151" t="str">
            <v>LEGO</v>
          </cell>
          <cell r="I3151">
            <v>20.65</v>
          </cell>
        </row>
        <row r="3152">
          <cell r="A3152" t="str">
            <v>19-03151</v>
          </cell>
          <cell r="B3152" t="str">
            <v>MOTTA INT.</v>
          </cell>
          <cell r="C3152" t="str">
            <v>P</v>
          </cell>
          <cell r="D3152" t="str">
            <v>N/A</v>
          </cell>
          <cell r="E3152" t="str">
            <v>ILEG60033 LEGO ARTIC ICE CRAWLER</v>
          </cell>
          <cell r="F3152" t="str">
            <v>JUGUETES</v>
          </cell>
          <cell r="G3152" t="str">
            <v>ILEG60033</v>
          </cell>
          <cell r="H3152" t="str">
            <v>LEGO</v>
          </cell>
          <cell r="I3152">
            <v>15.3</v>
          </cell>
        </row>
        <row r="3153">
          <cell r="A3153" t="str">
            <v>19-03152</v>
          </cell>
          <cell r="B3153" t="str">
            <v>MOTTA INT.</v>
          </cell>
          <cell r="C3153" t="str">
            <v>P</v>
          </cell>
          <cell r="D3153" t="str">
            <v>N/A</v>
          </cell>
          <cell r="E3153" t="str">
            <v>ILEG60041 LEGO CITY CROOK PURSUIT</v>
          </cell>
          <cell r="F3153" t="str">
            <v>JUGUETES</v>
          </cell>
          <cell r="G3153" t="str">
            <v>ILEG60041</v>
          </cell>
          <cell r="H3153" t="str">
            <v>LEGO</v>
          </cell>
          <cell r="I3153">
            <v>6.65</v>
          </cell>
        </row>
        <row r="3154">
          <cell r="A3154" t="str">
            <v>19-03153</v>
          </cell>
          <cell r="B3154" t="str">
            <v>MOTTA INT.</v>
          </cell>
          <cell r="C3154" t="str">
            <v>P</v>
          </cell>
          <cell r="D3154" t="str">
            <v>N/A</v>
          </cell>
          <cell r="E3154" t="str">
            <v>ILEG60053 LEGO CITY RACE CAR</v>
          </cell>
          <cell r="F3154" t="str">
            <v>JUGUETES</v>
          </cell>
          <cell r="G3154" t="str">
            <v>ILEG60053</v>
          </cell>
          <cell r="H3154" t="str">
            <v>LEGO</v>
          </cell>
          <cell r="I3154">
            <v>9.9499999999999993</v>
          </cell>
        </row>
        <row r="3155">
          <cell r="A3155" t="str">
            <v>19-03154</v>
          </cell>
          <cell r="B3155" t="str">
            <v>MOTTA INT.</v>
          </cell>
          <cell r="C3155" t="str">
            <v>P</v>
          </cell>
          <cell r="D3155" t="str">
            <v>N/A</v>
          </cell>
          <cell r="E3155" t="str">
            <v>ILEG60055 LEGO CITY MONSTER TRUCK</v>
          </cell>
          <cell r="F3155" t="str">
            <v>JUGUETES</v>
          </cell>
          <cell r="G3155" t="str">
            <v>ILEG60055</v>
          </cell>
          <cell r="H3155" t="str">
            <v>LEGO</v>
          </cell>
          <cell r="I3155">
            <v>9.9499999999999993</v>
          </cell>
        </row>
        <row r="3156">
          <cell r="A3156" t="str">
            <v>19-03155</v>
          </cell>
          <cell r="B3156" t="str">
            <v>MOTTA INT.</v>
          </cell>
          <cell r="C3156" t="str">
            <v>P</v>
          </cell>
          <cell r="D3156" t="str">
            <v>N/A</v>
          </cell>
          <cell r="E3156" t="str">
            <v>ILEG60082 LEGO CITY DUNE BUGGY TRAILER</v>
          </cell>
          <cell r="F3156" t="str">
            <v>JUGUETES</v>
          </cell>
          <cell r="G3156" t="str">
            <v>ILEG60082</v>
          </cell>
          <cell r="H3156" t="str">
            <v>LEGO</v>
          </cell>
          <cell r="I3156">
            <v>18.95</v>
          </cell>
        </row>
        <row r="3157">
          <cell r="A3157" t="str">
            <v>19-03156</v>
          </cell>
          <cell r="B3157" t="str">
            <v>MOTTA INT.</v>
          </cell>
          <cell r="C3157" t="str">
            <v>P</v>
          </cell>
          <cell r="D3157" t="str">
            <v>N/A</v>
          </cell>
          <cell r="E3157" t="str">
            <v>ILEG75109 LEGO STAR WARS OBI-WAN KENOBI</v>
          </cell>
          <cell r="F3157" t="str">
            <v>JUGUETES</v>
          </cell>
          <cell r="G3157" t="str">
            <v>ILEG75109</v>
          </cell>
          <cell r="H3157" t="str">
            <v>LEGO</v>
          </cell>
          <cell r="I3157">
            <v>25.8</v>
          </cell>
        </row>
        <row r="3158">
          <cell r="A3158" t="str">
            <v>19-03157</v>
          </cell>
          <cell r="B3158" t="str">
            <v>MOTTA INT.</v>
          </cell>
          <cell r="C3158" t="str">
            <v>P</v>
          </cell>
          <cell r="D3158" t="str">
            <v>N/A</v>
          </cell>
          <cell r="E3158" t="str">
            <v>ILEG76025 LEGO DC COMICS GREEN LANTERN VS SINIESTRO</v>
          </cell>
          <cell r="F3158" t="str">
            <v>JUGUETES</v>
          </cell>
          <cell r="G3158" t="str">
            <v>ILEG76025</v>
          </cell>
          <cell r="H3158" t="str">
            <v>LEGO</v>
          </cell>
          <cell r="I3158">
            <v>20.65</v>
          </cell>
        </row>
        <row r="3159">
          <cell r="A3159" t="str">
            <v>19-03158</v>
          </cell>
          <cell r="B3159" t="str">
            <v>MOTTA INT.</v>
          </cell>
          <cell r="C3159" t="str">
            <v>P</v>
          </cell>
          <cell r="D3159" t="str">
            <v>N/A</v>
          </cell>
          <cell r="E3159" t="str">
            <v>ILEG76029 LEGO MARVEL AVENGERS IROMAN VS ULTRON</v>
          </cell>
          <cell r="F3159" t="str">
            <v>JUGUETES</v>
          </cell>
          <cell r="G3159" t="str">
            <v>ILEG76029</v>
          </cell>
          <cell r="H3159" t="str">
            <v>LEGO</v>
          </cell>
          <cell r="I3159">
            <v>13.1</v>
          </cell>
        </row>
        <row r="3160">
          <cell r="A3160" t="str">
            <v>19-03159</v>
          </cell>
          <cell r="B3160" t="str">
            <v>CESAR ARROCHA</v>
          </cell>
          <cell r="C3160" t="str">
            <v>A</v>
          </cell>
          <cell r="D3160" t="str">
            <v>SI</v>
          </cell>
          <cell r="E3160" t="str">
            <v>125 GUM CEPILLO DE ORTODONCIA PARA VIAJE</v>
          </cell>
          <cell r="F3160" t="str">
            <v>CEPILLO DENTAL</v>
          </cell>
          <cell r="G3160">
            <v>125</v>
          </cell>
          <cell r="H3160" t="str">
            <v>GUM</v>
          </cell>
          <cell r="I3160">
            <v>1.6</v>
          </cell>
        </row>
        <row r="3161">
          <cell r="A3161" t="str">
            <v>19-03160</v>
          </cell>
          <cell r="B3161" t="str">
            <v>CESAR ARROCHA</v>
          </cell>
          <cell r="C3161" t="str">
            <v>A</v>
          </cell>
          <cell r="D3161" t="str">
            <v>SI</v>
          </cell>
          <cell r="E3161" t="str">
            <v>125LK GUM KIT DE HIGIENE VIAJERO  PARA ORTODONCIA (PASTA.CEPILLO + SOFT PICKS)</v>
          </cell>
          <cell r="F3161" t="str">
            <v>CEPILLO DENTAL</v>
          </cell>
          <cell r="G3161" t="str">
            <v>125LK</v>
          </cell>
          <cell r="H3161" t="str">
            <v>GUM</v>
          </cell>
          <cell r="I3161">
            <v>2.75</v>
          </cell>
        </row>
        <row r="3162">
          <cell r="A3162" t="str">
            <v>19-03161</v>
          </cell>
          <cell r="B3162" t="str">
            <v>CESAR ARROCHA</v>
          </cell>
          <cell r="C3162" t="str">
            <v>D</v>
          </cell>
          <cell r="D3162" t="str">
            <v>N/A</v>
          </cell>
          <cell r="E3162" t="str">
            <v>500MG GUM CEPILLO SUPREME MAX TB SFT FULL CAP DISCONTINUED</v>
          </cell>
          <cell r="F3162" t="str">
            <v>CEPILLO DENTAL</v>
          </cell>
          <cell r="G3162" t="str">
            <v>500MG</v>
          </cell>
          <cell r="H3162" t="str">
            <v>GUM</v>
          </cell>
          <cell r="I3162">
            <v>1.85</v>
          </cell>
        </row>
        <row r="3163">
          <cell r="A3163" t="str">
            <v>19-03162</v>
          </cell>
          <cell r="B3163" t="str">
            <v>CESAR ARROCHA</v>
          </cell>
          <cell r="C3163" t="str">
            <v>A</v>
          </cell>
          <cell r="D3163" t="str">
            <v>SI</v>
          </cell>
          <cell r="E3163" t="str">
            <v>153 GUM CEPILLO VIAJERO ESCOLAR Y DE OFICINA</v>
          </cell>
          <cell r="F3163" t="str">
            <v>CEPILLO DENTAL</v>
          </cell>
          <cell r="G3163">
            <v>153</v>
          </cell>
          <cell r="H3163" t="str">
            <v>GUM</v>
          </cell>
          <cell r="I3163">
            <v>1.6</v>
          </cell>
        </row>
        <row r="3164">
          <cell r="A3164" t="str">
            <v>19-03163</v>
          </cell>
          <cell r="B3164" t="str">
            <v>CESAR ARROCHA</v>
          </cell>
          <cell r="C3164" t="str">
            <v>A</v>
          </cell>
          <cell r="D3164" t="str">
            <v>SI</v>
          </cell>
          <cell r="E3164" t="str">
            <v>202 GUM CRAYOLA FLASH TOOTHBRUSH 42MM</v>
          </cell>
          <cell r="F3164" t="str">
            <v>CEPILLO DENTAL</v>
          </cell>
          <cell r="G3164">
            <v>202</v>
          </cell>
          <cell r="H3164" t="str">
            <v>GUM</v>
          </cell>
          <cell r="I3164">
            <v>2.15</v>
          </cell>
        </row>
        <row r="3165">
          <cell r="A3165" t="str">
            <v>19-03164</v>
          </cell>
          <cell r="B3165" t="str">
            <v>CESAR ARROCHA</v>
          </cell>
          <cell r="C3165" t="str">
            <v>A</v>
          </cell>
          <cell r="D3165" t="str">
            <v>SI</v>
          </cell>
          <cell r="E3165" t="str">
            <v>232RG GUM CEPILLO GUM CRAYOLA PIPSQUEAK 0 A 5 ANOS  1P</v>
          </cell>
          <cell r="F3165" t="str">
            <v>CEPILLO DENTAL</v>
          </cell>
          <cell r="G3165" t="str">
            <v>232RG</v>
          </cell>
          <cell r="H3165" t="str">
            <v>GUM</v>
          </cell>
          <cell r="I3165">
            <v>0</v>
          </cell>
        </row>
        <row r="3166">
          <cell r="A3166" t="str">
            <v>19-03165</v>
          </cell>
          <cell r="B3166" t="str">
            <v>CESAR ARROCHA</v>
          </cell>
          <cell r="C3166" t="str">
            <v>A</v>
          </cell>
          <cell r="D3166" t="str">
            <v>SI</v>
          </cell>
          <cell r="E3166" t="str">
            <v>4060K GUM DRAGONS MANUAL TB TWN</v>
          </cell>
          <cell r="F3166" t="str">
            <v>CEPILLO DENTAL</v>
          </cell>
          <cell r="G3166" t="str">
            <v>4060K</v>
          </cell>
          <cell r="H3166" t="str">
            <v>GUM</v>
          </cell>
          <cell r="I3166">
            <v>0</v>
          </cell>
        </row>
        <row r="3167">
          <cell r="A3167" t="str">
            <v>19-03166</v>
          </cell>
          <cell r="B3167" t="str">
            <v>CESAR ARROCHA</v>
          </cell>
          <cell r="C3167" t="str">
            <v>A</v>
          </cell>
          <cell r="D3167" t="str">
            <v>SI</v>
          </cell>
          <cell r="E3167" t="str">
            <v>4070K GUM LALALOOPSY TWIN MANUAL TB</v>
          </cell>
          <cell r="F3167" t="str">
            <v>CEPILLO DENTAL</v>
          </cell>
          <cell r="G3167" t="str">
            <v>4070K</v>
          </cell>
          <cell r="H3167" t="str">
            <v>GUM</v>
          </cell>
          <cell r="I3167">
            <v>0</v>
          </cell>
        </row>
        <row r="3168">
          <cell r="A3168" t="str">
            <v>19-03167</v>
          </cell>
          <cell r="B3168" t="str">
            <v>CESAR ARROCHA</v>
          </cell>
          <cell r="C3168" t="str">
            <v>P</v>
          </cell>
          <cell r="D3168" t="str">
            <v>N/A</v>
          </cell>
          <cell r="E3168" t="str">
            <v>4072R GUM LALALOOPSY LTP SOFT SINGLE</v>
          </cell>
          <cell r="F3168" t="str">
            <v>CEPILLO DENTAL</v>
          </cell>
          <cell r="G3168" t="str">
            <v>4072R</v>
          </cell>
          <cell r="H3168" t="str">
            <v>GUM</v>
          </cell>
          <cell r="I3168">
            <v>2.75</v>
          </cell>
        </row>
        <row r="3169">
          <cell r="A3169" t="str">
            <v>19-03168</v>
          </cell>
          <cell r="B3169" t="str">
            <v>CESAR ARROCHA</v>
          </cell>
          <cell r="C3169" t="str">
            <v>A</v>
          </cell>
          <cell r="D3169" t="str">
            <v>SI</v>
          </cell>
          <cell r="E3169" t="str">
            <v>4080R GUM POWER RANGERS PWR 8 INNERS</v>
          </cell>
          <cell r="F3169" t="str">
            <v>CEPILLO DENTAL</v>
          </cell>
          <cell r="G3169" t="str">
            <v>4080R</v>
          </cell>
          <cell r="H3169" t="str">
            <v>GUM</v>
          </cell>
          <cell r="I3169">
            <v>0</v>
          </cell>
        </row>
        <row r="3170">
          <cell r="A3170" t="str">
            <v>19-03169</v>
          </cell>
          <cell r="B3170" t="str">
            <v>CESAR ARROCHA</v>
          </cell>
          <cell r="C3170" t="str">
            <v>P</v>
          </cell>
          <cell r="D3170" t="str">
            <v>N/A</v>
          </cell>
          <cell r="E3170" t="str">
            <v>4090R GUM POWER RANGERS LTP SOFT SINGLE</v>
          </cell>
          <cell r="F3170" t="str">
            <v>CEPILLO DENTAL</v>
          </cell>
          <cell r="G3170" t="str">
            <v>4090R</v>
          </cell>
          <cell r="H3170" t="str">
            <v>GUM</v>
          </cell>
          <cell r="I3170">
            <v>2.75</v>
          </cell>
        </row>
        <row r="3171">
          <cell r="A3171" t="str">
            <v>19-03170</v>
          </cell>
          <cell r="B3171" t="str">
            <v>CESAR ARROCHA</v>
          </cell>
          <cell r="C3171" t="str">
            <v>A</v>
          </cell>
          <cell r="D3171" t="str">
            <v>SI</v>
          </cell>
          <cell r="E3171" t="str">
            <v>1916S GUM MINT FLOSS 140YD</v>
          </cell>
          <cell r="F3171" t="str">
            <v>HILO DENTAL</v>
          </cell>
          <cell r="G3171" t="str">
            <v>1916S</v>
          </cell>
          <cell r="H3171" t="str">
            <v>GUM</v>
          </cell>
          <cell r="I3171">
            <v>1.7</v>
          </cell>
        </row>
        <row r="3172">
          <cell r="A3172" t="str">
            <v>19-03171</v>
          </cell>
          <cell r="B3172" t="str">
            <v>ASTOR</v>
          </cell>
          <cell r="C3172" t="str">
            <v>A</v>
          </cell>
          <cell r="D3172" t="str">
            <v>SI</v>
          </cell>
          <cell r="E3172" t="str">
            <v>SAL ANDREWS CLASICA POLV EFERVESCENTE CAJA DE 12X1</v>
          </cell>
          <cell r="F3172" t="str">
            <v>MEDICINA</v>
          </cell>
          <cell r="G3172" t="str">
            <v>010SB</v>
          </cell>
          <cell r="H3172" t="str">
            <v>SAL ANDREWS</v>
          </cell>
          <cell r="I3172">
            <v>1.8</v>
          </cell>
        </row>
        <row r="3173">
          <cell r="A3173" t="str">
            <v>19-03172</v>
          </cell>
          <cell r="B3173" t="str">
            <v>ASTOR</v>
          </cell>
          <cell r="C3173" t="str">
            <v>A</v>
          </cell>
          <cell r="D3173" t="str">
            <v>NO</v>
          </cell>
          <cell r="E3173" t="str">
            <v>SAL ANDREWS CLASICA POLVO EFERVESCENTE CAJA DE 50</v>
          </cell>
          <cell r="F3173" t="str">
            <v>MEDICINA</v>
          </cell>
          <cell r="G3173">
            <v>200041010</v>
          </cell>
          <cell r="H3173" t="str">
            <v>SAL ANDREWS</v>
          </cell>
          <cell r="I3173">
            <v>0</v>
          </cell>
        </row>
        <row r="3174">
          <cell r="A3174" t="str">
            <v>19-03173</v>
          </cell>
          <cell r="B3174" t="str">
            <v>ASTOR</v>
          </cell>
          <cell r="C3174" t="str">
            <v>A</v>
          </cell>
          <cell r="D3174" t="str">
            <v>SI</v>
          </cell>
          <cell r="E3174" t="str">
            <v>SAL ANDREWS LIMON-POLVO EFERVESCENTE ORAL DE 12</v>
          </cell>
          <cell r="F3174" t="str">
            <v>MEDICINA</v>
          </cell>
          <cell r="G3174">
            <v>200041018</v>
          </cell>
          <cell r="H3174" t="str">
            <v>SAL ANDREWS</v>
          </cell>
          <cell r="I3174">
            <v>0</v>
          </cell>
        </row>
        <row r="3175">
          <cell r="A3175" t="str">
            <v>19-03174</v>
          </cell>
          <cell r="B3175" t="str">
            <v>ASTOR</v>
          </cell>
          <cell r="C3175" t="str">
            <v>A</v>
          </cell>
          <cell r="D3175" t="str">
            <v>SI</v>
          </cell>
          <cell r="E3175" t="str">
            <v>SAL ANDREWS MANZANILLA POLVO EFERVESCENTE DE 12</v>
          </cell>
          <cell r="F3175" t="str">
            <v>MEDICINA</v>
          </cell>
          <cell r="G3175">
            <v>200041036</v>
          </cell>
          <cell r="H3175" t="str">
            <v>SAL ANDREWS</v>
          </cell>
          <cell r="I3175">
            <v>1.64</v>
          </cell>
        </row>
        <row r="3176">
          <cell r="A3176" t="str">
            <v>19-03175</v>
          </cell>
          <cell r="B3176" t="str">
            <v>ASTOR</v>
          </cell>
          <cell r="C3176" t="str">
            <v>A</v>
          </cell>
          <cell r="D3176" t="str">
            <v>SI</v>
          </cell>
          <cell r="E3176" t="str">
            <v>PANADOL MULTISYMPTON NON DROWSY 16X1</v>
          </cell>
          <cell r="F3176" t="str">
            <v>MEDICINA</v>
          </cell>
          <cell r="G3176" t="str">
            <v>013SB</v>
          </cell>
          <cell r="H3176" t="str">
            <v>PANADOL</v>
          </cell>
          <cell r="I3176">
            <v>3.3</v>
          </cell>
        </row>
        <row r="3177">
          <cell r="A3177" t="str">
            <v>19-03176</v>
          </cell>
          <cell r="B3177" t="str">
            <v>ASTOR</v>
          </cell>
          <cell r="C3177" t="str">
            <v>A</v>
          </cell>
          <cell r="D3177" t="str">
            <v>SI</v>
          </cell>
          <cell r="E3177" t="str">
            <v>PANADOL ANT.12'S CA</v>
          </cell>
          <cell r="F3177" t="str">
            <v>MEDICINA</v>
          </cell>
          <cell r="G3177">
            <v>200073103</v>
          </cell>
          <cell r="H3177" t="str">
            <v>PANADOL</v>
          </cell>
          <cell r="I3177">
            <v>0</v>
          </cell>
        </row>
        <row r="3178">
          <cell r="A3178" t="str">
            <v>19-03177</v>
          </cell>
          <cell r="B3178" t="str">
            <v>ASTOR</v>
          </cell>
          <cell r="C3178" t="str">
            <v>A</v>
          </cell>
          <cell r="D3178" t="str">
            <v>NO</v>
          </cell>
          <cell r="E3178" t="str">
            <v>PANADOL EXTRA FUERTE DE 100'S</v>
          </cell>
          <cell r="F3178" t="str">
            <v>MEDICINA</v>
          </cell>
          <cell r="G3178">
            <v>200680059</v>
          </cell>
          <cell r="H3178" t="str">
            <v>PANADOL</v>
          </cell>
          <cell r="I3178">
            <v>0</v>
          </cell>
        </row>
        <row r="3179">
          <cell r="A3179" t="str">
            <v>19-03178</v>
          </cell>
          <cell r="B3179" t="str">
            <v>ASTOR</v>
          </cell>
          <cell r="C3179" t="str">
            <v>A</v>
          </cell>
          <cell r="D3179" t="str">
            <v>SI</v>
          </cell>
          <cell r="E3179" t="str">
            <v>PANADOL ULTRA DE 16X1</v>
          </cell>
          <cell r="F3179" t="str">
            <v>MEDICINA</v>
          </cell>
          <cell r="G3179" t="str">
            <v>010SKB</v>
          </cell>
          <cell r="H3179" t="str">
            <v>PANADOL</v>
          </cell>
          <cell r="I3179">
            <v>2.12</v>
          </cell>
        </row>
        <row r="3180">
          <cell r="A3180" t="str">
            <v>19-03179</v>
          </cell>
          <cell r="B3180" t="str">
            <v>ASTOR</v>
          </cell>
          <cell r="C3180" t="str">
            <v>A</v>
          </cell>
          <cell r="D3180" t="str">
            <v>SI</v>
          </cell>
          <cell r="E3180" t="str">
            <v>PANADOL EXTRA FUERTE</v>
          </cell>
          <cell r="F3180" t="str">
            <v>MEDICINA</v>
          </cell>
          <cell r="G3180">
            <v>200680065</v>
          </cell>
          <cell r="H3180" t="str">
            <v>PANADOL</v>
          </cell>
          <cell r="I3180">
            <v>0</v>
          </cell>
        </row>
        <row r="3181">
          <cell r="A3181" t="str">
            <v>19-03180</v>
          </cell>
          <cell r="B3181" t="str">
            <v>ASTOR</v>
          </cell>
          <cell r="C3181" t="str">
            <v>A</v>
          </cell>
          <cell r="D3181" t="str">
            <v>SI</v>
          </cell>
          <cell r="E3181" t="str">
            <v>TYLENOL EXT.FORTE CAPLETS DISPENSADOR DE 50 SOBRES</v>
          </cell>
          <cell r="F3181" t="str">
            <v>MEDICINA</v>
          </cell>
          <cell r="G3181">
            <v>300032</v>
          </cell>
          <cell r="H3181" t="str">
            <v>TYLENOL</v>
          </cell>
          <cell r="I3181">
            <v>8.43</v>
          </cell>
        </row>
        <row r="3182">
          <cell r="A3182" t="str">
            <v>19-03181</v>
          </cell>
          <cell r="B3182" t="str">
            <v>ASTOR</v>
          </cell>
          <cell r="C3182" t="str">
            <v>A</v>
          </cell>
          <cell r="D3182" t="str">
            <v>SI</v>
          </cell>
          <cell r="E3182" t="str">
            <v>TYLENOL EXTRA FUERTE 24 CAPSULES BIL</v>
          </cell>
          <cell r="F3182" t="str">
            <v>MEDICINA</v>
          </cell>
          <cell r="G3182">
            <v>300398</v>
          </cell>
          <cell r="H3182" t="str">
            <v>TYLENOL</v>
          </cell>
          <cell r="I3182">
            <v>3.19</v>
          </cell>
        </row>
        <row r="3183">
          <cell r="A3183" t="str">
            <v>19-03182</v>
          </cell>
          <cell r="B3183" t="str">
            <v>ASTOR</v>
          </cell>
          <cell r="C3183" t="str">
            <v>A</v>
          </cell>
          <cell r="D3183" t="str">
            <v>SI</v>
          </cell>
          <cell r="E3183" t="str">
            <v>TYLENOL EXTRA FUERTE 50 CAPSULES BIL</v>
          </cell>
          <cell r="F3183" t="str">
            <v>MEDICINA</v>
          </cell>
          <cell r="G3183">
            <v>300399</v>
          </cell>
          <cell r="H3183" t="str">
            <v>TYLENOL</v>
          </cell>
          <cell r="I3183">
            <v>6.22</v>
          </cell>
        </row>
        <row r="3184">
          <cell r="A3184" t="str">
            <v>19-03183</v>
          </cell>
          <cell r="B3184" t="str">
            <v>ASTOR</v>
          </cell>
          <cell r="C3184" t="str">
            <v>A</v>
          </cell>
          <cell r="D3184" t="str">
            <v>SI</v>
          </cell>
          <cell r="E3184" t="str">
            <v>TYLENOL EXTRA FUERTE 100 CAPSULES BIL</v>
          </cell>
          <cell r="F3184" t="str">
            <v>MEDICINA</v>
          </cell>
          <cell r="G3184">
            <v>300400</v>
          </cell>
          <cell r="H3184" t="str">
            <v>TYLENOL</v>
          </cell>
          <cell r="I3184">
            <v>10.58</v>
          </cell>
        </row>
        <row r="3185">
          <cell r="A3185" t="str">
            <v>19-03184</v>
          </cell>
          <cell r="B3185" t="str">
            <v>ASTOR</v>
          </cell>
          <cell r="C3185" t="str">
            <v>A</v>
          </cell>
          <cell r="D3185" t="str">
            <v>SI</v>
          </cell>
          <cell r="E3185" t="str">
            <v>TYLENOL LIQUIDO DE 60 ML SUSPENSION CHERRY</v>
          </cell>
          <cell r="F3185" t="str">
            <v>MEDICINA</v>
          </cell>
          <cell r="G3185">
            <v>300402</v>
          </cell>
          <cell r="H3185" t="str">
            <v>TYLENOL</v>
          </cell>
          <cell r="I3185">
            <v>2.93</v>
          </cell>
        </row>
        <row r="3186">
          <cell r="A3186" t="str">
            <v>19-03185</v>
          </cell>
          <cell r="B3186" t="str">
            <v>ASTOR</v>
          </cell>
          <cell r="C3186" t="str">
            <v>A</v>
          </cell>
          <cell r="D3186" t="str">
            <v>SI</v>
          </cell>
          <cell r="E3186" t="str">
            <v>MOTRIN 40MG/54 SUSPENSION PEDIATRICA GOTAS DE 15 ML</v>
          </cell>
          <cell r="F3186" t="str">
            <v>MEDICINA</v>
          </cell>
          <cell r="G3186">
            <v>902637</v>
          </cell>
          <cell r="H3186" t="str">
            <v>MOTRIN</v>
          </cell>
          <cell r="I3186">
            <v>0</v>
          </cell>
        </row>
        <row r="3187">
          <cell r="A3187" t="str">
            <v>19-03186</v>
          </cell>
          <cell r="B3187" t="str">
            <v>ASTOR</v>
          </cell>
          <cell r="C3187" t="str">
            <v>A</v>
          </cell>
          <cell r="D3187" t="str">
            <v>SI</v>
          </cell>
          <cell r="E3187" t="str">
            <v>TYLENOL SUSPENSION GOTAS DE 15 ML SABOR CEREZA</v>
          </cell>
          <cell r="F3187" t="str">
            <v>MEDICINA</v>
          </cell>
          <cell r="G3187">
            <v>910465</v>
          </cell>
          <cell r="H3187" t="str">
            <v>TYLENOL</v>
          </cell>
          <cell r="I3187">
            <v>3.53</v>
          </cell>
        </row>
        <row r="3188">
          <cell r="A3188" t="str">
            <v>19-03187</v>
          </cell>
          <cell r="B3188" t="str">
            <v>ASTOR</v>
          </cell>
          <cell r="C3188" t="str">
            <v>A</v>
          </cell>
          <cell r="D3188" t="str">
            <v>SI</v>
          </cell>
          <cell r="E3188" t="str">
            <v>TYLENOL EXTRA FUERTE DE 10 SOBRES</v>
          </cell>
          <cell r="F3188" t="str">
            <v>MEDICINA</v>
          </cell>
          <cell r="G3188">
            <v>99556</v>
          </cell>
          <cell r="H3188" t="str">
            <v>TYLENOL</v>
          </cell>
          <cell r="I3188">
            <v>1.97</v>
          </cell>
        </row>
        <row r="3189">
          <cell r="A3189" t="str">
            <v>19-03188</v>
          </cell>
          <cell r="B3189" t="str">
            <v>ASTOR</v>
          </cell>
          <cell r="C3189" t="str">
            <v>A</v>
          </cell>
          <cell r="D3189" t="str">
            <v>SI</v>
          </cell>
          <cell r="E3189" t="str">
            <v>VISINA ORIGINAL SOLUCION OFTALMICA GOTAS DE 15 ML</v>
          </cell>
          <cell r="F3189" t="str">
            <v>MEDICINA</v>
          </cell>
          <cell r="G3189">
            <v>4879</v>
          </cell>
          <cell r="H3189" t="str">
            <v>VISINA</v>
          </cell>
          <cell r="I3189">
            <v>3.27</v>
          </cell>
        </row>
        <row r="3190">
          <cell r="A3190" t="str">
            <v>19-03189</v>
          </cell>
          <cell r="B3190" t="str">
            <v>ASTOR</v>
          </cell>
          <cell r="C3190" t="str">
            <v>A</v>
          </cell>
          <cell r="D3190" t="str">
            <v>SI</v>
          </cell>
          <cell r="E3190" t="str">
            <v>BENADRIL ULTRA DE 24 TAB. 25 MG</v>
          </cell>
          <cell r="F3190" t="str">
            <v>MEDICINA</v>
          </cell>
          <cell r="G3190">
            <v>56189</v>
          </cell>
          <cell r="H3190" t="str">
            <v>SINUTAB</v>
          </cell>
          <cell r="I3190">
            <v>0</v>
          </cell>
        </row>
        <row r="3191">
          <cell r="A3191" t="str">
            <v>19-03190</v>
          </cell>
          <cell r="B3191" t="str">
            <v>ASTOR</v>
          </cell>
          <cell r="C3191" t="str">
            <v>A</v>
          </cell>
          <cell r="D3191" t="str">
            <v>SI</v>
          </cell>
          <cell r="E3191" t="str">
            <v>SINUTAB PLUS NS DE 12 TABLETAS RECUBIERTAS</v>
          </cell>
          <cell r="F3191" t="str">
            <v>MEDICINA</v>
          </cell>
          <cell r="G3191">
            <v>915535</v>
          </cell>
          <cell r="H3191" t="str">
            <v>SINUTAB</v>
          </cell>
          <cell r="I3191">
            <v>0</v>
          </cell>
        </row>
        <row r="3192">
          <cell r="A3192" t="str">
            <v>19-03191</v>
          </cell>
          <cell r="B3192" t="str">
            <v>ASTOR</v>
          </cell>
          <cell r="C3192" t="str">
            <v>A</v>
          </cell>
          <cell r="D3192" t="str">
            <v>NO</v>
          </cell>
          <cell r="E3192" t="str">
            <v>SINUTAB PLUS DE 96 TABLETAS RECUBIERTAS</v>
          </cell>
          <cell r="F3192" t="str">
            <v>MEDICINA</v>
          </cell>
          <cell r="G3192">
            <v>915559</v>
          </cell>
          <cell r="H3192" t="str">
            <v>SINUTAB</v>
          </cell>
          <cell r="I3192">
            <v>0</v>
          </cell>
        </row>
        <row r="3193">
          <cell r="A3193" t="str">
            <v>19-03192</v>
          </cell>
          <cell r="B3193" t="str">
            <v>ASTOR</v>
          </cell>
          <cell r="C3193" t="str">
            <v>A</v>
          </cell>
          <cell r="D3193" t="str">
            <v>SI</v>
          </cell>
          <cell r="E3193" t="str">
            <v>SINUTAB PLUS DE 12 TABLETAS RECUBIERTAS</v>
          </cell>
          <cell r="F3193" t="str">
            <v>MEDICINA</v>
          </cell>
          <cell r="G3193">
            <v>915566</v>
          </cell>
          <cell r="H3193" t="str">
            <v>SINUTAB</v>
          </cell>
          <cell r="I3193">
            <v>0</v>
          </cell>
        </row>
        <row r="3194">
          <cell r="A3194" t="str">
            <v>19-03193</v>
          </cell>
          <cell r="B3194" t="str">
            <v>ASTOR</v>
          </cell>
          <cell r="C3194" t="str">
            <v>A</v>
          </cell>
          <cell r="D3194" t="str">
            <v>SI</v>
          </cell>
          <cell r="E3194" t="str">
            <v>LISTERINE ZERO CLEAN MINT DE 95 ML</v>
          </cell>
          <cell r="F3194" t="str">
            <v>ENJUAGUE BUCAL</v>
          </cell>
          <cell r="G3194">
            <v>58211</v>
          </cell>
          <cell r="H3194" t="str">
            <v>LISTERINE</v>
          </cell>
          <cell r="I3194">
            <v>0</v>
          </cell>
        </row>
        <row r="3195">
          <cell r="A3195" t="str">
            <v>19-03194</v>
          </cell>
          <cell r="B3195" t="str">
            <v>ASTOR</v>
          </cell>
          <cell r="C3195" t="str">
            <v>A</v>
          </cell>
          <cell r="D3195" t="str">
            <v>SI</v>
          </cell>
          <cell r="E3195" t="str">
            <v>DRAMAMINE 50 MG DE 24 TABLETAS</v>
          </cell>
          <cell r="F3195" t="str">
            <v>MEDICINA</v>
          </cell>
          <cell r="G3195">
            <v>64209044</v>
          </cell>
          <cell r="H3195" t="str">
            <v>DRAMAMINE</v>
          </cell>
          <cell r="I3195">
            <v>0</v>
          </cell>
        </row>
        <row r="3196">
          <cell r="A3196" t="str">
            <v>19-03195</v>
          </cell>
          <cell r="B3196" t="str">
            <v>ASTOR</v>
          </cell>
          <cell r="C3196" t="str">
            <v>A</v>
          </cell>
          <cell r="D3196" t="str">
            <v>SI</v>
          </cell>
          <cell r="E3196" t="str">
            <v>LOMOTIL 2 MG/855 DE 40 TABLETAS</v>
          </cell>
          <cell r="F3196" t="str">
            <v>MEDICINA</v>
          </cell>
          <cell r="G3196">
            <v>88741</v>
          </cell>
          <cell r="H3196" t="str">
            <v>LOMOTIL</v>
          </cell>
          <cell r="I3196">
            <v>12.42</v>
          </cell>
        </row>
        <row r="3197">
          <cell r="A3197" t="str">
            <v>19-03196</v>
          </cell>
          <cell r="B3197" t="str">
            <v>ORKHON GROUP</v>
          </cell>
          <cell r="C3197" t="str">
            <v>A</v>
          </cell>
          <cell r="D3197" t="str">
            <v>N/A</v>
          </cell>
          <cell r="E3197" t="str">
            <v>A1503-237 ALTAMAR PULSERA CLOE</v>
          </cell>
          <cell r="F3197" t="str">
            <v>BRAZALETE</v>
          </cell>
          <cell r="G3197" t="str">
            <v>A1503-237</v>
          </cell>
          <cell r="H3197" t="str">
            <v>ALTAMAR</v>
          </cell>
          <cell r="I3197">
            <v>2.472</v>
          </cell>
        </row>
        <row r="3198">
          <cell r="A3198" t="str">
            <v>19-03197</v>
          </cell>
          <cell r="B3198" t="str">
            <v>ORKHON GROUP</v>
          </cell>
          <cell r="C3198" t="str">
            <v>A</v>
          </cell>
          <cell r="D3198" t="str">
            <v>N/A</v>
          </cell>
          <cell r="E3198" t="str">
            <v>A1503-219 ALTAMAR PULSERA</v>
          </cell>
          <cell r="F3198" t="str">
            <v>BRAZALETE</v>
          </cell>
          <cell r="G3198" t="str">
            <v>A1503-219</v>
          </cell>
          <cell r="H3198" t="str">
            <v>ALTAMAR</v>
          </cell>
          <cell r="I3198">
            <v>0</v>
          </cell>
        </row>
        <row r="3199">
          <cell r="A3199" t="str">
            <v>19-03198</v>
          </cell>
          <cell r="B3199" t="str">
            <v>ORKHON GROUP</v>
          </cell>
          <cell r="C3199" t="str">
            <v>A</v>
          </cell>
          <cell r="D3199" t="str">
            <v>N/A</v>
          </cell>
          <cell r="E3199" t="str">
            <v>A1503-165 ALTAMAR COLLAR</v>
          </cell>
          <cell r="F3199" t="str">
            <v>COLLAR</v>
          </cell>
          <cell r="G3199" t="str">
            <v>A1503-165</v>
          </cell>
          <cell r="H3199" t="str">
            <v>ALTAMAR</v>
          </cell>
          <cell r="I3199">
            <v>8.2929999999999993</v>
          </cell>
        </row>
        <row r="3200">
          <cell r="A3200" t="str">
            <v>19-03199</v>
          </cell>
          <cell r="B3200" t="str">
            <v>ORKHON GROUP</v>
          </cell>
          <cell r="C3200" t="str">
            <v>A</v>
          </cell>
          <cell r="D3200" t="str">
            <v>N/A</v>
          </cell>
          <cell r="E3200" t="str">
            <v>A1503-84 ALTAMAR COLLAR</v>
          </cell>
          <cell r="F3200" t="str">
            <v>COLLAR</v>
          </cell>
          <cell r="G3200" t="str">
            <v>A1503-84</v>
          </cell>
          <cell r="H3200" t="str">
            <v>ALTAMAR</v>
          </cell>
          <cell r="I3200">
            <v>7.8979999999999997</v>
          </cell>
        </row>
        <row r="3201">
          <cell r="A3201" t="str">
            <v>19-03200</v>
          </cell>
          <cell r="B3201" t="str">
            <v>ORKHON GROUP</v>
          </cell>
          <cell r="C3201" t="str">
            <v>A</v>
          </cell>
          <cell r="D3201" t="str">
            <v>N/A</v>
          </cell>
          <cell r="E3201" t="str">
            <v>A1503-85 ALTAMAR COLLAR</v>
          </cell>
          <cell r="F3201" t="str">
            <v>COLLAR</v>
          </cell>
          <cell r="G3201" t="str">
            <v>A1503-85</v>
          </cell>
          <cell r="H3201" t="str">
            <v>ALTAMAR</v>
          </cell>
          <cell r="I3201">
            <v>9.1809999999999992</v>
          </cell>
        </row>
        <row r="3202">
          <cell r="A3202" t="str">
            <v>19-03201</v>
          </cell>
          <cell r="B3202" t="str">
            <v>ORKHON GROUP</v>
          </cell>
          <cell r="C3202" t="str">
            <v>A</v>
          </cell>
          <cell r="D3202" t="str">
            <v>N/A</v>
          </cell>
          <cell r="E3202" t="str">
            <v>A1503-86 ALTAMAR COLLAR</v>
          </cell>
          <cell r="F3202" t="str">
            <v>COLLAR</v>
          </cell>
          <cell r="G3202" t="str">
            <v>A1503-86</v>
          </cell>
          <cell r="H3202" t="str">
            <v>ALTAMAR</v>
          </cell>
          <cell r="I3202">
            <v>7.8979999999999997</v>
          </cell>
        </row>
        <row r="3203">
          <cell r="A3203" t="str">
            <v>19-03202</v>
          </cell>
          <cell r="B3203" t="str">
            <v>ORKHON GROUP</v>
          </cell>
          <cell r="C3203" t="str">
            <v>A</v>
          </cell>
          <cell r="D3203" t="str">
            <v>N/A</v>
          </cell>
          <cell r="E3203" t="str">
            <v>A1503-87 ALTAMAR COLLAR</v>
          </cell>
          <cell r="F3203" t="str">
            <v>COLLAR</v>
          </cell>
          <cell r="G3203" t="str">
            <v>A1503-87</v>
          </cell>
          <cell r="H3203" t="str">
            <v>ALTAMAR</v>
          </cell>
          <cell r="I3203">
            <v>7.9</v>
          </cell>
        </row>
        <row r="3204">
          <cell r="A3204" t="str">
            <v>19-03203</v>
          </cell>
          <cell r="B3204" t="str">
            <v>ORKHON GROUP</v>
          </cell>
          <cell r="C3204" t="str">
            <v>A</v>
          </cell>
          <cell r="D3204" t="str">
            <v>N/A</v>
          </cell>
          <cell r="E3204" t="str">
            <v>A1503-89 ALTAMAR COLLAR</v>
          </cell>
          <cell r="F3204" t="str">
            <v>COLLAR</v>
          </cell>
          <cell r="G3204" t="str">
            <v>A1503-89</v>
          </cell>
          <cell r="H3204" t="str">
            <v>ALTAMAR</v>
          </cell>
          <cell r="I3204">
            <v>8.2929999999999993</v>
          </cell>
        </row>
        <row r="3205">
          <cell r="A3205" t="str">
            <v>19-03204</v>
          </cell>
          <cell r="B3205" t="str">
            <v>ORKHON GROUP</v>
          </cell>
          <cell r="C3205" t="str">
            <v>A</v>
          </cell>
          <cell r="D3205" t="str">
            <v>N/A</v>
          </cell>
          <cell r="E3205" t="str">
            <v>A1503-90 ALTAMAR COLLAR</v>
          </cell>
          <cell r="F3205" t="str">
            <v>COLLAR</v>
          </cell>
          <cell r="G3205" t="str">
            <v>A1503-90</v>
          </cell>
          <cell r="H3205" t="str">
            <v>ALTAMAR</v>
          </cell>
          <cell r="I3205">
            <v>7.8979999999999997</v>
          </cell>
        </row>
        <row r="3206">
          <cell r="A3206" t="str">
            <v>19-03205</v>
          </cell>
          <cell r="B3206" t="str">
            <v>ORKHON GROUP</v>
          </cell>
          <cell r="C3206" t="str">
            <v>A</v>
          </cell>
          <cell r="D3206" t="str">
            <v>N/A</v>
          </cell>
          <cell r="E3206" t="str">
            <v>B1503-19 ALTAMAR BUFANDAS</v>
          </cell>
          <cell r="F3206" t="str">
            <v>BUFANDA</v>
          </cell>
          <cell r="G3206" t="str">
            <v>B1503-19</v>
          </cell>
          <cell r="H3206" t="str">
            <v>ALTAMAR</v>
          </cell>
          <cell r="I3206">
            <v>0</v>
          </cell>
        </row>
        <row r="3207">
          <cell r="A3207" t="str">
            <v>19-03206</v>
          </cell>
          <cell r="B3207" t="str">
            <v>ORKHON GROUP</v>
          </cell>
          <cell r="C3207" t="str">
            <v>A</v>
          </cell>
          <cell r="D3207" t="str">
            <v>N/A</v>
          </cell>
          <cell r="E3207" t="str">
            <v>S1503-54 ALTAMAR SOMBRERO</v>
          </cell>
          <cell r="F3207" t="str">
            <v>SOMBREROS</v>
          </cell>
          <cell r="G3207" t="str">
            <v>S1503-54</v>
          </cell>
          <cell r="H3207" t="str">
            <v>ALTAMAR</v>
          </cell>
          <cell r="I3207">
            <v>7.8959999999999999</v>
          </cell>
        </row>
        <row r="3208">
          <cell r="A3208" t="str">
            <v>19-03207</v>
          </cell>
          <cell r="B3208" t="str">
            <v>ORKHON GROUP</v>
          </cell>
          <cell r="C3208" t="str">
            <v>A</v>
          </cell>
          <cell r="D3208" t="str">
            <v>N/A</v>
          </cell>
          <cell r="E3208" t="str">
            <v>S1503-36 ALTAMAR SOMBRERO</v>
          </cell>
          <cell r="F3208" t="str">
            <v>SOMBREROS</v>
          </cell>
          <cell r="G3208" t="str">
            <v>S1503-36</v>
          </cell>
          <cell r="H3208" t="str">
            <v>ALTAMAR</v>
          </cell>
          <cell r="I3208">
            <v>8.8829999999999991</v>
          </cell>
        </row>
        <row r="3209">
          <cell r="A3209" t="str">
            <v>19-03208</v>
          </cell>
          <cell r="B3209" t="str">
            <v>ORKHON GROUP</v>
          </cell>
          <cell r="C3209" t="str">
            <v>A</v>
          </cell>
          <cell r="D3209" t="str">
            <v>N/A</v>
          </cell>
          <cell r="E3209" t="str">
            <v>C1503-28 ALTAMAR BOLSO PLASTICO</v>
          </cell>
          <cell r="F3209" t="str">
            <v>BOLSO</v>
          </cell>
          <cell r="G3209" t="str">
            <v>C1503-28</v>
          </cell>
          <cell r="H3209" t="str">
            <v>ALTAMAR</v>
          </cell>
          <cell r="I3209">
            <v>0</v>
          </cell>
        </row>
        <row r="3210">
          <cell r="A3210" t="str">
            <v>19-03209</v>
          </cell>
          <cell r="B3210" t="str">
            <v>ORKHON GROUP</v>
          </cell>
          <cell r="C3210" t="str">
            <v>A</v>
          </cell>
          <cell r="D3210" t="str">
            <v>N/A</v>
          </cell>
          <cell r="E3210" t="str">
            <v>C1503-03 ALTAMAR CARTERA MEDIANA</v>
          </cell>
          <cell r="F3210" t="str">
            <v>CARTERA</v>
          </cell>
          <cell r="G3210" t="str">
            <v>C1503-03</v>
          </cell>
          <cell r="H3210" t="str">
            <v>ALTAMAR</v>
          </cell>
          <cell r="I3210">
            <v>0</v>
          </cell>
        </row>
        <row r="3211">
          <cell r="A3211" t="str">
            <v>19-03210</v>
          </cell>
          <cell r="B3211" t="str">
            <v>ORKHON GROUP</v>
          </cell>
          <cell r="C3211" t="str">
            <v>A</v>
          </cell>
          <cell r="D3211" t="str">
            <v>N/A</v>
          </cell>
          <cell r="E3211" t="str">
            <v>C1503-41 ALTAMAR CARTERA</v>
          </cell>
          <cell r="F3211" t="str">
            <v>CARTERA</v>
          </cell>
          <cell r="G3211" t="str">
            <v>C1503-41</v>
          </cell>
          <cell r="H3211" t="str">
            <v>ALTAMAR</v>
          </cell>
          <cell r="I3211">
            <v>11.353</v>
          </cell>
        </row>
        <row r="3212">
          <cell r="A3212" t="str">
            <v>19-03211</v>
          </cell>
          <cell r="B3212" t="str">
            <v>ORKHON GROUP</v>
          </cell>
          <cell r="C3212" t="str">
            <v>A</v>
          </cell>
          <cell r="D3212" t="str">
            <v>N/A</v>
          </cell>
          <cell r="E3212" t="str">
            <v>C1503-05 ALTAMAR CARTERA PEQUENA</v>
          </cell>
          <cell r="F3212" t="str">
            <v>CARTERA</v>
          </cell>
          <cell r="G3212" t="str">
            <v>C1503-05</v>
          </cell>
          <cell r="H3212" t="str">
            <v>ALTAMAR</v>
          </cell>
          <cell r="I3212">
            <v>0</v>
          </cell>
        </row>
        <row r="3213">
          <cell r="A3213" t="str">
            <v>19-03212</v>
          </cell>
          <cell r="B3213" t="str">
            <v>ORKHON GROUP</v>
          </cell>
          <cell r="C3213" t="str">
            <v>A</v>
          </cell>
          <cell r="D3213" t="str">
            <v>N/A</v>
          </cell>
          <cell r="E3213" t="str">
            <v>C1503-33 ALTAMAR MONEDERO</v>
          </cell>
          <cell r="F3213" t="str">
            <v>CARTERA</v>
          </cell>
          <cell r="G3213" t="str">
            <v>C1503-33</v>
          </cell>
          <cell r="H3213" t="str">
            <v>ALTAMAR</v>
          </cell>
          <cell r="I3213">
            <v>0</v>
          </cell>
        </row>
        <row r="3214">
          <cell r="A3214" t="str">
            <v>19-03213</v>
          </cell>
          <cell r="B3214" t="str">
            <v>ORKHON GROUP</v>
          </cell>
          <cell r="C3214" t="str">
            <v>A</v>
          </cell>
          <cell r="D3214" t="str">
            <v>N/A</v>
          </cell>
          <cell r="E3214" t="str">
            <v>C1503-71 ALTAMAR BOLSO</v>
          </cell>
          <cell r="F3214" t="str">
            <v>BOLSO</v>
          </cell>
          <cell r="G3214" t="str">
            <v>C1503-71</v>
          </cell>
          <cell r="H3214" t="str">
            <v>ALTAMAR</v>
          </cell>
          <cell r="I3214">
            <v>0</v>
          </cell>
        </row>
        <row r="3215">
          <cell r="A3215" t="str">
            <v>19-03214</v>
          </cell>
          <cell r="B3215" t="str">
            <v>ORKHON GROUP</v>
          </cell>
          <cell r="C3215" t="str">
            <v>A</v>
          </cell>
          <cell r="D3215" t="str">
            <v>N/A</v>
          </cell>
          <cell r="E3215" t="str">
            <v>C1503-17 ALTAMAR MONEDERO</v>
          </cell>
          <cell r="F3215" t="str">
            <v>CARTERA</v>
          </cell>
          <cell r="G3215" t="str">
            <v>C1503-17</v>
          </cell>
          <cell r="H3215" t="str">
            <v>ALTAMAR</v>
          </cell>
          <cell r="I3215">
            <v>0</v>
          </cell>
        </row>
        <row r="3216">
          <cell r="A3216" t="str">
            <v>19-03215</v>
          </cell>
          <cell r="B3216" t="str">
            <v>ORKHON GROUP</v>
          </cell>
          <cell r="C3216" t="str">
            <v>A</v>
          </cell>
          <cell r="D3216" t="str">
            <v>N/A</v>
          </cell>
          <cell r="E3216" t="str">
            <v>C1503-19 ALTAMAR BILLETERA</v>
          </cell>
          <cell r="F3216" t="str">
            <v>CARTERA</v>
          </cell>
          <cell r="G3216" t="str">
            <v>C1503-19</v>
          </cell>
          <cell r="H3216" t="str">
            <v>ALTAMAR</v>
          </cell>
          <cell r="I3216">
            <v>9.3780000000000001</v>
          </cell>
        </row>
        <row r="3217">
          <cell r="A3217" t="str">
            <v>19-03216</v>
          </cell>
          <cell r="B3217" t="str">
            <v>ORKHON GROUP</v>
          </cell>
          <cell r="C3217" t="str">
            <v>A</v>
          </cell>
          <cell r="D3217" t="str">
            <v>N/A</v>
          </cell>
          <cell r="E3217" t="str">
            <v>C1503-15 ALTAMAR MONEDERO</v>
          </cell>
          <cell r="F3217" t="str">
            <v>CARTERA</v>
          </cell>
          <cell r="G3217" t="str">
            <v>C1503-15</v>
          </cell>
          <cell r="H3217" t="str">
            <v>ALTAMAR</v>
          </cell>
          <cell r="I3217">
            <v>7.8979999999999997</v>
          </cell>
        </row>
        <row r="3218">
          <cell r="A3218" t="str">
            <v>19-03217</v>
          </cell>
          <cell r="B3218" t="str">
            <v>ORKHON GROUP</v>
          </cell>
          <cell r="C3218" t="str">
            <v>A</v>
          </cell>
          <cell r="D3218" t="str">
            <v>N/A</v>
          </cell>
          <cell r="E3218" t="str">
            <v>C1503-20 ALTAMAR BILLETERA</v>
          </cell>
          <cell r="F3218" t="str">
            <v>BOLSO</v>
          </cell>
          <cell r="G3218" t="str">
            <v>C1503-20</v>
          </cell>
          <cell r="H3218" t="str">
            <v>ALTAMAR</v>
          </cell>
          <cell r="I3218">
            <v>0</v>
          </cell>
        </row>
        <row r="3219">
          <cell r="A3219" t="str">
            <v>19-03218</v>
          </cell>
          <cell r="B3219" t="str">
            <v>ORKHON GROUP</v>
          </cell>
          <cell r="C3219" t="str">
            <v>A</v>
          </cell>
          <cell r="D3219" t="str">
            <v>N/A</v>
          </cell>
          <cell r="E3219" t="str">
            <v>C1503-67 ALTAMAR BOLSOS</v>
          </cell>
          <cell r="F3219" t="str">
            <v>BOLSO</v>
          </cell>
          <cell r="G3219" t="str">
            <v>C1503-67</v>
          </cell>
          <cell r="H3219" t="str">
            <v>ALTAMAR</v>
          </cell>
          <cell r="I3219">
            <v>9.8699999999999992</v>
          </cell>
        </row>
        <row r="3220">
          <cell r="A3220" t="str">
            <v>19-03219</v>
          </cell>
          <cell r="B3220" t="str">
            <v>ORKHON GROUP</v>
          </cell>
          <cell r="C3220" t="str">
            <v>A</v>
          </cell>
          <cell r="D3220" t="str">
            <v>N/A</v>
          </cell>
          <cell r="E3220" t="str">
            <v>C1503-53 ALTAMAR BOLSOS</v>
          </cell>
          <cell r="F3220" t="str">
            <v>BOLSO</v>
          </cell>
          <cell r="G3220" t="str">
            <v>C1503-53</v>
          </cell>
          <cell r="H3220" t="str">
            <v>ALTAMAR</v>
          </cell>
          <cell r="I3220">
            <v>12.831</v>
          </cell>
        </row>
        <row r="3221">
          <cell r="A3221" t="str">
            <v>19-03220</v>
          </cell>
          <cell r="B3221" t="str">
            <v>ORKHON GROUP</v>
          </cell>
          <cell r="C3221" t="str">
            <v>A</v>
          </cell>
          <cell r="D3221" t="str">
            <v>N/A</v>
          </cell>
          <cell r="E3221" t="str">
            <v>C1503-54 ALTAMAR BOLSOS</v>
          </cell>
          <cell r="F3221" t="str">
            <v>BOLSO</v>
          </cell>
          <cell r="G3221" t="str">
            <v>C1503-54</v>
          </cell>
          <cell r="H3221" t="str">
            <v>ALTAMAR</v>
          </cell>
          <cell r="I3221">
            <v>10.856999999999999</v>
          </cell>
        </row>
        <row r="3222">
          <cell r="A3222" t="str">
            <v>19-03221</v>
          </cell>
          <cell r="B3222" t="str">
            <v>ORKHON GROUP</v>
          </cell>
          <cell r="C3222" t="str">
            <v>A</v>
          </cell>
          <cell r="D3222" t="str">
            <v>N/A</v>
          </cell>
          <cell r="E3222" t="str">
            <v>C1503-68 ALTAMAR BOLSO DE PLAYA</v>
          </cell>
          <cell r="F3222" t="str">
            <v>BOLSO</v>
          </cell>
          <cell r="G3222" t="str">
            <v>C1503-68</v>
          </cell>
          <cell r="H3222" t="str">
            <v>ALTAMAR</v>
          </cell>
          <cell r="I3222">
            <v>9.8699999999999992</v>
          </cell>
        </row>
        <row r="3223">
          <cell r="A3223" t="str">
            <v>19-03222</v>
          </cell>
          <cell r="B3223" t="str">
            <v>ORKHON GROUP</v>
          </cell>
          <cell r="C3223" t="str">
            <v>A</v>
          </cell>
          <cell r="D3223" t="str">
            <v>N/A</v>
          </cell>
          <cell r="E3223" t="str">
            <v>C1503-21 ALTAMAR CARTERA GRANDE</v>
          </cell>
          <cell r="F3223" t="str">
            <v>CARTERA</v>
          </cell>
          <cell r="G3223" t="str">
            <v>C1503-21</v>
          </cell>
          <cell r="H3223" t="str">
            <v>ALTAMAR</v>
          </cell>
          <cell r="I3223">
            <v>0</v>
          </cell>
        </row>
        <row r="3224">
          <cell r="A3224" t="str">
            <v>19-03223</v>
          </cell>
          <cell r="B3224" t="str">
            <v>ORKHON GROUP</v>
          </cell>
          <cell r="C3224" t="str">
            <v>A</v>
          </cell>
          <cell r="D3224" t="str">
            <v>N/A</v>
          </cell>
          <cell r="E3224" t="str">
            <v>C1503-26 ALTAMAR CARTERA GRANDE</v>
          </cell>
          <cell r="F3224" t="str">
            <v>CARTERA</v>
          </cell>
          <cell r="G3224" t="str">
            <v>C1503-26</v>
          </cell>
          <cell r="H3224" t="str">
            <v>ALTAMAR</v>
          </cell>
          <cell r="I3224">
            <v>0</v>
          </cell>
        </row>
        <row r="3225">
          <cell r="A3225" t="str">
            <v>19-03224</v>
          </cell>
          <cell r="B3225" t="str">
            <v>ORKHON GROUP</v>
          </cell>
          <cell r="C3225" t="str">
            <v>A</v>
          </cell>
          <cell r="D3225" t="str">
            <v>N/A</v>
          </cell>
          <cell r="E3225" t="str">
            <v>C1503-11 ALTAMAR CARTERA</v>
          </cell>
          <cell r="F3225" t="str">
            <v>CARTERA</v>
          </cell>
          <cell r="G3225" t="str">
            <v>C1503-11</v>
          </cell>
          <cell r="H3225" t="str">
            <v>ALTAMAR</v>
          </cell>
          <cell r="I3225">
            <v>0</v>
          </cell>
        </row>
        <row r="3226">
          <cell r="A3226" t="str">
            <v>19-03225</v>
          </cell>
          <cell r="B3226" t="str">
            <v>ORKHON GROUP</v>
          </cell>
          <cell r="C3226" t="str">
            <v>A</v>
          </cell>
          <cell r="D3226" t="str">
            <v>N/A</v>
          </cell>
          <cell r="E3226" t="str">
            <v>C1503-27 ALTAMAR BOLSO PLASTICO</v>
          </cell>
          <cell r="F3226" t="str">
            <v>BOLSO</v>
          </cell>
          <cell r="G3226" t="str">
            <v>C1503-27</v>
          </cell>
          <cell r="H3226" t="str">
            <v>ALTAMAR</v>
          </cell>
          <cell r="I3226">
            <v>0</v>
          </cell>
        </row>
        <row r="3227">
          <cell r="A3227" t="str">
            <v>19-03226</v>
          </cell>
          <cell r="B3227" t="str">
            <v>ORKHON GROUP</v>
          </cell>
          <cell r="C3227" t="str">
            <v>A</v>
          </cell>
          <cell r="D3227" t="str">
            <v>N/A</v>
          </cell>
          <cell r="E3227" t="str">
            <v>C1503-24 ALTAMAR CARTERA GRANDE</v>
          </cell>
          <cell r="F3227" t="str">
            <v>CARTERA</v>
          </cell>
          <cell r="G3227" t="str">
            <v>C1503-24</v>
          </cell>
          <cell r="H3227" t="str">
            <v>ALTAMAR</v>
          </cell>
          <cell r="I3227">
            <v>0</v>
          </cell>
        </row>
        <row r="3228">
          <cell r="A3228" t="str">
            <v>19-03227</v>
          </cell>
          <cell r="B3228" t="str">
            <v>ORKHON GROUP</v>
          </cell>
          <cell r="C3228" t="str">
            <v>A</v>
          </cell>
          <cell r="D3228" t="str">
            <v>N/A</v>
          </cell>
          <cell r="E3228" t="str">
            <v>C1503-07 ALTAMAR CARTERA PEQUENA</v>
          </cell>
          <cell r="F3228" t="str">
            <v>CARTERA</v>
          </cell>
          <cell r="G3228" t="str">
            <v>C1503-07</v>
          </cell>
          <cell r="H3228" t="str">
            <v>ALTAMAR</v>
          </cell>
          <cell r="I3228">
            <v>0</v>
          </cell>
        </row>
        <row r="3229">
          <cell r="A3229" t="str">
            <v>19-03228</v>
          </cell>
          <cell r="B3229" t="str">
            <v>ORKHON GROUP</v>
          </cell>
          <cell r="C3229" t="str">
            <v>A</v>
          </cell>
          <cell r="D3229" t="str">
            <v>N/A</v>
          </cell>
          <cell r="E3229" t="str">
            <v>C1503-08 ALTAMAR CARTERA PEQUENA</v>
          </cell>
          <cell r="F3229" t="str">
            <v>CARTERA</v>
          </cell>
          <cell r="G3229" t="str">
            <v>C1503-08</v>
          </cell>
          <cell r="H3229" t="str">
            <v>ALTAMAR</v>
          </cell>
          <cell r="I3229">
            <v>0</v>
          </cell>
        </row>
        <row r="3230">
          <cell r="A3230" t="str">
            <v>19-03229</v>
          </cell>
          <cell r="B3230" t="str">
            <v>ORKHON GROUP</v>
          </cell>
          <cell r="C3230" t="str">
            <v>A</v>
          </cell>
          <cell r="D3230" t="str">
            <v>N/A</v>
          </cell>
          <cell r="E3230" t="str">
            <v>C1503-38 ALTAMAR MONEDERO</v>
          </cell>
          <cell r="F3230" t="str">
            <v>CARTERA</v>
          </cell>
          <cell r="G3230" t="str">
            <v>C1503-38</v>
          </cell>
          <cell r="H3230" t="str">
            <v>ALTAMAR</v>
          </cell>
          <cell r="I3230">
            <v>0</v>
          </cell>
        </row>
        <row r="3231">
          <cell r="A3231" t="str">
            <v>19-03230</v>
          </cell>
          <cell r="B3231" t="str">
            <v>ORKHON GROUP</v>
          </cell>
          <cell r="C3231" t="str">
            <v>A</v>
          </cell>
          <cell r="D3231" t="str">
            <v>N/A</v>
          </cell>
          <cell r="E3231" t="str">
            <v>C1503-34 ALTAMAR MONEDERO</v>
          </cell>
          <cell r="F3231" t="str">
            <v>CARTERA</v>
          </cell>
          <cell r="G3231" t="str">
            <v>C1503-34</v>
          </cell>
          <cell r="H3231" t="str">
            <v>ALTAMAR</v>
          </cell>
          <cell r="I3231">
            <v>0</v>
          </cell>
        </row>
        <row r="3232">
          <cell r="A3232" t="str">
            <v>19-03231</v>
          </cell>
          <cell r="B3232" t="str">
            <v>ORKHON GROUP</v>
          </cell>
          <cell r="C3232" t="str">
            <v>A</v>
          </cell>
          <cell r="D3232" t="str">
            <v>N/A</v>
          </cell>
          <cell r="E3232" t="str">
            <v>C1503-31 ALTAMAR COSMETIQUERA</v>
          </cell>
          <cell r="F3232" t="str">
            <v>BOLSO</v>
          </cell>
          <cell r="G3232" t="str">
            <v>C1503-31</v>
          </cell>
          <cell r="H3232" t="str">
            <v>ALTAMAR</v>
          </cell>
          <cell r="I3232">
            <v>7.8979999999999997</v>
          </cell>
        </row>
        <row r="3233">
          <cell r="A3233" t="str">
            <v>19-03232</v>
          </cell>
          <cell r="B3233" t="str">
            <v>ORKHON GROUP</v>
          </cell>
          <cell r="C3233" t="str">
            <v>A</v>
          </cell>
          <cell r="D3233" t="str">
            <v>N/A</v>
          </cell>
          <cell r="E3233" t="str">
            <v>C1503-30 ALTAMAR COSMETIQUERA</v>
          </cell>
          <cell r="F3233" t="str">
            <v>BOLSO</v>
          </cell>
          <cell r="G3233" t="str">
            <v>C1503-30</v>
          </cell>
          <cell r="H3233" t="str">
            <v>ALTAMAR</v>
          </cell>
          <cell r="I3233">
            <v>0</v>
          </cell>
        </row>
        <row r="3234">
          <cell r="A3234" t="str">
            <v>19-03233</v>
          </cell>
          <cell r="B3234" t="str">
            <v>ORKHON GROUP</v>
          </cell>
          <cell r="C3234" t="str">
            <v>A</v>
          </cell>
          <cell r="D3234" t="str">
            <v>N/A</v>
          </cell>
          <cell r="E3234" t="str">
            <v>C1503-40 ALTAMAR CARTERA</v>
          </cell>
          <cell r="F3234" t="str">
            <v>CARTERA</v>
          </cell>
          <cell r="G3234" t="str">
            <v>C1503-40</v>
          </cell>
          <cell r="H3234" t="str">
            <v>ALTAMAR</v>
          </cell>
          <cell r="I3234">
            <v>0</v>
          </cell>
        </row>
        <row r="3235">
          <cell r="A3235" t="str">
            <v>19-03234</v>
          </cell>
          <cell r="B3235" t="str">
            <v>WEFORT LATAM</v>
          </cell>
          <cell r="C3235" t="str">
            <v>A</v>
          </cell>
          <cell r="D3235" t="str">
            <v>SI</v>
          </cell>
          <cell r="E3235" t="str">
            <v>W10815 LEGO DUPLO MY FIRST ROCKET</v>
          </cell>
          <cell r="F3235" t="str">
            <v>JUGUETES</v>
          </cell>
          <cell r="G3235" t="str">
            <v>W6137255</v>
          </cell>
          <cell r="H3235" t="str">
            <v>LEGO</v>
          </cell>
          <cell r="I3235">
            <v>10.72</v>
          </cell>
        </row>
        <row r="3236">
          <cell r="A3236" t="str">
            <v>19-03235</v>
          </cell>
          <cell r="B3236" t="str">
            <v>WEFORT LATAM</v>
          </cell>
          <cell r="C3236" t="str">
            <v>A</v>
          </cell>
          <cell r="D3236" t="str">
            <v>NO</v>
          </cell>
          <cell r="E3236" t="str">
            <v>W10816 LEGO DUPLO MY FIRST VEHICLES</v>
          </cell>
          <cell r="F3236" t="str">
            <v>JUGUETES</v>
          </cell>
          <cell r="G3236" t="str">
            <v>W6137257</v>
          </cell>
          <cell r="H3236" t="str">
            <v>LEGO</v>
          </cell>
          <cell r="I3236">
            <v>21.45</v>
          </cell>
        </row>
        <row r="3237">
          <cell r="A3237" t="str">
            <v>19-03236</v>
          </cell>
          <cell r="B3237" t="str">
            <v>WEFORT LATAM</v>
          </cell>
          <cell r="C3237" t="str">
            <v>A</v>
          </cell>
          <cell r="D3237" t="str">
            <v>NO</v>
          </cell>
          <cell r="E3237" t="str">
            <v>W10818 LEGO DUPLO MY FIRST TRUCK</v>
          </cell>
          <cell r="F3237" t="str">
            <v>JUGUETES</v>
          </cell>
          <cell r="G3237" t="str">
            <v>W6137265</v>
          </cell>
          <cell r="H3237" t="str">
            <v>LEGO</v>
          </cell>
          <cell r="I3237">
            <v>21.45</v>
          </cell>
        </row>
        <row r="3238">
          <cell r="A3238" t="str">
            <v>19-03237</v>
          </cell>
          <cell r="B3238" t="str">
            <v>WEFORT LATAM</v>
          </cell>
          <cell r="C3238" t="str">
            <v>A</v>
          </cell>
          <cell r="D3238" t="str">
            <v>NO</v>
          </cell>
          <cell r="E3238" t="str">
            <v>W10830 LEGO DUPLO MINNIE'S CAFE</v>
          </cell>
          <cell r="F3238" t="str">
            <v>JUGUETES</v>
          </cell>
          <cell r="G3238" t="str">
            <v>W6136884</v>
          </cell>
          <cell r="H3238" t="str">
            <v>LEGO</v>
          </cell>
          <cell r="I3238">
            <v>21.45</v>
          </cell>
        </row>
        <row r="3239">
          <cell r="A3239" t="str">
            <v>19-03238</v>
          </cell>
          <cell r="B3239" t="str">
            <v>WEFORT LATAM</v>
          </cell>
          <cell r="C3239" t="str">
            <v>A</v>
          </cell>
          <cell r="D3239" t="str">
            <v>NO</v>
          </cell>
          <cell r="E3239" t="str">
            <v>W10720 LEGO JUNIORS POLICE HELICOPTER CHASE</v>
          </cell>
          <cell r="F3239" t="str">
            <v>JUGUETES</v>
          </cell>
          <cell r="G3239" t="str">
            <v>W6135716</v>
          </cell>
          <cell r="H3239" t="str">
            <v>LEGO</v>
          </cell>
          <cell r="I3239">
            <v>10.72</v>
          </cell>
        </row>
        <row r="3240">
          <cell r="A3240" t="str">
            <v>19-03239</v>
          </cell>
          <cell r="B3240" t="str">
            <v>WEFORT LATAM</v>
          </cell>
          <cell r="C3240" t="str">
            <v>A</v>
          </cell>
          <cell r="D3240" t="str">
            <v>NO</v>
          </cell>
          <cell r="E3240" t="str">
            <v>W10721 LEGO JUNIORS IRON MAN VS. LOKI</v>
          </cell>
          <cell r="F3240" t="str">
            <v>JUGUETES</v>
          </cell>
          <cell r="G3240" t="str">
            <v>W6135740</v>
          </cell>
          <cell r="H3240" t="str">
            <v>LEGO</v>
          </cell>
          <cell r="I3240">
            <v>13.93</v>
          </cell>
        </row>
        <row r="3241">
          <cell r="A3241" t="str">
            <v>19-03240</v>
          </cell>
          <cell r="B3241" t="str">
            <v>WEFORT LATAM</v>
          </cell>
          <cell r="C3241" t="str">
            <v>A</v>
          </cell>
          <cell r="D3241" t="str">
            <v>SI</v>
          </cell>
          <cell r="E3241" t="str">
            <v>W10722 LEGO JUNIORS SNAKE SHOWDOWN</v>
          </cell>
          <cell r="F3241" t="str">
            <v>JUGUETES</v>
          </cell>
          <cell r="G3241" t="str">
            <v>W6135760</v>
          </cell>
          <cell r="H3241" t="str">
            <v>LEGO</v>
          </cell>
          <cell r="I3241">
            <v>16.07</v>
          </cell>
        </row>
        <row r="3242">
          <cell r="A3242" t="str">
            <v>19-03241</v>
          </cell>
          <cell r="B3242" t="str">
            <v>WEFORT LATAM</v>
          </cell>
          <cell r="C3242" t="str">
            <v>A</v>
          </cell>
          <cell r="D3242" t="str">
            <v>NO</v>
          </cell>
          <cell r="E3242" t="str">
            <v>W41140 LEGO DISNEY PRINCESS DAISY’S BEAUTY SALON</v>
          </cell>
          <cell r="F3242" t="str">
            <v>JUGUETES</v>
          </cell>
          <cell r="G3242" t="str">
            <v>W6135833</v>
          </cell>
          <cell r="H3242" t="str">
            <v>LEGO</v>
          </cell>
          <cell r="I3242">
            <v>10.72</v>
          </cell>
        </row>
        <row r="3243">
          <cell r="A3243" t="str">
            <v>19-03242</v>
          </cell>
          <cell r="B3243" t="str">
            <v>WEFORT LATAM</v>
          </cell>
          <cell r="C3243" t="str">
            <v>A</v>
          </cell>
          <cell r="D3243" t="str">
            <v>NO</v>
          </cell>
          <cell r="E3243" t="str">
            <v>W41141 LEGO DISNEY PRINCESS PUMPKIN’S ROYAL CARRIAGE</v>
          </cell>
          <cell r="F3243" t="str">
            <v>JUGUETES</v>
          </cell>
          <cell r="G3243" t="str">
            <v>W6135847</v>
          </cell>
          <cell r="H3243" t="str">
            <v>LEGO</v>
          </cell>
          <cell r="I3243">
            <v>10.72</v>
          </cell>
        </row>
        <row r="3244">
          <cell r="A3244" t="str">
            <v>19-03243</v>
          </cell>
          <cell r="B3244" t="str">
            <v>WEFORT LATAM</v>
          </cell>
          <cell r="C3244" t="str">
            <v>A</v>
          </cell>
          <cell r="D3244" t="str">
            <v>NO</v>
          </cell>
          <cell r="E3244" t="str">
            <v>W41142 LEGO DISNEY PRINCESS PALACE PETS ROYAL CASTLE</v>
          </cell>
          <cell r="F3244" t="str">
            <v>JUGUETES</v>
          </cell>
          <cell r="G3244" t="str">
            <v>W6135861</v>
          </cell>
          <cell r="H3244" t="str">
            <v>LEGO</v>
          </cell>
          <cell r="I3244">
            <v>21.45</v>
          </cell>
        </row>
        <row r="3245">
          <cell r="A3245" t="str">
            <v>19-03244</v>
          </cell>
          <cell r="B3245" t="str">
            <v>WEFORT LATAM</v>
          </cell>
          <cell r="C3245" t="str">
            <v>A</v>
          </cell>
          <cell r="D3245" t="str">
            <v>NO</v>
          </cell>
          <cell r="E3245" t="str">
            <v>W41066 LEGO DISNEY PRINCESS ANNA &amp; KRISTOFF’S SLEIGH ADVENTURE</v>
          </cell>
          <cell r="F3245" t="str">
            <v>JUGUETES</v>
          </cell>
          <cell r="G3245" t="str">
            <v>W6135754</v>
          </cell>
          <cell r="H3245" t="str">
            <v>LEGO</v>
          </cell>
          <cell r="I3245">
            <v>32.17</v>
          </cell>
        </row>
        <row r="3246">
          <cell r="A3246" t="str">
            <v>19-03245</v>
          </cell>
          <cell r="B3246" t="str">
            <v>WEFORT LATAM</v>
          </cell>
          <cell r="C3246" t="str">
            <v>A</v>
          </cell>
          <cell r="D3246" t="str">
            <v>NO</v>
          </cell>
          <cell r="E3246" t="str">
            <v>W41068 LEGO DISNEY PRINCESS ARENDELLE CASTLE CELEBRATION</v>
          </cell>
          <cell r="F3246" t="str">
            <v>JUGUETES</v>
          </cell>
          <cell r="G3246" t="str">
            <v>W6135796</v>
          </cell>
          <cell r="H3246" t="str">
            <v>LEGO</v>
          </cell>
          <cell r="I3246">
            <v>64.34</v>
          </cell>
        </row>
        <row r="3247">
          <cell r="A3247" t="str">
            <v>19-03246</v>
          </cell>
          <cell r="B3247" t="str">
            <v>WEFORT LATAM</v>
          </cell>
          <cell r="C3247" t="str">
            <v>A</v>
          </cell>
          <cell r="D3247" t="str">
            <v>SI</v>
          </cell>
          <cell r="E3247" t="str">
            <v>W60126 LEGO CITY  TIRE ESCAPE</v>
          </cell>
          <cell r="F3247" t="str">
            <v>JUGUETES</v>
          </cell>
          <cell r="G3247" t="str">
            <v>W60126</v>
          </cell>
          <cell r="H3247" t="str">
            <v>LEGO</v>
          </cell>
          <cell r="I3247">
            <v>7.5</v>
          </cell>
        </row>
        <row r="3248">
          <cell r="A3248" t="str">
            <v>19-03247</v>
          </cell>
          <cell r="B3248" t="str">
            <v>WEFORT LATAM</v>
          </cell>
          <cell r="C3248" t="str">
            <v>A</v>
          </cell>
          <cell r="D3248" t="str">
            <v>SI</v>
          </cell>
          <cell r="E3248" t="str">
            <v>W60127 LEGO CITY  PRISON ISLAND STARTER SET</v>
          </cell>
          <cell r="F3248" t="str">
            <v>JUGUETES</v>
          </cell>
          <cell r="G3248" t="str">
            <v>W6137194</v>
          </cell>
          <cell r="H3248" t="str">
            <v>LEGO</v>
          </cell>
          <cell r="I3248">
            <v>9.43</v>
          </cell>
        </row>
        <row r="3249">
          <cell r="A3249" t="str">
            <v>19-03248</v>
          </cell>
          <cell r="B3249" t="str">
            <v>WEFORT LATAM</v>
          </cell>
          <cell r="C3249" t="str">
            <v>A</v>
          </cell>
          <cell r="D3249" t="str">
            <v>NO</v>
          </cell>
          <cell r="E3249" t="str">
            <v>W60128 LEGO CITY  POLICE PURSUIT</v>
          </cell>
          <cell r="F3249" t="str">
            <v>JUGUETES</v>
          </cell>
          <cell r="G3249" t="str">
            <v>W6137196</v>
          </cell>
          <cell r="H3249" t="str">
            <v>LEGO</v>
          </cell>
          <cell r="I3249">
            <v>26.8</v>
          </cell>
        </row>
        <row r="3250">
          <cell r="A3250" t="str">
            <v>19-03249</v>
          </cell>
          <cell r="B3250" t="str">
            <v>WEFORT LATAM</v>
          </cell>
          <cell r="C3250" t="str">
            <v>A</v>
          </cell>
          <cell r="D3250" t="str">
            <v>SI</v>
          </cell>
          <cell r="E3250" t="str">
            <v>W60105 LEGO CITY  FIRE ATV</v>
          </cell>
          <cell r="F3250" t="str">
            <v>JUGUETES</v>
          </cell>
          <cell r="G3250" t="str">
            <v>W6135801</v>
          </cell>
          <cell r="H3250" t="str">
            <v>LEGO</v>
          </cell>
          <cell r="I3250">
            <v>7.5</v>
          </cell>
        </row>
        <row r="3251">
          <cell r="A3251" t="str">
            <v>19-03250</v>
          </cell>
          <cell r="B3251" t="str">
            <v>WEFORT LATAM</v>
          </cell>
          <cell r="C3251" t="str">
            <v>A</v>
          </cell>
          <cell r="D3251" t="str">
            <v>SI</v>
          </cell>
          <cell r="E3251" t="str">
            <v>W60106 LEGO CITY  FIRE STARTER SET</v>
          </cell>
          <cell r="F3251" t="str">
            <v>JUGUETES</v>
          </cell>
          <cell r="G3251" t="str">
            <v>W6135811</v>
          </cell>
          <cell r="H3251" t="str">
            <v>LEGO</v>
          </cell>
          <cell r="I3251">
            <v>9.43</v>
          </cell>
        </row>
        <row r="3252">
          <cell r="A3252" t="str">
            <v>19-03251</v>
          </cell>
          <cell r="B3252" t="str">
            <v>WEFORT LATAM</v>
          </cell>
          <cell r="C3252" t="str">
            <v>A</v>
          </cell>
          <cell r="D3252" t="str">
            <v>SI</v>
          </cell>
          <cell r="E3252" t="str">
            <v>W60113 LEGO CITY  RALLY CAR</v>
          </cell>
          <cell r="F3252" t="str">
            <v>JUGUETES</v>
          </cell>
          <cell r="G3252" t="str">
            <v>W6137141</v>
          </cell>
          <cell r="H3252" t="str">
            <v>LEGO</v>
          </cell>
          <cell r="I3252">
            <v>9.43</v>
          </cell>
        </row>
        <row r="3253">
          <cell r="A3253" t="str">
            <v>19-03252</v>
          </cell>
          <cell r="B3253" t="str">
            <v>WEFORT LATAM</v>
          </cell>
          <cell r="C3253" t="str">
            <v>A</v>
          </cell>
          <cell r="D3253" t="str">
            <v>SI</v>
          </cell>
          <cell r="E3253" t="str">
            <v>W60114 LEGO CITY  RACE BOAT</v>
          </cell>
          <cell r="F3253" t="str">
            <v>JUGUETES</v>
          </cell>
          <cell r="G3253" t="str">
            <v>W6137143</v>
          </cell>
          <cell r="H3253" t="str">
            <v>LEGO</v>
          </cell>
          <cell r="I3253">
            <v>9.43</v>
          </cell>
        </row>
        <row r="3254">
          <cell r="A3254" t="str">
            <v>19-03253</v>
          </cell>
          <cell r="B3254" t="str">
            <v>WEFORT LATAM</v>
          </cell>
          <cell r="C3254" t="str">
            <v>A</v>
          </cell>
          <cell r="D3254" t="str">
            <v>NO</v>
          </cell>
          <cell r="E3254" t="str">
            <v>W60115 LEGO CITY  4 X 4 OFF ROADER</v>
          </cell>
          <cell r="F3254" t="str">
            <v>JUGUETES</v>
          </cell>
          <cell r="G3254" t="str">
            <v>W6137148</v>
          </cell>
          <cell r="H3254" t="str">
            <v>LEGO</v>
          </cell>
          <cell r="I3254">
            <v>19.68</v>
          </cell>
        </row>
        <row r="3255">
          <cell r="A3255" t="str">
            <v>19-03254</v>
          </cell>
          <cell r="B3255" t="str">
            <v>WEFORT LATAM</v>
          </cell>
          <cell r="C3255" t="str">
            <v>A</v>
          </cell>
          <cell r="D3255" t="str">
            <v>NO</v>
          </cell>
          <cell r="E3255" t="str">
            <v>W60116 LEGO CITY  AMBULANCE PLANE</v>
          </cell>
          <cell r="F3255" t="str">
            <v>JUGUETES</v>
          </cell>
          <cell r="G3255" t="str">
            <v>W6137150</v>
          </cell>
          <cell r="H3255" t="str">
            <v>LEGO</v>
          </cell>
          <cell r="I3255">
            <v>19.68</v>
          </cell>
        </row>
        <row r="3256">
          <cell r="A3256" t="str">
            <v>19-03255</v>
          </cell>
          <cell r="B3256" t="str">
            <v>WEFORT LATAM</v>
          </cell>
          <cell r="C3256" t="str">
            <v>A</v>
          </cell>
          <cell r="D3256" t="str">
            <v>NO</v>
          </cell>
          <cell r="E3256" t="str">
            <v>W60117 LEGO CITY  VAN &amp; CARAVAN</v>
          </cell>
          <cell r="F3256" t="str">
            <v>JUGUETES</v>
          </cell>
          <cell r="G3256" t="str">
            <v>W6137153</v>
          </cell>
          <cell r="H3256" t="str">
            <v>LEGO</v>
          </cell>
          <cell r="I3256">
            <v>19.68</v>
          </cell>
        </row>
        <row r="3257">
          <cell r="A3257" t="str">
            <v>19-03256</v>
          </cell>
          <cell r="B3257" t="str">
            <v>WEFORT LATAM</v>
          </cell>
          <cell r="C3257" t="str">
            <v>A</v>
          </cell>
          <cell r="D3257" t="str">
            <v>NO</v>
          </cell>
          <cell r="E3257" t="str">
            <v>W60118 LEGO CITY  GARBAGE TRUCK</v>
          </cell>
          <cell r="F3257" t="str">
            <v>JUGUETES</v>
          </cell>
          <cell r="G3257" t="str">
            <v>W6137170</v>
          </cell>
          <cell r="H3257" t="str">
            <v>LEGO</v>
          </cell>
          <cell r="I3257">
            <v>19.68</v>
          </cell>
        </row>
        <row r="3258">
          <cell r="A3258" t="str">
            <v>19-03257</v>
          </cell>
          <cell r="B3258" t="str">
            <v>WEFORT LATAM</v>
          </cell>
          <cell r="C3258" t="str">
            <v>A</v>
          </cell>
          <cell r="D3258" t="str">
            <v>SI</v>
          </cell>
          <cell r="E3258" t="str">
            <v>W76061 LEGO SUPER HEROES DC LPP 1</v>
          </cell>
          <cell r="F3258" t="str">
            <v>JUGUETES</v>
          </cell>
          <cell r="G3258" t="str">
            <v>W6137836</v>
          </cell>
          <cell r="H3258" t="str">
            <v>LEGO</v>
          </cell>
          <cell r="I3258">
            <v>9.43</v>
          </cell>
        </row>
        <row r="3259">
          <cell r="A3259" t="str">
            <v>19-03258</v>
          </cell>
          <cell r="B3259" t="str">
            <v>WEFORT LATAM</v>
          </cell>
          <cell r="C3259" t="str">
            <v>A</v>
          </cell>
          <cell r="D3259" t="str">
            <v>SI</v>
          </cell>
          <cell r="E3259" t="str">
            <v>W76062 LEGO SUPER HEROES DC LPP 2</v>
          </cell>
          <cell r="F3259" t="str">
            <v>JUGUETES</v>
          </cell>
          <cell r="G3259" t="str">
            <v>W6137837</v>
          </cell>
          <cell r="H3259" t="str">
            <v>LEGO</v>
          </cell>
          <cell r="I3259">
            <v>9.43</v>
          </cell>
        </row>
        <row r="3260">
          <cell r="A3260" t="str">
            <v>19-03259</v>
          </cell>
          <cell r="B3260" t="str">
            <v>WEFORT LATAM</v>
          </cell>
          <cell r="C3260" t="str">
            <v>A</v>
          </cell>
          <cell r="D3260" t="str">
            <v>SI</v>
          </cell>
          <cell r="E3260" t="str">
            <v>W76063 LEGO SUPER HEROES DC LPP 3</v>
          </cell>
          <cell r="F3260" t="str">
            <v>JUGUETES</v>
          </cell>
          <cell r="G3260" t="str">
            <v>W6137838</v>
          </cell>
          <cell r="H3260" t="str">
            <v>LEGO</v>
          </cell>
          <cell r="I3260">
            <v>9.43</v>
          </cell>
        </row>
        <row r="3261">
          <cell r="A3261" t="str">
            <v>19-03260</v>
          </cell>
          <cell r="B3261" t="str">
            <v>WEFORT LATAM</v>
          </cell>
          <cell r="C3261" t="str">
            <v>A</v>
          </cell>
          <cell r="D3261" t="str">
            <v>NO</v>
          </cell>
          <cell r="E3261" t="str">
            <v>W76044 LEGO SUPER HEROES SH CONFIDENTIAL 1</v>
          </cell>
          <cell r="F3261" t="str">
            <v>JUGUETES</v>
          </cell>
          <cell r="G3261" t="str">
            <v>W6137808</v>
          </cell>
          <cell r="H3261" t="str">
            <v>LEGO</v>
          </cell>
          <cell r="I3261">
            <v>13.93</v>
          </cell>
        </row>
        <row r="3262">
          <cell r="A3262" t="str">
            <v>19-03261</v>
          </cell>
          <cell r="B3262" t="str">
            <v>WEFORT LATAM</v>
          </cell>
          <cell r="C3262" t="str">
            <v>A</v>
          </cell>
          <cell r="D3262" t="str">
            <v>NO</v>
          </cell>
          <cell r="E3262" t="str">
            <v>W76045 LEGO SUPER HEROES SH CONFIDENTIAL 2</v>
          </cell>
          <cell r="F3262" t="str">
            <v>JUGUETES</v>
          </cell>
          <cell r="G3262" t="str">
            <v>W6137810</v>
          </cell>
          <cell r="H3262" t="str">
            <v>LEGO</v>
          </cell>
          <cell r="I3262">
            <v>32.17</v>
          </cell>
        </row>
        <row r="3263">
          <cell r="A3263" t="str">
            <v>19-03262</v>
          </cell>
          <cell r="B3263" t="str">
            <v>WEFORT LATAM</v>
          </cell>
          <cell r="C3263" t="str">
            <v>A</v>
          </cell>
          <cell r="D3263" t="str">
            <v>NO</v>
          </cell>
          <cell r="E3263" t="str">
            <v>W76046 LEGO SUPER HEROES SH CONFIDENTIAL 3</v>
          </cell>
          <cell r="F3263" t="str">
            <v>JUGUETES</v>
          </cell>
          <cell r="G3263" t="str">
            <v>W6137811</v>
          </cell>
          <cell r="H3263" t="str">
            <v>LEGO</v>
          </cell>
          <cell r="I3263">
            <v>64.34</v>
          </cell>
        </row>
        <row r="3264">
          <cell r="A3264" t="str">
            <v>19-03263</v>
          </cell>
          <cell r="B3264" t="str">
            <v>WEFORT LATAM</v>
          </cell>
          <cell r="C3264" t="str">
            <v>A</v>
          </cell>
          <cell r="D3264" t="str">
            <v>NO</v>
          </cell>
          <cell r="E3264" t="str">
            <v>W76053 LEGO SUPER HEROES BATMAN 1</v>
          </cell>
          <cell r="F3264" t="str">
            <v>JUGUETES</v>
          </cell>
          <cell r="G3264" t="str">
            <v>W6137820</v>
          </cell>
          <cell r="H3264" t="str">
            <v>LEGO</v>
          </cell>
          <cell r="I3264">
            <v>21.45</v>
          </cell>
        </row>
        <row r="3265">
          <cell r="A3265" t="str">
            <v>19-03264</v>
          </cell>
          <cell r="B3265" t="str">
            <v>WEFORT LATAM</v>
          </cell>
          <cell r="C3265" t="str">
            <v>A</v>
          </cell>
          <cell r="D3265" t="str">
            <v>SI</v>
          </cell>
          <cell r="E3265" t="str">
            <v>W76064 LEGO SUPER HEROES MARVEL LPP 1</v>
          </cell>
          <cell r="F3265" t="str">
            <v>JUGUETES</v>
          </cell>
          <cell r="G3265" t="str">
            <v>W6137840</v>
          </cell>
          <cell r="H3265" t="str">
            <v>LEGO</v>
          </cell>
          <cell r="I3265">
            <v>9.43</v>
          </cell>
        </row>
        <row r="3266">
          <cell r="A3266" t="str">
            <v>19-03265</v>
          </cell>
          <cell r="B3266" t="str">
            <v>WEFORT LATAM</v>
          </cell>
          <cell r="C3266" t="str">
            <v>A</v>
          </cell>
          <cell r="D3266" t="str">
            <v>SI</v>
          </cell>
          <cell r="E3266" t="str">
            <v>W76065 LEGO SUPER HEROES MARVEL LPP 2</v>
          </cell>
          <cell r="F3266" t="str">
            <v>JUGUETES</v>
          </cell>
          <cell r="G3266" t="str">
            <v>W6137841</v>
          </cell>
          <cell r="H3266" t="str">
            <v>LEGO</v>
          </cell>
          <cell r="I3266">
            <v>9.43</v>
          </cell>
        </row>
        <row r="3267">
          <cell r="A3267" t="str">
            <v>19-03266</v>
          </cell>
          <cell r="B3267" t="str">
            <v>WEFORT LATAM</v>
          </cell>
          <cell r="C3267" t="str">
            <v>A</v>
          </cell>
          <cell r="D3267" t="str">
            <v>SI</v>
          </cell>
          <cell r="E3267" t="str">
            <v>W76066 LEGO SUPER HEROES MARVEL LPP 3</v>
          </cell>
          <cell r="F3267" t="str">
            <v>JUGUETES</v>
          </cell>
          <cell r="G3267" t="str">
            <v>W6137842</v>
          </cell>
          <cell r="H3267" t="str">
            <v>LEGO</v>
          </cell>
          <cell r="I3267">
            <v>9.43</v>
          </cell>
        </row>
        <row r="3268">
          <cell r="A3268" t="str">
            <v>19-03267</v>
          </cell>
          <cell r="B3268" t="str">
            <v>WEFORT LATAM</v>
          </cell>
          <cell r="C3268" t="str">
            <v>A</v>
          </cell>
          <cell r="D3268" t="str">
            <v>NO</v>
          </cell>
          <cell r="E3268" t="str">
            <v>W76048 LEGO SUPER HEROES IRON SKULL SUB ATTACK</v>
          </cell>
          <cell r="F3268" t="str">
            <v>JUGUETES</v>
          </cell>
          <cell r="G3268" t="str">
            <v>W6137813</v>
          </cell>
          <cell r="H3268" t="str">
            <v>LEGO</v>
          </cell>
          <cell r="I3268">
            <v>32.17</v>
          </cell>
        </row>
        <row r="3269">
          <cell r="A3269" t="str">
            <v>19-03268</v>
          </cell>
          <cell r="B3269" t="str">
            <v>WEFORT LATAM</v>
          </cell>
          <cell r="C3269" t="str">
            <v>A</v>
          </cell>
          <cell r="D3269" t="str">
            <v>NO</v>
          </cell>
          <cell r="E3269" t="str">
            <v>W76050 LEGO SUPER HEROES CAPTAIN AMERICA MOVIE 1</v>
          </cell>
          <cell r="F3269" t="str">
            <v>JUGUETES</v>
          </cell>
          <cell r="G3269" t="str">
            <v>W6137815</v>
          </cell>
          <cell r="H3269" t="str">
            <v>LEGO</v>
          </cell>
          <cell r="I3269">
            <v>21.45</v>
          </cell>
        </row>
        <row r="3270">
          <cell r="A3270" t="str">
            <v>19-03269</v>
          </cell>
          <cell r="B3270" t="str">
            <v>WEFORT LATAM</v>
          </cell>
          <cell r="C3270" t="str">
            <v>A</v>
          </cell>
          <cell r="D3270" t="str">
            <v>SI</v>
          </cell>
          <cell r="E3270" t="str">
            <v>W31042 LEGO CREATOR SUPER SOARER</v>
          </cell>
          <cell r="F3270" t="str">
            <v>JUGUETES</v>
          </cell>
          <cell r="G3270" t="str">
            <v>W6135651</v>
          </cell>
          <cell r="H3270" t="str">
            <v>LEGO</v>
          </cell>
          <cell r="I3270">
            <v>9.43</v>
          </cell>
        </row>
        <row r="3271">
          <cell r="A3271" t="str">
            <v>19-03270</v>
          </cell>
          <cell r="B3271" t="str">
            <v>WEFORT LATAM</v>
          </cell>
          <cell r="C3271" t="str">
            <v>A</v>
          </cell>
          <cell r="D3271" t="str">
            <v>SI</v>
          </cell>
          <cell r="E3271" t="str">
            <v>W31043 LEGO CREATOR CHOPPER TRANSPORTER</v>
          </cell>
          <cell r="F3271" t="str">
            <v>JUGUETES</v>
          </cell>
          <cell r="G3271" t="str">
            <v>W6135648</v>
          </cell>
          <cell r="H3271" t="str">
            <v>LEGO</v>
          </cell>
          <cell r="I3271">
            <v>9.43</v>
          </cell>
        </row>
        <row r="3272">
          <cell r="A3272" t="str">
            <v>19-03271</v>
          </cell>
          <cell r="B3272" t="str">
            <v>WEFORT LATAM</v>
          </cell>
          <cell r="C3272" t="str">
            <v>A</v>
          </cell>
          <cell r="D3272" t="str">
            <v>SI</v>
          </cell>
          <cell r="E3272" t="str">
            <v>W31045 LEGO CREATOR OCEAN EXPLORER</v>
          </cell>
          <cell r="F3272" t="str">
            <v>JUGUETES</v>
          </cell>
          <cell r="G3272" t="str">
            <v>W6135644</v>
          </cell>
          <cell r="H3272" t="str">
            <v>LEGO</v>
          </cell>
          <cell r="I3272">
            <v>16.07</v>
          </cell>
        </row>
        <row r="3273">
          <cell r="A3273" t="str">
            <v>19-03272</v>
          </cell>
          <cell r="B3273" t="str">
            <v>WEFORT LATAM</v>
          </cell>
          <cell r="C3273" t="str">
            <v>A</v>
          </cell>
          <cell r="D3273" t="str">
            <v>NO</v>
          </cell>
          <cell r="E3273" t="str">
            <v>W31047 LEGO CREATOR PROPELLER PLANE</v>
          </cell>
          <cell r="F3273" t="str">
            <v>JUGUETES</v>
          </cell>
          <cell r="G3273" t="str">
            <v>W6135637</v>
          </cell>
          <cell r="H3273" t="str">
            <v>LEGO</v>
          </cell>
          <cell r="I3273">
            <v>21.45</v>
          </cell>
        </row>
        <row r="3274">
          <cell r="A3274" t="str">
            <v>19-03273</v>
          </cell>
          <cell r="B3274" t="str">
            <v>WEFORT LATAM</v>
          </cell>
          <cell r="C3274" t="str">
            <v>A</v>
          </cell>
          <cell r="D3274" t="str">
            <v>SI</v>
          </cell>
          <cell r="E3274" t="str">
            <v>W71011 LEGO MINIFIGURES MINIFIGURES 2016 CONFIDENTIAL</v>
          </cell>
          <cell r="F3274" t="str">
            <v>JUGUETES</v>
          </cell>
          <cell r="G3274" t="str">
            <v>W6137050</v>
          </cell>
          <cell r="H3274" t="str">
            <v>LEGO</v>
          </cell>
          <cell r="I3274">
            <v>2.2000000000000002</v>
          </cell>
        </row>
        <row r="3275">
          <cell r="A3275" t="str">
            <v>19-03274</v>
          </cell>
          <cell r="B3275" t="str">
            <v>WEFORT LATAM</v>
          </cell>
          <cell r="C3275" t="str">
            <v>A</v>
          </cell>
          <cell r="D3275" t="str">
            <v>NO</v>
          </cell>
          <cell r="E3275" t="str">
            <v>W75113 STAR WARS CONSTRACTION LEAD HERO FIGHTER CONF.</v>
          </cell>
          <cell r="F3275" t="str">
            <v>JUGUETES</v>
          </cell>
          <cell r="G3275" t="str">
            <v>W6136879</v>
          </cell>
          <cell r="H3275" t="str">
            <v>LEGO</v>
          </cell>
          <cell r="I3275">
            <v>21.45</v>
          </cell>
        </row>
        <row r="3276">
          <cell r="A3276" t="str">
            <v>19-03275</v>
          </cell>
          <cell r="B3276" t="str">
            <v>WEFORT LATAM</v>
          </cell>
          <cell r="C3276" t="str">
            <v>A</v>
          </cell>
          <cell r="D3276" t="str">
            <v>NO</v>
          </cell>
          <cell r="E3276" t="str">
            <v>W75114 LEGO STAR WARS CONSTRACTION VILLAIN TROOPER CONFIDENTIAL</v>
          </cell>
          <cell r="F3276" t="str">
            <v>JUGUETES</v>
          </cell>
          <cell r="G3276" t="str">
            <v>W6136877</v>
          </cell>
          <cell r="H3276" t="str">
            <v>LEGO</v>
          </cell>
          <cell r="I3276">
            <v>21.45</v>
          </cell>
        </row>
        <row r="3277">
          <cell r="A3277" t="str">
            <v>19-03276</v>
          </cell>
          <cell r="B3277" t="str">
            <v>WEFORT LATAM</v>
          </cell>
          <cell r="C3277" t="str">
            <v>A</v>
          </cell>
          <cell r="D3277" t="str">
            <v>NO</v>
          </cell>
          <cell r="E3277" t="str">
            <v>W75115 LEGO STAR WARS CONSTRACTION SECOND HERO PILOT CONF.</v>
          </cell>
          <cell r="F3277" t="str">
            <v>JUGUETES</v>
          </cell>
          <cell r="G3277" t="str">
            <v>W6136875</v>
          </cell>
          <cell r="H3277" t="str">
            <v>LEGO</v>
          </cell>
          <cell r="I3277">
            <v>26.8</v>
          </cell>
        </row>
        <row r="3278">
          <cell r="A3278" t="str">
            <v>19-03277</v>
          </cell>
          <cell r="B3278" t="str">
            <v>WEFORT LATAM</v>
          </cell>
          <cell r="C3278" t="str">
            <v>A</v>
          </cell>
          <cell r="D3278" t="str">
            <v>NO</v>
          </cell>
          <cell r="E3278" t="str">
            <v>W75116 LEGO STAR WARS CONSTRACTION LEAD HERO BATTLER CONFIDENTIAL</v>
          </cell>
          <cell r="F3278" t="str">
            <v>JUGUETES</v>
          </cell>
          <cell r="G3278" t="str">
            <v>W6136871</v>
          </cell>
          <cell r="H3278" t="str">
            <v>LEGO</v>
          </cell>
          <cell r="I3278">
            <v>26.8</v>
          </cell>
        </row>
        <row r="3279">
          <cell r="A3279" t="str">
            <v>19-03278</v>
          </cell>
          <cell r="B3279" t="str">
            <v>WEFORT LATAM</v>
          </cell>
          <cell r="C3279" t="str">
            <v>A</v>
          </cell>
          <cell r="D3279" t="str">
            <v>SI</v>
          </cell>
          <cell r="E3279" t="str">
            <v>W75125 LEGO STAR WARS CONFIDENTIAL MICROFIGHTER HERO STARFIGHT</v>
          </cell>
          <cell r="F3279" t="str">
            <v>JUGUETES</v>
          </cell>
          <cell r="G3279" t="str">
            <v>W6135656</v>
          </cell>
          <cell r="H3279" t="str">
            <v>LEGO</v>
          </cell>
          <cell r="I3279">
            <v>9.43</v>
          </cell>
        </row>
        <row r="3280">
          <cell r="A3280" t="str">
            <v>19-03279</v>
          </cell>
          <cell r="B3280" t="str">
            <v>WEFORT LATAM</v>
          </cell>
          <cell r="C3280" t="str">
            <v>A</v>
          </cell>
          <cell r="D3280" t="str">
            <v>SI</v>
          </cell>
          <cell r="E3280" t="str">
            <v>W75126 LEGO STAR WARS CONFIDENTIAL MICROFIGHTER VILLAIN CRAFT</v>
          </cell>
          <cell r="F3280" t="str">
            <v>JUGUETES</v>
          </cell>
          <cell r="G3280" t="str">
            <v>W6135662</v>
          </cell>
          <cell r="H3280" t="str">
            <v>LEGO</v>
          </cell>
          <cell r="I3280">
            <v>9.43</v>
          </cell>
        </row>
        <row r="3281">
          <cell r="A3281" t="str">
            <v>19-03280</v>
          </cell>
          <cell r="B3281" t="str">
            <v>WEFORT LATAM</v>
          </cell>
          <cell r="C3281" t="str">
            <v>A</v>
          </cell>
          <cell r="D3281" t="str">
            <v>SI</v>
          </cell>
          <cell r="E3281" t="str">
            <v>W75127 LEGO STAR WARS THE GHOST</v>
          </cell>
          <cell r="F3281" t="str">
            <v>JUGUETES</v>
          </cell>
          <cell r="G3281" t="str">
            <v>W6135694</v>
          </cell>
          <cell r="H3281" t="str">
            <v>LEGO</v>
          </cell>
          <cell r="I3281">
            <v>9.43</v>
          </cell>
        </row>
        <row r="3282">
          <cell r="A3282" t="str">
            <v>19-03281</v>
          </cell>
          <cell r="B3282" t="str">
            <v>WEFORT LATAM</v>
          </cell>
          <cell r="C3282" t="str">
            <v>A</v>
          </cell>
          <cell r="D3282" t="str">
            <v>SI</v>
          </cell>
          <cell r="E3282" t="str">
            <v>W75128 LEGO STAR WARS TIE ADVANCED PROTOTYPE</v>
          </cell>
          <cell r="F3282" t="str">
            <v>JUGUETES</v>
          </cell>
          <cell r="G3282" t="str">
            <v>W6135700</v>
          </cell>
          <cell r="H3282" t="str">
            <v>LEGO</v>
          </cell>
          <cell r="I3282">
            <v>9.43</v>
          </cell>
        </row>
        <row r="3283">
          <cell r="A3283" t="str">
            <v>19-03282</v>
          </cell>
          <cell r="B3283" t="str">
            <v>WEFORT LATAM</v>
          </cell>
          <cell r="C3283" t="str">
            <v>A</v>
          </cell>
          <cell r="D3283" t="str">
            <v>SI</v>
          </cell>
          <cell r="E3283" t="str">
            <v>W75129 LEGO STAR WARS WOOKIEE™ GUNSHIP</v>
          </cell>
          <cell r="F3283" t="str">
            <v>JUGUETES</v>
          </cell>
          <cell r="G3283" t="str">
            <v>W6135703</v>
          </cell>
          <cell r="H3283" t="str">
            <v>LEGO</v>
          </cell>
          <cell r="I3283">
            <v>9.43</v>
          </cell>
        </row>
        <row r="3284">
          <cell r="A3284" t="str">
            <v>19-03283</v>
          </cell>
          <cell r="B3284" t="str">
            <v>WEFORT LATAM</v>
          </cell>
          <cell r="C3284" t="str">
            <v>A</v>
          </cell>
          <cell r="D3284" t="str">
            <v>SI</v>
          </cell>
          <cell r="E3284" t="str">
            <v>W75130 LEGO STAR WARS AT-DP</v>
          </cell>
          <cell r="F3284" t="str">
            <v>JUGUETES</v>
          </cell>
          <cell r="G3284" t="str">
            <v>W6135707</v>
          </cell>
          <cell r="H3284" t="str">
            <v>LEGO</v>
          </cell>
          <cell r="I3284">
            <v>9.43</v>
          </cell>
        </row>
        <row r="3285">
          <cell r="A3285" t="str">
            <v>19-03284</v>
          </cell>
          <cell r="B3285" t="str">
            <v>WEFORT LATAM</v>
          </cell>
          <cell r="C3285" t="str">
            <v>A</v>
          </cell>
          <cell r="D3285" t="str">
            <v>NO</v>
          </cell>
          <cell r="E3285" t="str">
            <v>W75131 LEGO STAR WARS CONFIDENTIAL BATTLE PACK EPISODE 7 HEROE</v>
          </cell>
          <cell r="F3285" t="str">
            <v>JUGUETES</v>
          </cell>
          <cell r="G3285" t="str">
            <v>W6135710</v>
          </cell>
          <cell r="H3285" t="str">
            <v>LEGO</v>
          </cell>
          <cell r="I3285">
            <v>13.58</v>
          </cell>
        </row>
        <row r="3286">
          <cell r="A3286" t="str">
            <v>19-03285</v>
          </cell>
          <cell r="B3286" t="str">
            <v>WEFORT LATAM</v>
          </cell>
          <cell r="C3286" t="str">
            <v>A</v>
          </cell>
          <cell r="D3286" t="str">
            <v>NO</v>
          </cell>
          <cell r="E3286" t="str">
            <v>W75132 LEGO STAR WARS CONFIDENTIAL BATTLE PACK EPISODE 7 VILLA</v>
          </cell>
          <cell r="F3286" t="str">
            <v>JUGUETES</v>
          </cell>
          <cell r="G3286" t="str">
            <v>W6135715</v>
          </cell>
          <cell r="H3286" t="str">
            <v>LEGO</v>
          </cell>
          <cell r="I3286">
            <v>13.58</v>
          </cell>
        </row>
        <row r="3287">
          <cell r="A3287" t="str">
            <v>19-03286</v>
          </cell>
          <cell r="B3287" t="str">
            <v>WEFORT LATAM</v>
          </cell>
          <cell r="C3287" t="str">
            <v>A</v>
          </cell>
          <cell r="D3287" t="str">
            <v>NO</v>
          </cell>
          <cell r="E3287" t="str">
            <v>W75133 LEGO STAR WARS REBELS BATTLE PACK</v>
          </cell>
          <cell r="F3287" t="str">
            <v>JUGUETES</v>
          </cell>
          <cell r="G3287" t="str">
            <v>W6135719</v>
          </cell>
          <cell r="H3287" t="str">
            <v>LEGO</v>
          </cell>
          <cell r="I3287">
            <v>13.58</v>
          </cell>
        </row>
        <row r="3288">
          <cell r="A3288" t="str">
            <v>19-03287</v>
          </cell>
          <cell r="B3288" t="str">
            <v>WEFORT LATAM</v>
          </cell>
          <cell r="C3288" t="str">
            <v>A</v>
          </cell>
          <cell r="D3288" t="str">
            <v>NO</v>
          </cell>
          <cell r="E3288" t="str">
            <v>W75134 LEGO STAR WARS GALACTIC EMPIRE BATTLE PACK</v>
          </cell>
          <cell r="F3288" t="str">
            <v>JUGUETES</v>
          </cell>
          <cell r="G3288" t="str">
            <v>W6135726</v>
          </cell>
          <cell r="H3288" t="str">
            <v>LEGO</v>
          </cell>
          <cell r="I3288">
            <v>13.58</v>
          </cell>
        </row>
        <row r="3289">
          <cell r="A3289" t="str">
            <v>19-03288</v>
          </cell>
          <cell r="B3289" t="str">
            <v>WEFORT LATAM</v>
          </cell>
          <cell r="C3289" t="str">
            <v>A</v>
          </cell>
          <cell r="D3289" t="str">
            <v>NO</v>
          </cell>
          <cell r="E3289" t="str">
            <v>W75135 LEGO STAR WARS OBI-WAN’S JEDI INTERCEPTOR</v>
          </cell>
          <cell r="F3289" t="str">
            <v>JUGUETES</v>
          </cell>
          <cell r="G3289" t="str">
            <v>W6135742</v>
          </cell>
          <cell r="H3289" t="str">
            <v>LEGO</v>
          </cell>
          <cell r="I3289">
            <v>26.8</v>
          </cell>
        </row>
        <row r="3290">
          <cell r="A3290" t="str">
            <v>19-03289</v>
          </cell>
          <cell r="B3290" t="str">
            <v>WEFORT LATAM</v>
          </cell>
          <cell r="C3290" t="str">
            <v>A</v>
          </cell>
          <cell r="D3290" t="str">
            <v>NO</v>
          </cell>
          <cell r="E3290" t="str">
            <v>W75136 LEGO STAR WARS DROID ESCAPE POD</v>
          </cell>
          <cell r="F3290" t="str">
            <v>JUGUETES</v>
          </cell>
          <cell r="G3290" t="str">
            <v>W6135751</v>
          </cell>
          <cell r="H3290" t="str">
            <v>LEGO</v>
          </cell>
          <cell r="I3290">
            <v>26.8</v>
          </cell>
        </row>
        <row r="3291">
          <cell r="A3291" t="str">
            <v>19-03290</v>
          </cell>
          <cell r="B3291" t="str">
            <v>WEFORT LATAM</v>
          </cell>
          <cell r="C3291" t="str">
            <v>A</v>
          </cell>
          <cell r="D3291" t="str">
            <v>NO</v>
          </cell>
          <cell r="E3291" t="str">
            <v>W75137 LEGO STAR WARS CARBON-FREEZING CHAMBER</v>
          </cell>
          <cell r="F3291" t="str">
            <v>JUGUETES</v>
          </cell>
          <cell r="G3291" t="str">
            <v>W6135777</v>
          </cell>
          <cell r="H3291" t="str">
            <v>LEGO</v>
          </cell>
          <cell r="I3291">
            <v>26.8</v>
          </cell>
        </row>
        <row r="3292">
          <cell r="A3292" t="str">
            <v>19-03291</v>
          </cell>
          <cell r="B3292" t="str">
            <v>WEFORT LATAM</v>
          </cell>
          <cell r="C3292" t="str">
            <v>A</v>
          </cell>
          <cell r="D3292" t="str">
            <v>NO</v>
          </cell>
          <cell r="E3292" t="str">
            <v>W75138 LEGO STAR WARS HOTH ATTACK</v>
          </cell>
          <cell r="F3292" t="str">
            <v>JUGUETES</v>
          </cell>
          <cell r="G3292" t="str">
            <v>W6135788</v>
          </cell>
          <cell r="H3292" t="str">
            <v>LEGO</v>
          </cell>
          <cell r="I3292">
            <v>26.8</v>
          </cell>
        </row>
        <row r="3293">
          <cell r="A3293" t="str">
            <v>19-03292</v>
          </cell>
          <cell r="B3293" t="str">
            <v>WEFORT LATAM</v>
          </cell>
          <cell r="C3293" t="str">
            <v>A</v>
          </cell>
          <cell r="D3293" t="str">
            <v>SI</v>
          </cell>
          <cell r="E3293" t="str">
            <v>W70599 LEGO NINJAGO COLE'S DRAGON</v>
          </cell>
          <cell r="F3293" t="str">
            <v>JUGUETES</v>
          </cell>
          <cell r="G3293" t="str">
            <v>W6135732</v>
          </cell>
          <cell r="H3293" t="str">
            <v>LEGO</v>
          </cell>
          <cell r="I3293">
            <v>9.43</v>
          </cell>
        </row>
        <row r="3294">
          <cell r="A3294" t="str">
            <v>19-03293</v>
          </cell>
          <cell r="B3294" t="str">
            <v>WEFORT LATAM</v>
          </cell>
          <cell r="C3294" t="str">
            <v>A</v>
          </cell>
          <cell r="D3294" t="str">
            <v>NO</v>
          </cell>
          <cell r="E3294" t="str">
            <v>W70600 LEGO NINJAGO NINJA BIKE CHASE</v>
          </cell>
          <cell r="F3294" t="str">
            <v>JUGUETES</v>
          </cell>
          <cell r="G3294" t="str">
            <v>W6135757</v>
          </cell>
          <cell r="H3294" t="str">
            <v>LEGO</v>
          </cell>
          <cell r="I3294">
            <v>21.45</v>
          </cell>
        </row>
        <row r="3295">
          <cell r="A3295" t="str">
            <v>19-03294</v>
          </cell>
          <cell r="B3295" t="str">
            <v>WEFORT LATAM</v>
          </cell>
          <cell r="C3295" t="str">
            <v>A</v>
          </cell>
          <cell r="D3295" t="str">
            <v>NO</v>
          </cell>
          <cell r="E3295" t="str">
            <v>W70601 LEGO NINJAGO SKY SHARK</v>
          </cell>
          <cell r="F3295" t="str">
            <v>JUGUETES</v>
          </cell>
          <cell r="G3295" t="str">
            <v>W6135783</v>
          </cell>
          <cell r="H3295" t="str">
            <v>LEGO</v>
          </cell>
          <cell r="I3295">
            <v>21.45</v>
          </cell>
        </row>
        <row r="3296">
          <cell r="A3296" t="str">
            <v>19-03295</v>
          </cell>
          <cell r="B3296" t="str">
            <v>WEFORT LATAM</v>
          </cell>
          <cell r="C3296" t="str">
            <v>A</v>
          </cell>
          <cell r="D3296" t="str">
            <v>NO</v>
          </cell>
          <cell r="E3296" t="str">
            <v>W21123 LEGO MINECRAFT  LEGO MINECRAFT 1 CONFIDENTIAL</v>
          </cell>
          <cell r="F3296" t="str">
            <v>JUGUETES</v>
          </cell>
          <cell r="G3296" t="str">
            <v>W6135560</v>
          </cell>
          <cell r="H3296" t="str">
            <v>LEGO</v>
          </cell>
          <cell r="I3296">
            <v>19.3</v>
          </cell>
        </row>
        <row r="3297">
          <cell r="A3297" t="str">
            <v>19-03296</v>
          </cell>
          <cell r="B3297" t="str">
            <v>WEFORT LATAM</v>
          </cell>
          <cell r="C3297" t="str">
            <v>A</v>
          </cell>
          <cell r="D3297" t="str">
            <v>NO</v>
          </cell>
          <cell r="E3297" t="str">
            <v>W21126 LEGO MINECRAFT  LEGO MINECRAFT 4 CONFIDENTIAL</v>
          </cell>
          <cell r="F3297" t="str">
            <v>JUGUETES</v>
          </cell>
          <cell r="G3297" t="str">
            <v>W6135579</v>
          </cell>
          <cell r="H3297" t="str">
            <v>LEGO</v>
          </cell>
          <cell r="I3297">
            <v>38.590000000000003</v>
          </cell>
        </row>
        <row r="3298">
          <cell r="A3298" t="str">
            <v>19-03297</v>
          </cell>
          <cell r="B3298" t="str">
            <v>WEFORT LATAM</v>
          </cell>
          <cell r="C3298" t="str">
            <v>A</v>
          </cell>
          <cell r="D3298" t="str">
            <v>NO</v>
          </cell>
          <cell r="E3298" t="str">
            <v>W21124 LEGO MINECRAFT  LEGO MINECRAFT 2 CONFIDENTIAL</v>
          </cell>
          <cell r="F3298" t="str">
            <v>JUGUETES</v>
          </cell>
          <cell r="G3298" t="str">
            <v>W6135571</v>
          </cell>
          <cell r="H3298" t="str">
            <v>LEGO</v>
          </cell>
          <cell r="I3298">
            <v>57.9</v>
          </cell>
        </row>
        <row r="3299">
          <cell r="A3299" t="str">
            <v>19-03298</v>
          </cell>
          <cell r="B3299" t="str">
            <v>WEFORT LATAM</v>
          </cell>
          <cell r="C3299" t="str">
            <v>A</v>
          </cell>
          <cell r="D3299" t="str">
            <v>NO</v>
          </cell>
          <cell r="E3299" t="str">
            <v>W75870 LEGO SPEED CHAMPIONS CHEVROLET CORVETTE Z06</v>
          </cell>
          <cell r="F3299" t="str">
            <v>JUGUETES</v>
          </cell>
          <cell r="G3299" t="str">
            <v>W6135692</v>
          </cell>
          <cell r="H3299" t="str">
            <v>LEGO</v>
          </cell>
          <cell r="I3299">
            <v>16.07</v>
          </cell>
        </row>
        <row r="3300">
          <cell r="A3300" t="str">
            <v>19-03299</v>
          </cell>
          <cell r="B3300" t="str">
            <v>WEFORT LATAM</v>
          </cell>
          <cell r="C3300" t="str">
            <v>A</v>
          </cell>
          <cell r="D3300" t="str">
            <v>NO</v>
          </cell>
          <cell r="E3300" t="str">
            <v>W75871 LEGO SPEED CHAMPIONS FORD MUSTANG GT</v>
          </cell>
          <cell r="F3300" t="str">
            <v>JUGUETES</v>
          </cell>
          <cell r="G3300" t="str">
            <v>W6135690</v>
          </cell>
          <cell r="H3300" t="str">
            <v>LEGO</v>
          </cell>
          <cell r="I3300">
            <v>16.07</v>
          </cell>
        </row>
        <row r="3301">
          <cell r="A3301" t="str">
            <v>19-03300</v>
          </cell>
          <cell r="B3301" t="str">
            <v>WEFORT LATAM</v>
          </cell>
          <cell r="C3301" t="str">
            <v>A</v>
          </cell>
          <cell r="D3301" t="str">
            <v>NO</v>
          </cell>
          <cell r="E3301" t="str">
            <v>W75872 LEGO SPEED CHAMPIONS AUDI R18 E-TRON QUATTRO</v>
          </cell>
          <cell r="F3301" t="str">
            <v>JUGUETES</v>
          </cell>
          <cell r="G3301" t="str">
            <v>W6135687</v>
          </cell>
          <cell r="H3301" t="str">
            <v>LEGO</v>
          </cell>
          <cell r="I3301">
            <v>16.07</v>
          </cell>
        </row>
        <row r="3302">
          <cell r="A3302" t="str">
            <v>19-03301</v>
          </cell>
          <cell r="B3302" t="str">
            <v>WEFORT LATAM</v>
          </cell>
          <cell r="C3302" t="str">
            <v>A</v>
          </cell>
          <cell r="D3302" t="str">
            <v>NO</v>
          </cell>
          <cell r="E3302" t="str">
            <v>W75873 LEGO SPEED CHAMPIONS AUDI R8 LMS ULTRA</v>
          </cell>
          <cell r="F3302" t="str">
            <v>JUGUETES</v>
          </cell>
          <cell r="G3302" t="str">
            <v>W6135685</v>
          </cell>
          <cell r="H3302" t="str">
            <v>LEGO</v>
          </cell>
          <cell r="I3302">
            <v>16.07</v>
          </cell>
        </row>
        <row r="3303">
          <cell r="A3303" t="str">
            <v>19-03302</v>
          </cell>
          <cell r="B3303" t="str">
            <v>WEFORT LATAM</v>
          </cell>
          <cell r="C3303" t="str">
            <v>A</v>
          </cell>
          <cell r="D3303" t="str">
            <v>SI</v>
          </cell>
          <cell r="E3303" t="str">
            <v>W70330 LEGO NEXO KNIGHTS  CONFIDENTIAL BB 2016 NEW OFFER 1HY 1</v>
          </cell>
          <cell r="F3303" t="str">
            <v>JUGUETES</v>
          </cell>
          <cell r="G3303" t="str">
            <v>W6136967</v>
          </cell>
          <cell r="H3303" t="str">
            <v>LEGO</v>
          </cell>
          <cell r="I3303">
            <v>8.52</v>
          </cell>
        </row>
        <row r="3304">
          <cell r="A3304" t="str">
            <v>19-03303</v>
          </cell>
          <cell r="B3304" t="str">
            <v>WEFORT LATAM</v>
          </cell>
          <cell r="C3304" t="str">
            <v>A</v>
          </cell>
          <cell r="D3304" t="str">
            <v>SI</v>
          </cell>
          <cell r="E3304" t="str">
            <v>W70331 LEGO NEXO KNIGHTS  CONFIDENTIAL BB 2016 NEW OFFER 1HY 2</v>
          </cell>
          <cell r="F3304" t="str">
            <v>JUGUETES</v>
          </cell>
          <cell r="G3304" t="str">
            <v>W6136985</v>
          </cell>
          <cell r="H3304" t="str">
            <v>LEGO</v>
          </cell>
          <cell r="I3304">
            <v>8.52</v>
          </cell>
        </row>
        <row r="3305">
          <cell r="A3305" t="str">
            <v>19-03304</v>
          </cell>
          <cell r="B3305" t="str">
            <v>WEFORT LATAM</v>
          </cell>
          <cell r="C3305" t="str">
            <v>A</v>
          </cell>
          <cell r="D3305" t="str">
            <v>SI</v>
          </cell>
          <cell r="E3305" t="str">
            <v>W70332 LEGO NEXO KNIGHTS  CONFIDENTIAL BB 2016 NEW OFFER 1HY 3</v>
          </cell>
          <cell r="F3305" t="str">
            <v>JUGUETES</v>
          </cell>
          <cell r="G3305" t="str">
            <v>W6136988</v>
          </cell>
          <cell r="H3305" t="str">
            <v>LEGO</v>
          </cell>
          <cell r="I3305">
            <v>8.52</v>
          </cell>
        </row>
        <row r="3306">
          <cell r="A3306" t="str">
            <v>19-03305</v>
          </cell>
          <cell r="B3306" t="str">
            <v>WEFORT LATAM</v>
          </cell>
          <cell r="C3306" t="str">
            <v>A</v>
          </cell>
          <cell r="D3306" t="str">
            <v>SI</v>
          </cell>
          <cell r="E3306" t="str">
            <v>W70333 LEGO NEXO KNIGHTS  CONFIDENTIAL BB 2016 NEW OFFER 1HY 4</v>
          </cell>
          <cell r="F3306" t="str">
            <v>JUGUETES</v>
          </cell>
          <cell r="G3306" t="str">
            <v>W6136990</v>
          </cell>
          <cell r="H3306" t="str">
            <v>LEGO</v>
          </cell>
          <cell r="I3306">
            <v>8.52</v>
          </cell>
        </row>
        <row r="3307">
          <cell r="A3307" t="str">
            <v>19-03306</v>
          </cell>
          <cell r="B3307" t="str">
            <v>WEFORT LATAM</v>
          </cell>
          <cell r="C3307" t="str">
            <v>A</v>
          </cell>
          <cell r="D3307" t="str">
            <v>SI</v>
          </cell>
          <cell r="E3307" t="str">
            <v>W70334 LEGO NEXO KNIGHTS  CONFIDENTIAL BB 2016 NEW OFFER 1HY 5</v>
          </cell>
          <cell r="F3307" t="str">
            <v>JUGUETES</v>
          </cell>
          <cell r="G3307" t="str">
            <v>W6136992</v>
          </cell>
          <cell r="H3307" t="str">
            <v>LEGO</v>
          </cell>
          <cell r="I3307">
            <v>8.52</v>
          </cell>
        </row>
        <row r="3308">
          <cell r="A3308" t="str">
            <v>19-03307</v>
          </cell>
          <cell r="B3308" t="str">
            <v>WEFORT LATAM</v>
          </cell>
          <cell r="C3308" t="str">
            <v>A</v>
          </cell>
          <cell r="D3308" t="str">
            <v>SI</v>
          </cell>
          <cell r="E3308" t="str">
            <v>W70335 LEGO NEXO KNIGHTS  CONFIDENTIAL BB 2016 NEW OFFER 1HY 6</v>
          </cell>
          <cell r="F3308" t="str">
            <v>JUGUETES</v>
          </cell>
          <cell r="G3308" t="str">
            <v>W6136994</v>
          </cell>
          <cell r="H3308" t="str">
            <v>LEGO</v>
          </cell>
          <cell r="I3308">
            <v>8.52</v>
          </cell>
        </row>
        <row r="3309">
          <cell r="A3309" t="str">
            <v>19-03308</v>
          </cell>
          <cell r="B3309" t="str">
            <v>WEFORT LATAM</v>
          </cell>
          <cell r="C3309" t="str">
            <v>A</v>
          </cell>
          <cell r="D3309" t="str">
            <v>NO</v>
          </cell>
          <cell r="E3309" t="str">
            <v>W42044 LEGO TECHNIC DISPLAY TEAM JET</v>
          </cell>
          <cell r="F3309" t="str">
            <v>JUGUETES</v>
          </cell>
          <cell r="G3309" t="str">
            <v>W6135713</v>
          </cell>
          <cell r="H3309" t="str">
            <v>LEGO</v>
          </cell>
          <cell r="I3309">
            <v>13.93</v>
          </cell>
        </row>
        <row r="3310">
          <cell r="A3310" t="str">
            <v>19-03309</v>
          </cell>
          <cell r="B3310" t="str">
            <v>WEFORT LATAM</v>
          </cell>
          <cell r="C3310" t="str">
            <v>A</v>
          </cell>
          <cell r="D3310" t="str">
            <v>NO</v>
          </cell>
          <cell r="E3310" t="str">
            <v>W42046 LEGO TECHNIC GETAWAY RACER</v>
          </cell>
          <cell r="F3310" t="str">
            <v>JUGUETES</v>
          </cell>
          <cell r="G3310" t="str">
            <v>W6135744</v>
          </cell>
          <cell r="H3310" t="str">
            <v>LEGO</v>
          </cell>
          <cell r="I3310">
            <v>21.45</v>
          </cell>
        </row>
        <row r="3311">
          <cell r="A3311" t="str">
            <v>19-03310</v>
          </cell>
          <cell r="B3311" t="str">
            <v>WEFORT LATAM</v>
          </cell>
          <cell r="C3311" t="str">
            <v>A</v>
          </cell>
          <cell r="D3311" t="str">
            <v>NO</v>
          </cell>
          <cell r="E3311" t="str">
            <v>W42047 LEGO TECHNIC POLICE INTERCEPTOR</v>
          </cell>
          <cell r="F3311" t="str">
            <v>JUGUETES</v>
          </cell>
          <cell r="G3311" t="str">
            <v>W6135756</v>
          </cell>
          <cell r="H3311" t="str">
            <v>LEGO</v>
          </cell>
          <cell r="I3311">
            <v>21.45</v>
          </cell>
        </row>
        <row r="3312">
          <cell r="A3312" t="str">
            <v>19-03311</v>
          </cell>
          <cell r="B3312" t="str">
            <v>WEFORT LATAM</v>
          </cell>
          <cell r="C3312" t="str">
            <v>A</v>
          </cell>
          <cell r="D3312" t="str">
            <v>NO</v>
          </cell>
          <cell r="E3312" t="str">
            <v>W42048 LEGO TECHNIC RACE KART</v>
          </cell>
          <cell r="F3312" t="str">
            <v>JUGUETES</v>
          </cell>
          <cell r="G3312" t="str">
            <v>W6135772</v>
          </cell>
          <cell r="H3312" t="str">
            <v>LEGO</v>
          </cell>
          <cell r="I3312">
            <v>32.17</v>
          </cell>
        </row>
        <row r="3313">
          <cell r="A3313" t="str">
            <v>19-03312</v>
          </cell>
          <cell r="B3313" t="str">
            <v>WEFORT LATAM</v>
          </cell>
          <cell r="C3313" t="str">
            <v>A</v>
          </cell>
          <cell r="D3313" t="str">
            <v>SI</v>
          </cell>
          <cell r="E3313" t="str">
            <v>WC4982 MATTEL HOT WHEELS AUTOS BASICOS</v>
          </cell>
          <cell r="F3313" t="str">
            <v>JUGUETES</v>
          </cell>
          <cell r="G3313" t="str">
            <v>WC4982</v>
          </cell>
          <cell r="H3313" t="str">
            <v>MATTEL</v>
          </cell>
          <cell r="I3313">
            <v>1.1519999999999999</v>
          </cell>
        </row>
        <row r="3314">
          <cell r="A3314" t="str">
            <v>19-03313</v>
          </cell>
          <cell r="B3314" t="str">
            <v>WEFORT LATAM</v>
          </cell>
          <cell r="C3314" t="str">
            <v>A</v>
          </cell>
          <cell r="D3314" t="str">
            <v>SI</v>
          </cell>
          <cell r="E3314" t="str">
            <v>W30782 MATTEL MATCHBOX AUTOS BASICOS</v>
          </cell>
          <cell r="F3314" t="str">
            <v>JUGUETES</v>
          </cell>
          <cell r="G3314" t="str">
            <v>W30782</v>
          </cell>
          <cell r="H3314" t="str">
            <v>MATTEL</v>
          </cell>
          <cell r="I3314">
            <v>1.1499999999999999</v>
          </cell>
        </row>
        <row r="3315">
          <cell r="A3315" t="str">
            <v>19-03314</v>
          </cell>
          <cell r="B3315" t="str">
            <v>WEFORT LATAM</v>
          </cell>
          <cell r="C3315" t="str">
            <v>A</v>
          </cell>
          <cell r="D3315" t="str">
            <v>SI</v>
          </cell>
          <cell r="E3315" t="str">
            <v>W1806 MATTEL HOT WHEELS BASIC CARS PAQUETE DE 5</v>
          </cell>
          <cell r="F3315" t="str">
            <v>JUGUETES</v>
          </cell>
          <cell r="G3315" t="str">
            <v>W1806</v>
          </cell>
          <cell r="H3315" t="str">
            <v>MATTEL</v>
          </cell>
          <cell r="I3315">
            <v>5.7960000000000003</v>
          </cell>
        </row>
        <row r="3316">
          <cell r="A3316" t="str">
            <v>19-03315</v>
          </cell>
          <cell r="B3316" t="str">
            <v>WEFORT LATAM</v>
          </cell>
          <cell r="C3316" t="str">
            <v>A</v>
          </cell>
          <cell r="D3316" t="str">
            <v>SI</v>
          </cell>
          <cell r="E3316" t="str">
            <v>W68982 MATTEL MATCHBOX BASIC CARS SKY BUSTERS SURTIDO</v>
          </cell>
          <cell r="F3316" t="str">
            <v>JUGUETES</v>
          </cell>
          <cell r="G3316" t="str">
            <v>W68982</v>
          </cell>
          <cell r="H3316" t="str">
            <v>MATTEL</v>
          </cell>
          <cell r="I3316">
            <v>2.46</v>
          </cell>
        </row>
        <row r="3317">
          <cell r="A3317" t="str">
            <v>19-03316</v>
          </cell>
          <cell r="B3317" t="str">
            <v>WEFORT LATAM</v>
          </cell>
          <cell r="C3317" t="str">
            <v>A</v>
          </cell>
          <cell r="D3317" t="str">
            <v>N/A</v>
          </cell>
          <cell r="E3317" t="str">
            <v>WDPW12 MATTEL MEGABLOKS TMNT MOVIE MICRO FIGURAS DE ACCION</v>
          </cell>
          <cell r="F3317" t="str">
            <v>JUGUETES</v>
          </cell>
          <cell r="G3317" t="str">
            <v>WDPW12</v>
          </cell>
          <cell r="H3317" t="str">
            <v>MATTEL</v>
          </cell>
          <cell r="I3317">
            <v>0</v>
          </cell>
        </row>
        <row r="3318">
          <cell r="A3318" t="str">
            <v>19-03317</v>
          </cell>
          <cell r="B3318" t="str">
            <v>WEFORT LATAM</v>
          </cell>
          <cell r="C3318" t="str">
            <v>A</v>
          </cell>
          <cell r="D3318" t="str">
            <v>NO</v>
          </cell>
          <cell r="E3318" t="str">
            <v>W54886 MATTEL HOT WHEELS BASIC CARS PAQUETE DE 10</v>
          </cell>
          <cell r="F3318" t="str">
            <v>JUGUETES</v>
          </cell>
          <cell r="G3318" t="str">
            <v>W54886</v>
          </cell>
          <cell r="H3318" t="str">
            <v>MATTEL</v>
          </cell>
          <cell r="I3318">
            <v>11.294</v>
          </cell>
        </row>
        <row r="3319">
          <cell r="A3319" t="str">
            <v>19-03318</v>
          </cell>
          <cell r="B3319" t="str">
            <v>WEFORT LATAM</v>
          </cell>
          <cell r="C3319" t="str">
            <v>A</v>
          </cell>
          <cell r="D3319" t="str">
            <v>SI</v>
          </cell>
          <cell r="E3319" t="str">
            <v>WC1817 MATTEL MATCHBOX BASIC CARS PAQUETE DE 5</v>
          </cell>
          <cell r="F3319" t="str">
            <v>JUGUETES</v>
          </cell>
          <cell r="G3319" t="str">
            <v>WC1817</v>
          </cell>
          <cell r="H3319" t="str">
            <v>MATTEL</v>
          </cell>
          <cell r="I3319">
            <v>5.7960000000000003</v>
          </cell>
        </row>
        <row r="3320">
          <cell r="A3320" t="str">
            <v>19-03319</v>
          </cell>
          <cell r="B3320" t="str">
            <v>WEFORT LATAM</v>
          </cell>
          <cell r="C3320" t="str">
            <v>A</v>
          </cell>
          <cell r="D3320" t="str">
            <v>SI</v>
          </cell>
          <cell r="E3320" t="str">
            <v>WK7704 MATTEL POLLY POCKET POLLY POCKET SURTIDO DE MUNECAS</v>
          </cell>
          <cell r="F3320" t="str">
            <v>JUGUETES</v>
          </cell>
          <cell r="G3320" t="str">
            <v>WK7704</v>
          </cell>
          <cell r="H3320" t="str">
            <v>MATTEL</v>
          </cell>
          <cell r="I3320">
            <v>2.52</v>
          </cell>
        </row>
        <row r="3321">
          <cell r="A3321" t="str">
            <v>19-03320</v>
          </cell>
          <cell r="B3321" t="str">
            <v>WEFORT LATAM</v>
          </cell>
          <cell r="C3321" t="str">
            <v>A</v>
          </cell>
          <cell r="D3321" t="str">
            <v>SI</v>
          </cell>
          <cell r="E3321" t="str">
            <v>WDRT61 MATTEL WB DC COMICS SURTIDO FIGURAS ARTICULADAS 12"</v>
          </cell>
          <cell r="F3321" t="str">
            <v>JUGUETES</v>
          </cell>
          <cell r="G3321" t="str">
            <v>WDRT61</v>
          </cell>
          <cell r="H3321" t="str">
            <v>MATTEL</v>
          </cell>
          <cell r="I3321">
            <v>5.94</v>
          </cell>
        </row>
        <row r="3322">
          <cell r="A3322" t="str">
            <v>19-03321</v>
          </cell>
          <cell r="B3322" t="str">
            <v>WEFORT LATAM</v>
          </cell>
          <cell r="C3322" t="str">
            <v>A</v>
          </cell>
          <cell r="D3322" t="str">
            <v>SI</v>
          </cell>
          <cell r="E3322" t="str">
            <v>WDRT60 MATTEL WB DC COMICS SURTIDO FIGURAS ARTICULADAS 12"</v>
          </cell>
          <cell r="F3322" t="str">
            <v>JUGUETES</v>
          </cell>
          <cell r="G3322" t="str">
            <v>WDRT60</v>
          </cell>
          <cell r="H3322" t="str">
            <v>MATTEL</v>
          </cell>
          <cell r="I3322">
            <v>4.5</v>
          </cell>
        </row>
        <row r="3323">
          <cell r="A3323" t="str">
            <v>19-03322</v>
          </cell>
          <cell r="B3323" t="str">
            <v>WEFORT LATAM</v>
          </cell>
          <cell r="C3323" t="str">
            <v>A</v>
          </cell>
          <cell r="D3323" t="str">
            <v>SI</v>
          </cell>
          <cell r="E3323" t="str">
            <v>WCGW52 MATTEL HOT WHEELS STAR WARS SURTIDO DE NAVES ESPACIALES</v>
          </cell>
          <cell r="F3323" t="str">
            <v>JUGUETES</v>
          </cell>
          <cell r="G3323" t="str">
            <v>WCGW52</v>
          </cell>
          <cell r="H3323" t="str">
            <v>MATTEL</v>
          </cell>
          <cell r="I3323">
            <v>5.3879999999999999</v>
          </cell>
        </row>
        <row r="3324">
          <cell r="A3324" t="str">
            <v>19-03323</v>
          </cell>
          <cell r="B3324" t="str">
            <v>WEFORT LATAM</v>
          </cell>
          <cell r="C3324" t="str">
            <v>A</v>
          </cell>
          <cell r="D3324" t="str">
            <v>SI</v>
          </cell>
          <cell r="E3324" t="str">
            <v>WBBR24 MATTEL HOT WHEELS HOT WHEELS DIECAST MAX STEEL PACK DE 5</v>
          </cell>
          <cell r="F3324" t="str">
            <v>JUGUETES</v>
          </cell>
          <cell r="G3324" t="str">
            <v>WBBR24</v>
          </cell>
          <cell r="H3324" t="str">
            <v>MATTEL</v>
          </cell>
          <cell r="I3324">
            <v>6.5880000000000001</v>
          </cell>
        </row>
        <row r="3325">
          <cell r="A3325" t="str">
            <v>19-03324</v>
          </cell>
          <cell r="B3325" t="str">
            <v>WEFORT LATAM</v>
          </cell>
          <cell r="C3325" t="str">
            <v>A</v>
          </cell>
          <cell r="D3325" t="str">
            <v>SI</v>
          </cell>
          <cell r="E3325" t="str">
            <v>WBDM71 MATTEL HOT WHEELS MARVEL PERSONAJES 1:64 SURTIDO</v>
          </cell>
          <cell r="F3325" t="str">
            <v>JUGUETES</v>
          </cell>
          <cell r="G3325" t="str">
            <v>WBDM71</v>
          </cell>
          <cell r="H3325" t="str">
            <v>MATTEL</v>
          </cell>
          <cell r="I3325">
            <v>4.7880000000000003</v>
          </cell>
        </row>
        <row r="3326">
          <cell r="A3326" t="str">
            <v>19-03325</v>
          </cell>
          <cell r="B3326" t="str">
            <v>WEFORT LATAM</v>
          </cell>
          <cell r="C3326" t="str">
            <v>A</v>
          </cell>
          <cell r="D3326" t="str">
            <v>N/A</v>
          </cell>
          <cell r="E3326" t="str">
            <v>WDKX68 MATTEL DISNEY PLANES SURTIDO AVIONES</v>
          </cell>
          <cell r="F3326" t="str">
            <v>JUGUETES</v>
          </cell>
          <cell r="G3326" t="str">
            <v>WDKX68</v>
          </cell>
          <cell r="H3326" t="str">
            <v>MATTEL</v>
          </cell>
          <cell r="I3326">
            <v>0</v>
          </cell>
        </row>
        <row r="3327">
          <cell r="A3327" t="str">
            <v>19-03326</v>
          </cell>
          <cell r="B3327" t="str">
            <v>WEFORT LATAM</v>
          </cell>
          <cell r="C3327" t="str">
            <v>A</v>
          </cell>
          <cell r="D3327" t="str">
            <v>SI</v>
          </cell>
          <cell r="E3327" t="str">
            <v>WCJH36 MATTEL MINECRAFT MINI FIGURAS PACK DE 1</v>
          </cell>
          <cell r="F3327" t="str">
            <v>JUGUETES</v>
          </cell>
          <cell r="G3327" t="str">
            <v>WCJH36</v>
          </cell>
          <cell r="H3327" t="str">
            <v>MATTEL</v>
          </cell>
          <cell r="I3327">
            <v>2.988</v>
          </cell>
        </row>
        <row r="3328">
          <cell r="A3328" t="str">
            <v>19-03327</v>
          </cell>
          <cell r="B3328" t="str">
            <v>WEFORT LATAM</v>
          </cell>
          <cell r="C3328" t="str">
            <v>A</v>
          </cell>
          <cell r="D3328" t="str">
            <v>SI</v>
          </cell>
          <cell r="E3328" t="str">
            <v>WCGX24 MATTEL MINECRAFT MINI FIGURAS PACK DE 3</v>
          </cell>
          <cell r="F3328" t="str">
            <v>JUGUETES</v>
          </cell>
          <cell r="G3328" t="str">
            <v>WCGX24</v>
          </cell>
          <cell r="H3328" t="str">
            <v>MATTEL</v>
          </cell>
          <cell r="I3328">
            <v>8.3879999999999999</v>
          </cell>
        </row>
        <row r="3329">
          <cell r="A3329" t="str">
            <v>19-03328</v>
          </cell>
          <cell r="B3329" t="str">
            <v>WEFORT LATAM</v>
          </cell>
          <cell r="C3329" t="str">
            <v>A</v>
          </cell>
          <cell r="D3329" t="str">
            <v>SI</v>
          </cell>
          <cell r="E3329" t="str">
            <v>WW2190 MATTEL THOMAS &amp; FRIENDS SURTIDO DE LOCOMOTORAS DE EMPUJE MEDIANAS</v>
          </cell>
          <cell r="F3329" t="str">
            <v>JUGUETES</v>
          </cell>
          <cell r="G3329" t="str">
            <v>WW2190</v>
          </cell>
          <cell r="H3329" t="str">
            <v>MATTEL</v>
          </cell>
          <cell r="I3329">
            <v>3.5880000000000001</v>
          </cell>
        </row>
        <row r="3330">
          <cell r="A3330" t="str">
            <v>19-03329</v>
          </cell>
          <cell r="B3330" t="str">
            <v>WEFORT LATAM</v>
          </cell>
          <cell r="C3330" t="str">
            <v>A</v>
          </cell>
          <cell r="D3330" t="str">
            <v>SI</v>
          </cell>
          <cell r="E3330" t="str">
            <v>WBDN36 MATTEL HOT WHEELS SURTIDO MOTOS DE CARRERAS</v>
          </cell>
          <cell r="F3330" t="str">
            <v>JUGUETES</v>
          </cell>
          <cell r="G3330" t="str">
            <v>WBDN36</v>
          </cell>
          <cell r="H3330" t="str">
            <v>MATTEL</v>
          </cell>
          <cell r="I3330">
            <v>3.8879999999999999</v>
          </cell>
        </row>
        <row r="3331">
          <cell r="A3331" t="str">
            <v>19-03330</v>
          </cell>
          <cell r="B3331" t="str">
            <v>WEFORT LATAM</v>
          </cell>
          <cell r="C3331" t="str">
            <v>A</v>
          </cell>
          <cell r="D3331" t="str">
            <v>SI</v>
          </cell>
          <cell r="E3331" t="str">
            <v>WBFM60 MATTEL HOT WHEELS SURTIDO TRANSPORTADOR DE AUTOS</v>
          </cell>
          <cell r="F3331" t="str">
            <v>JUGUETES</v>
          </cell>
          <cell r="G3331" t="str">
            <v>WBFM60</v>
          </cell>
          <cell r="H3331" t="str">
            <v>MATTEL</v>
          </cell>
          <cell r="I3331">
            <v>5.3879999999999999</v>
          </cell>
        </row>
        <row r="3332">
          <cell r="A3332" t="str">
            <v>19-03331</v>
          </cell>
          <cell r="B3332" t="str">
            <v>WEFORT LATAM</v>
          </cell>
          <cell r="C3332" t="str">
            <v>A</v>
          </cell>
          <cell r="D3332" t="str">
            <v>N/A</v>
          </cell>
          <cell r="E3332" t="str">
            <v>WBHP37 MATTEL HOT WHEELS MONSTER JAM 1:64</v>
          </cell>
          <cell r="F3332" t="str">
            <v>JUGUETES</v>
          </cell>
          <cell r="G3332" t="str">
            <v>WBHP37</v>
          </cell>
          <cell r="H3332" t="str">
            <v>MATTEL</v>
          </cell>
          <cell r="I3332">
            <v>0</v>
          </cell>
        </row>
        <row r="3333">
          <cell r="A3333" t="str">
            <v>19-03332</v>
          </cell>
          <cell r="B3333" t="str">
            <v>WEFORT LATAM</v>
          </cell>
          <cell r="C3333" t="str">
            <v>A</v>
          </cell>
          <cell r="D3333" t="str">
            <v>SI</v>
          </cell>
          <cell r="E3333" t="str">
            <v>WDJP09 MATTEL HOT WHEELS BATMAN VS SUPERMAN AUTOS PERSONIFICADOS PAQUETE DE 2</v>
          </cell>
          <cell r="F3333" t="str">
            <v>JUGUETES</v>
          </cell>
          <cell r="G3333" t="str">
            <v>WDJP09</v>
          </cell>
          <cell r="H3333" t="str">
            <v>MATTEL</v>
          </cell>
          <cell r="I3333">
            <v>9.5760000000000005</v>
          </cell>
        </row>
        <row r="3334">
          <cell r="A3334" t="str">
            <v>19-03333</v>
          </cell>
          <cell r="B3334" t="str">
            <v>WEFORT LATAM</v>
          </cell>
          <cell r="C3334" t="str">
            <v>A</v>
          </cell>
          <cell r="D3334" t="str">
            <v>SI</v>
          </cell>
          <cell r="E3334" t="str">
            <v>WCGW35 MATTEL HOT WHEELS STAR WARS SURTIDO AUTOS PERSONIFICADOS</v>
          </cell>
          <cell r="F3334" t="str">
            <v>JUGUETES</v>
          </cell>
          <cell r="G3334" t="str">
            <v>WCGW35</v>
          </cell>
          <cell r="H3334" t="str">
            <v>MATTEL</v>
          </cell>
          <cell r="I3334">
            <v>4.7880000000000003</v>
          </cell>
        </row>
        <row r="3335">
          <cell r="A3335" t="str">
            <v>19-03334</v>
          </cell>
          <cell r="B3335" t="str">
            <v>WEFORT LATAM</v>
          </cell>
          <cell r="C3335" t="str">
            <v>A</v>
          </cell>
          <cell r="D3335" t="str">
            <v>SI</v>
          </cell>
          <cell r="E3335" t="str">
            <v>WCGK45 MATTEL CARS SURTIDO DE VEHICULOS</v>
          </cell>
          <cell r="F3335" t="str">
            <v>JUGUETES</v>
          </cell>
          <cell r="G3335" t="str">
            <v>WCGK45</v>
          </cell>
          <cell r="H3335" t="str">
            <v>MATTEL</v>
          </cell>
          <cell r="I3335">
            <v>5.9880000000000004</v>
          </cell>
        </row>
        <row r="3336">
          <cell r="A3336" t="str">
            <v>19-03335</v>
          </cell>
          <cell r="B3336" t="str">
            <v>WEFORT LATAM</v>
          </cell>
          <cell r="C3336" t="str">
            <v>A</v>
          </cell>
          <cell r="D3336" t="str">
            <v>SI</v>
          </cell>
          <cell r="E3336" t="str">
            <v>WY5573 MATTEL MAX STEEL SURTIDO FIGURAS BASICAS CON ACCESORIO</v>
          </cell>
          <cell r="F3336" t="str">
            <v>JUGUETES</v>
          </cell>
          <cell r="G3336" t="str">
            <v>WY5573</v>
          </cell>
          <cell r="H3336" t="str">
            <v>MATTEL</v>
          </cell>
          <cell r="I3336">
            <v>7.2359999999999998</v>
          </cell>
        </row>
        <row r="3337">
          <cell r="A3337" t="str">
            <v>19-03336</v>
          </cell>
          <cell r="B3337" t="str">
            <v>WEFORT LATAM</v>
          </cell>
          <cell r="C3337" t="str">
            <v>A</v>
          </cell>
          <cell r="D3337" t="str">
            <v>SI</v>
          </cell>
          <cell r="E3337" t="str">
            <v>WDPH24 MATTEL WB BATMAN VS SUPERMAN SURTIDO FIGURAS ARTICULADAS 12"</v>
          </cell>
          <cell r="F3337" t="str">
            <v>JUGUETES</v>
          </cell>
          <cell r="G3337" t="str">
            <v>WDPH24</v>
          </cell>
          <cell r="H3337" t="str">
            <v>MATTEL</v>
          </cell>
          <cell r="I3337">
            <v>5.94</v>
          </cell>
        </row>
        <row r="3338">
          <cell r="A3338" t="str">
            <v>19-03337</v>
          </cell>
          <cell r="B3338" t="str">
            <v>WEFORT LATAM</v>
          </cell>
          <cell r="C3338" t="str">
            <v>A</v>
          </cell>
          <cell r="D3338" t="str">
            <v>SI</v>
          </cell>
          <cell r="E3338" t="str">
            <v>WW2085 MATTEL GAMES UNO</v>
          </cell>
          <cell r="F3338" t="str">
            <v>JUGUETES</v>
          </cell>
          <cell r="G3338" t="str">
            <v>WW2085</v>
          </cell>
          <cell r="H3338" t="str">
            <v>MATTEL</v>
          </cell>
          <cell r="I3338">
            <v>4.3600000000000003</v>
          </cell>
        </row>
        <row r="3339">
          <cell r="A3339" t="str">
            <v>19-03338</v>
          </cell>
          <cell r="B3339" t="str">
            <v>WEFORT LATAM</v>
          </cell>
          <cell r="C3339" t="str">
            <v>A</v>
          </cell>
          <cell r="D3339" t="str">
            <v>SI</v>
          </cell>
          <cell r="E3339" t="str">
            <v>WCJM73 MATTEL GAMES UNO MARVEL AVENGERS</v>
          </cell>
          <cell r="F3339" t="str">
            <v>JUGUETES</v>
          </cell>
          <cell r="G3339" t="str">
            <v>WCJM73</v>
          </cell>
          <cell r="H3339" t="str">
            <v>MATTEL</v>
          </cell>
          <cell r="I3339">
            <v>4.6680000000000001</v>
          </cell>
        </row>
        <row r="3340">
          <cell r="A3340" t="str">
            <v>19-03339</v>
          </cell>
          <cell r="B3340" t="str">
            <v>WEFORT LATAM</v>
          </cell>
          <cell r="C3340" t="str">
            <v>A</v>
          </cell>
          <cell r="D3340" t="str">
            <v>N/A</v>
          </cell>
          <cell r="E3340" t="str">
            <v>WDRR94 MATTEL GHOSTBUSTERS GLOW IN THE DARK MINI FIG BLIND BAG ASST 1.5”</v>
          </cell>
          <cell r="F3340" t="str">
            <v>JUGUETES</v>
          </cell>
          <cell r="G3340" t="str">
            <v>WDRR94</v>
          </cell>
          <cell r="H3340" t="str">
            <v>MATTEL</v>
          </cell>
          <cell r="I3340">
            <v>0</v>
          </cell>
        </row>
        <row r="3341">
          <cell r="A3341" t="str">
            <v>19-03340</v>
          </cell>
          <cell r="B3341" t="str">
            <v>WEFORT LATAM</v>
          </cell>
          <cell r="C3341" t="str">
            <v>A</v>
          </cell>
          <cell r="D3341" t="str">
            <v>SI</v>
          </cell>
          <cell r="E3341" t="str">
            <v>WDMM06 MATTEL BARBIE PRINCESA BASICA SURTIDO</v>
          </cell>
          <cell r="F3341" t="str">
            <v>JUGUETES</v>
          </cell>
          <cell r="G3341" t="str">
            <v>WDMM06</v>
          </cell>
          <cell r="H3341" t="str">
            <v>MATTEL</v>
          </cell>
          <cell r="I3341">
            <v>5.4</v>
          </cell>
        </row>
        <row r="3342">
          <cell r="A3342" t="str">
            <v>19-03341</v>
          </cell>
          <cell r="B3342" t="str">
            <v>WEFORT LATAM</v>
          </cell>
          <cell r="C3342" t="str">
            <v>A</v>
          </cell>
          <cell r="D3342" t="str">
            <v>SI</v>
          </cell>
          <cell r="E3342" t="str">
            <v>WDNG07 MATTEL BARBIE MINI SIRENA SURTIDO</v>
          </cell>
          <cell r="F3342" t="str">
            <v>JUGUETES</v>
          </cell>
          <cell r="G3342" t="str">
            <v>WDNG07</v>
          </cell>
          <cell r="H3342" t="str">
            <v>MATTEL</v>
          </cell>
          <cell r="I3342">
            <v>5.0999999999999996</v>
          </cell>
        </row>
        <row r="3343">
          <cell r="A3343" t="str">
            <v>19-03342</v>
          </cell>
          <cell r="B3343" t="str">
            <v>WEFORT LATAM</v>
          </cell>
          <cell r="C3343" t="str">
            <v>A</v>
          </cell>
          <cell r="D3343" t="str">
            <v>SI</v>
          </cell>
          <cell r="E3343" t="str">
            <v>WDHM41 MATTEL BARBIE BAILARINA SURTIDO</v>
          </cell>
          <cell r="F3343" t="str">
            <v>JUGUETES</v>
          </cell>
          <cell r="G3343" t="str">
            <v>WDHM41</v>
          </cell>
          <cell r="H3343" t="str">
            <v>MATTEL</v>
          </cell>
          <cell r="I3343">
            <v>6.96</v>
          </cell>
        </row>
        <row r="3344">
          <cell r="A3344" t="str">
            <v>19-03343</v>
          </cell>
          <cell r="B3344" t="str">
            <v>WEFORT LATAM</v>
          </cell>
          <cell r="C3344" t="str">
            <v>A</v>
          </cell>
          <cell r="D3344" t="str">
            <v>NO</v>
          </cell>
          <cell r="E3344" t="str">
            <v>WDHM49 MATTEL BARBIE REINOS MAGICOS SURTIDO DE PRINCESAS</v>
          </cell>
          <cell r="F3344" t="str">
            <v>JUGUETES</v>
          </cell>
          <cell r="G3344" t="str">
            <v>WDHM49</v>
          </cell>
          <cell r="H3344" t="str">
            <v>MATTEL</v>
          </cell>
          <cell r="I3344">
            <v>11.47</v>
          </cell>
        </row>
        <row r="3345">
          <cell r="A3345" t="str">
            <v>19-03344</v>
          </cell>
          <cell r="B3345" t="str">
            <v>WEFORT LATAM</v>
          </cell>
          <cell r="C3345" t="str">
            <v>A</v>
          </cell>
          <cell r="D3345" t="str">
            <v>NO</v>
          </cell>
          <cell r="E3345" t="str">
            <v>WDHM45 MATTEL BARBIE REINOS MAGICOS SIRENA SURTIDO</v>
          </cell>
          <cell r="F3345" t="str">
            <v>JUGUETES</v>
          </cell>
          <cell r="G3345" t="str">
            <v>WDHM45</v>
          </cell>
          <cell r="H3345" t="str">
            <v>MATTEL</v>
          </cell>
          <cell r="I3345">
            <v>11.472</v>
          </cell>
        </row>
        <row r="3346">
          <cell r="A3346" t="str">
            <v>19-03345</v>
          </cell>
          <cell r="B3346" t="str">
            <v>WEFORT LATAM</v>
          </cell>
          <cell r="C3346" t="str">
            <v>A</v>
          </cell>
          <cell r="D3346" t="str">
            <v>SI</v>
          </cell>
          <cell r="E3346" t="str">
            <v>WW5109 MATTEL MINNIE BOUTIQUE BASICA</v>
          </cell>
          <cell r="F3346" t="str">
            <v>JUGUETES</v>
          </cell>
          <cell r="G3346" t="str">
            <v>WW5109</v>
          </cell>
          <cell r="H3346" t="str">
            <v>MATTEL</v>
          </cell>
          <cell r="I3346">
            <v>8.3879999999999999</v>
          </cell>
        </row>
        <row r="3347">
          <cell r="A3347" t="str">
            <v>19-03346</v>
          </cell>
          <cell r="B3347" t="str">
            <v>WEFORT LATAM</v>
          </cell>
          <cell r="C3347" t="str">
            <v>A</v>
          </cell>
          <cell r="D3347" t="str">
            <v>NO</v>
          </cell>
          <cell r="E3347" t="str">
            <v>WCCW67 MATTEL MINNIE BRILLOS A LA MODA</v>
          </cell>
          <cell r="F3347" t="str">
            <v>JUGUETES</v>
          </cell>
          <cell r="G3347" t="str">
            <v>WCCW67</v>
          </cell>
          <cell r="H3347" t="str">
            <v>MATTEL</v>
          </cell>
          <cell r="I3347">
            <v>15.282</v>
          </cell>
        </row>
        <row r="3348">
          <cell r="A3348" t="str">
            <v>19-03347</v>
          </cell>
          <cell r="B3348" t="str">
            <v>WEFORT LATAM</v>
          </cell>
          <cell r="C3348" t="str">
            <v>A</v>
          </cell>
          <cell r="D3348" t="str">
            <v>N/A</v>
          </cell>
          <cell r="E3348" t="str">
            <v>WBHG21 MATTEL DISNEY MICKEY SURTIDO AMIGAS DULCES</v>
          </cell>
          <cell r="F3348" t="str">
            <v>JUGUETES</v>
          </cell>
          <cell r="G3348" t="str">
            <v>WBHG21</v>
          </cell>
          <cell r="H3348" t="str">
            <v>MATTEL</v>
          </cell>
          <cell r="I3348">
            <v>0</v>
          </cell>
        </row>
        <row r="3349">
          <cell r="A3349" t="str">
            <v>19-03348</v>
          </cell>
          <cell r="B3349" t="str">
            <v>WEFORT LATAM</v>
          </cell>
          <cell r="C3349" t="str">
            <v>A</v>
          </cell>
          <cell r="D3349" t="str">
            <v>N/A</v>
          </cell>
          <cell r="E3349" t="str">
            <v>WDKW59 MATTEL MEGABLOKS HALO SURTIDO DE HEROES</v>
          </cell>
          <cell r="F3349" t="str">
            <v>JUGUETES</v>
          </cell>
          <cell r="G3349" t="str">
            <v>WDKW59</v>
          </cell>
          <cell r="H3349" t="str">
            <v>MATTEL</v>
          </cell>
          <cell r="I3349">
            <v>0</v>
          </cell>
        </row>
        <row r="3350">
          <cell r="A3350" t="str">
            <v>19-03349</v>
          </cell>
          <cell r="B3350" t="str">
            <v>WEFORT LATAM</v>
          </cell>
          <cell r="C3350" t="str">
            <v>A</v>
          </cell>
          <cell r="D3350" t="str">
            <v>N/A</v>
          </cell>
          <cell r="E3350" t="str">
            <v>WCKD15 MATTEL CARS COLOR CHANGERS</v>
          </cell>
          <cell r="F3350" t="str">
            <v>JUGUETES</v>
          </cell>
          <cell r="G3350" t="str">
            <v>WCKD15</v>
          </cell>
          <cell r="H3350" t="str">
            <v>MATTEL</v>
          </cell>
          <cell r="I3350">
            <v>0</v>
          </cell>
        </row>
        <row r="3351">
          <cell r="A3351" t="str">
            <v>19-03350</v>
          </cell>
          <cell r="B3351" t="str">
            <v>WEFORT LATAM</v>
          </cell>
          <cell r="C3351" t="str">
            <v>A</v>
          </cell>
          <cell r="D3351" t="str">
            <v>N/A</v>
          </cell>
          <cell r="E3351" t="str">
            <v>WDKB54 MATTEL BARBIE REINO DE PEINADOS MAGICOS SURTIDO CHELSEA</v>
          </cell>
          <cell r="F3351" t="str">
            <v>JUGUETES</v>
          </cell>
          <cell r="G3351" t="str">
            <v>WDKB54</v>
          </cell>
          <cell r="H3351" t="str">
            <v>MATTEL</v>
          </cell>
          <cell r="I3351">
            <v>0</v>
          </cell>
        </row>
        <row r="3352">
          <cell r="A3352" t="str">
            <v>19-03351</v>
          </cell>
          <cell r="B3352" t="str">
            <v>WEFORT LATAM</v>
          </cell>
          <cell r="C3352" t="str">
            <v>A</v>
          </cell>
          <cell r="D3352" t="str">
            <v>SI</v>
          </cell>
          <cell r="E3352" t="str">
            <v>WDJN18 MATTEL HOT WHEELS SURTIDO DE MOTOS MARVEL</v>
          </cell>
          <cell r="F3352" t="str">
            <v>JUGUETES</v>
          </cell>
          <cell r="G3352" t="str">
            <v>WDJN18</v>
          </cell>
          <cell r="H3352" t="str">
            <v>MATTEL</v>
          </cell>
          <cell r="I3352">
            <v>5.9880000000000004</v>
          </cell>
        </row>
        <row r="3353">
          <cell r="A3353" t="str">
            <v>19-03352</v>
          </cell>
          <cell r="B3353" t="str">
            <v>WEFORT LATAM</v>
          </cell>
          <cell r="C3353" t="str">
            <v>A</v>
          </cell>
          <cell r="D3353" t="str">
            <v>SI</v>
          </cell>
          <cell r="E3353" t="str">
            <v>WBMK87 MATTEL THOMAS &amp; FRIENDS THOMAS BIG FRIENDS SURTIDO</v>
          </cell>
          <cell r="F3353" t="str">
            <v>JUGUETES</v>
          </cell>
          <cell r="G3353" t="str">
            <v>WBMK87</v>
          </cell>
          <cell r="H3353" t="str">
            <v>MATTEL</v>
          </cell>
          <cell r="I3353">
            <v>8.3879999999999999</v>
          </cell>
        </row>
        <row r="3354">
          <cell r="A3354" t="str">
            <v>19-03353</v>
          </cell>
          <cell r="B3354" t="str">
            <v>WEFORT LATAM</v>
          </cell>
          <cell r="C3354" t="str">
            <v>A</v>
          </cell>
          <cell r="D3354" t="str">
            <v>SI</v>
          </cell>
          <cell r="E3354" t="str">
            <v>WDJP11 MATTEL HOT WHEELS DC BATMAN &amp; VILLAINS CHARACTER CAR 5 PACK</v>
          </cell>
          <cell r="F3354" t="str">
            <v>JUGUETES</v>
          </cell>
          <cell r="G3354" t="str">
            <v>WDJP11</v>
          </cell>
          <cell r="H3354" t="str">
            <v>MATTEL</v>
          </cell>
          <cell r="I3354">
            <v>18.812000000000001</v>
          </cell>
        </row>
        <row r="3355">
          <cell r="A3355" t="str">
            <v>19-03354</v>
          </cell>
          <cell r="B3355" t="str">
            <v>WEFORT LATAM</v>
          </cell>
          <cell r="C3355" t="str">
            <v>A</v>
          </cell>
          <cell r="D3355" t="str">
            <v>SI</v>
          </cell>
          <cell r="E3355" t="str">
            <v>WW5281 MATTEL MATCHBOX MISSION FORCE SURTIDO VEHICULOS</v>
          </cell>
          <cell r="F3355" t="str">
            <v>JUGUETES</v>
          </cell>
          <cell r="G3355" t="str">
            <v>WW5281</v>
          </cell>
          <cell r="H3355" t="str">
            <v>MATTEL</v>
          </cell>
          <cell r="I3355">
            <v>11.99</v>
          </cell>
        </row>
        <row r="3356">
          <cell r="A3356" t="str">
            <v>19-03355</v>
          </cell>
          <cell r="B3356" t="str">
            <v>WEFORT LATAM</v>
          </cell>
          <cell r="C3356" t="str">
            <v>A</v>
          </cell>
          <cell r="D3356" t="str">
            <v>N/A</v>
          </cell>
          <cell r="E3356" t="str">
            <v>WCBY61 MATTEL HOT WHEELS MONSTER JAM 1:24 VEHICLE ASST.</v>
          </cell>
          <cell r="F3356" t="str">
            <v>JUGUETES</v>
          </cell>
          <cell r="G3356" t="str">
            <v>WCBY61</v>
          </cell>
          <cell r="H3356" t="str">
            <v>MATTEL</v>
          </cell>
          <cell r="I3356">
            <v>0</v>
          </cell>
        </row>
        <row r="3357">
          <cell r="A3357" t="str">
            <v>19-03356</v>
          </cell>
          <cell r="B3357" t="str">
            <v>WEFORT LATAM</v>
          </cell>
          <cell r="C3357" t="str">
            <v>A</v>
          </cell>
          <cell r="D3357" t="str">
            <v>SI</v>
          </cell>
          <cell r="E3357" t="str">
            <v>WDJT61 MATTEL HOT WHEELS CAPITAN AMERICA 3 PAQUETE DE 5 AUTOS PERSONIFICADOS</v>
          </cell>
          <cell r="F3357" t="str">
            <v>JUGUETES</v>
          </cell>
          <cell r="G3357" t="str">
            <v>WDJT61</v>
          </cell>
          <cell r="H3357" t="str">
            <v>MATTEL</v>
          </cell>
          <cell r="I3357">
            <v>18.812000000000001</v>
          </cell>
        </row>
        <row r="3358">
          <cell r="A3358" t="str">
            <v>19-03357</v>
          </cell>
          <cell r="B3358" t="str">
            <v>WEFORT LATAM</v>
          </cell>
          <cell r="C3358" t="str">
            <v>A</v>
          </cell>
          <cell r="D3358" t="str">
            <v>SI</v>
          </cell>
          <cell r="E3358" t="str">
            <v>WDJP17 MATTEL HOT WHEELS STAR WARS PAQUETE DE 5 AUTOS PERSONIFICADOS</v>
          </cell>
          <cell r="F3358" t="str">
            <v>JUGUETES</v>
          </cell>
          <cell r="G3358" t="str">
            <v>WDJP17</v>
          </cell>
          <cell r="H3358" t="str">
            <v>MATTEL</v>
          </cell>
          <cell r="I3358">
            <v>22.341000000000001</v>
          </cell>
        </row>
        <row r="3359">
          <cell r="A3359" t="str">
            <v>19-03358</v>
          </cell>
          <cell r="B3359" t="str">
            <v>WEFORT LATAM</v>
          </cell>
          <cell r="C3359" t="str">
            <v>A</v>
          </cell>
          <cell r="D3359" t="str">
            <v>SI</v>
          </cell>
          <cell r="E3359" t="str">
            <v>WDHW17 MATTEL MAX STEEL TURBO DESPEGUE</v>
          </cell>
          <cell r="F3359" t="str">
            <v>JUGUETES</v>
          </cell>
          <cell r="G3359" t="str">
            <v>WDHW17</v>
          </cell>
          <cell r="H3359" t="str">
            <v>MATTEL</v>
          </cell>
          <cell r="I3359">
            <v>19.753</v>
          </cell>
        </row>
        <row r="3360">
          <cell r="A3360" t="str">
            <v>19-03359</v>
          </cell>
          <cell r="B3360" t="str">
            <v>WEFORT LATAM</v>
          </cell>
          <cell r="C3360" t="str">
            <v>A</v>
          </cell>
          <cell r="D3360" t="str">
            <v>SI</v>
          </cell>
          <cell r="E3360" t="str">
            <v>WCJM70 MATTEL GAMES UNO FROZEN</v>
          </cell>
          <cell r="F3360" t="str">
            <v>JUGUETES</v>
          </cell>
          <cell r="G3360" t="str">
            <v>WCJM70</v>
          </cell>
          <cell r="H3360" t="str">
            <v>MATTEL</v>
          </cell>
          <cell r="I3360">
            <v>4.6680000000000001</v>
          </cell>
        </row>
        <row r="3361">
          <cell r="A3361" t="str">
            <v>19-03360</v>
          </cell>
          <cell r="B3361" t="str">
            <v>WEFORT LATAM</v>
          </cell>
          <cell r="C3361" t="str">
            <v>A</v>
          </cell>
          <cell r="D3361" t="str">
            <v>NO</v>
          </cell>
          <cell r="E3361" t="str">
            <v>WDHM57 MATTEL BARBIE SUPER PRINCESA SURTIDO HEROINAS</v>
          </cell>
          <cell r="F3361" t="str">
            <v>JUGUETES</v>
          </cell>
          <cell r="G3361" t="str">
            <v>WDHM57</v>
          </cell>
          <cell r="H3361" t="str">
            <v>MATTEL</v>
          </cell>
          <cell r="I3361">
            <v>11.47</v>
          </cell>
        </row>
        <row r="3362">
          <cell r="A3362" t="str">
            <v>19-03361</v>
          </cell>
          <cell r="B3362" t="str">
            <v>WEFORT LATAM</v>
          </cell>
          <cell r="C3362" t="str">
            <v>A</v>
          </cell>
          <cell r="D3362" t="str">
            <v>SI</v>
          </cell>
          <cell r="E3362" t="str">
            <v>WDKY17 MATTEL MONSTER HIGH MUNECA BASICA SURTIDO</v>
          </cell>
          <cell r="F3362" t="str">
            <v>JUGUETES</v>
          </cell>
          <cell r="G3362" t="str">
            <v>WDKY17</v>
          </cell>
          <cell r="H3362" t="str">
            <v>MATTEL</v>
          </cell>
          <cell r="I3362">
            <v>11.4</v>
          </cell>
        </row>
        <row r="3363">
          <cell r="A3363" t="str">
            <v>19-03362</v>
          </cell>
          <cell r="B3363" t="str">
            <v>WEFORT LATAM</v>
          </cell>
          <cell r="C3363" t="str">
            <v>A</v>
          </cell>
          <cell r="D3363" t="str">
            <v>NO</v>
          </cell>
          <cell r="E3363" t="str">
            <v>WCFC83 MATTEL MONSTER HIGH SURTIDO DE VINILES</v>
          </cell>
          <cell r="F3363" t="str">
            <v>JUGUETES</v>
          </cell>
          <cell r="G3363" t="str">
            <v>WCFC83</v>
          </cell>
          <cell r="H3363" t="str">
            <v>MATTEL</v>
          </cell>
          <cell r="I3363">
            <v>11.4</v>
          </cell>
        </row>
        <row r="3364">
          <cell r="A3364" t="str">
            <v>19-03363</v>
          </cell>
          <cell r="B3364" t="str">
            <v>WEFORT LATAM</v>
          </cell>
          <cell r="C3364" t="str">
            <v>A</v>
          </cell>
          <cell r="D3364" t="str">
            <v>NO</v>
          </cell>
          <cell r="E3364" t="str">
            <v>WDKX94 MATTEL MONSTER HIGH VACACIONES MONSTRUOSAS</v>
          </cell>
          <cell r="F3364" t="str">
            <v>JUGUETES</v>
          </cell>
          <cell r="G3364" t="str">
            <v>WDKX94</v>
          </cell>
          <cell r="H3364" t="str">
            <v>MATTEL</v>
          </cell>
          <cell r="I3364">
            <v>16.472000000000001</v>
          </cell>
        </row>
        <row r="3365">
          <cell r="A3365" t="str">
            <v>19-03364</v>
          </cell>
          <cell r="B3365" t="str">
            <v>WEFORT LATAM</v>
          </cell>
          <cell r="C3365" t="str">
            <v>A</v>
          </cell>
          <cell r="D3365" t="str">
            <v>NO</v>
          </cell>
          <cell r="E3365" t="str">
            <v>WCFC60 MATTEL MONSTER HIGH SURTIDO MONSTRUOS ORIGINALES</v>
          </cell>
          <cell r="F3365" t="str">
            <v>JUGUETES</v>
          </cell>
          <cell r="G3365" t="str">
            <v>WCFC60</v>
          </cell>
          <cell r="H3365" t="str">
            <v>MATTEL</v>
          </cell>
          <cell r="I3365">
            <v>16.472000000000001</v>
          </cell>
        </row>
        <row r="3366">
          <cell r="A3366" t="str">
            <v>19-03365</v>
          </cell>
          <cell r="B3366" t="str">
            <v>WEFORT LATAM</v>
          </cell>
          <cell r="C3366" t="str">
            <v>A</v>
          </cell>
          <cell r="D3366" t="str">
            <v>NO</v>
          </cell>
          <cell r="E3366" t="str">
            <v>WCCW48 MATTEL MICKEY MOUSE SURTIDO DE VEHICULOS GRACIOSOS</v>
          </cell>
          <cell r="F3366" t="str">
            <v>JUGUETES</v>
          </cell>
          <cell r="G3366" t="str">
            <v>WCCW48</v>
          </cell>
          <cell r="H3366" t="str">
            <v>MATTEL</v>
          </cell>
          <cell r="I3366">
            <v>11.79</v>
          </cell>
        </row>
        <row r="3367">
          <cell r="A3367" t="str">
            <v>19-03366</v>
          </cell>
          <cell r="B3367" t="str">
            <v>WEFORT LATAM</v>
          </cell>
          <cell r="C3367" t="str">
            <v>A</v>
          </cell>
          <cell r="D3367" t="str">
            <v>SI</v>
          </cell>
          <cell r="E3367" t="str">
            <v>WCGN26 MATTEL DORA DORA ACCESORIOS DE AVENTURA</v>
          </cell>
          <cell r="F3367" t="str">
            <v>JUGUETES</v>
          </cell>
          <cell r="G3367" t="str">
            <v>WCGN26</v>
          </cell>
          <cell r="H3367" t="str">
            <v>MATTEL</v>
          </cell>
          <cell r="I3367">
            <v>17.989000000000001</v>
          </cell>
        </row>
        <row r="3368">
          <cell r="A3368" t="str">
            <v>19-03367</v>
          </cell>
          <cell r="B3368" t="str">
            <v>WEFORT LATAM</v>
          </cell>
          <cell r="C3368" t="str">
            <v>A</v>
          </cell>
          <cell r="D3368" t="str">
            <v>SI</v>
          </cell>
          <cell r="E3368" t="str">
            <v>WDMW38 MATTEL MEGABLOKS TMNT JR. SURTIDO DE PATINETAS</v>
          </cell>
          <cell r="F3368" t="str">
            <v>JUGUETES</v>
          </cell>
          <cell r="G3368" t="str">
            <v>WDMW38</v>
          </cell>
          <cell r="H3368" t="str">
            <v>MATTEL</v>
          </cell>
          <cell r="I3368">
            <v>5.9880000000000004</v>
          </cell>
        </row>
        <row r="3369">
          <cell r="A3369" t="str">
            <v>19-03368</v>
          </cell>
          <cell r="B3369" t="str">
            <v>WEFORT LATAM</v>
          </cell>
          <cell r="C3369" t="str">
            <v>A</v>
          </cell>
          <cell r="D3369" t="str">
            <v>N/A</v>
          </cell>
          <cell r="E3369" t="str">
            <v>WDPF74 MATTEL MEGABLOKS TMNT MOVIE SURTIDO DE PATINETAS NINJA</v>
          </cell>
          <cell r="F3369" t="str">
            <v>JUGUETES</v>
          </cell>
          <cell r="G3369" t="str">
            <v>WDPF74</v>
          </cell>
          <cell r="H3369" t="str">
            <v>MATTEL</v>
          </cell>
          <cell r="I3369">
            <v>0</v>
          </cell>
        </row>
        <row r="3370">
          <cell r="A3370" t="str">
            <v>19-03369</v>
          </cell>
          <cell r="B3370" t="str">
            <v>WEFORT LATAM</v>
          </cell>
          <cell r="C3370" t="str">
            <v>A</v>
          </cell>
          <cell r="D3370" t="str">
            <v>N/A</v>
          </cell>
          <cell r="E3370" t="str">
            <v>WDPF80 MATTEL MEGABLOKS TMNT MOVIE VEHICULO DE ENFRENTAMIENTO</v>
          </cell>
          <cell r="F3370" t="str">
            <v>JUGUETES</v>
          </cell>
          <cell r="G3370" t="str">
            <v>WDPF80</v>
          </cell>
          <cell r="H3370" t="str">
            <v>MATTEL</v>
          </cell>
          <cell r="I3370">
            <v>0</v>
          </cell>
        </row>
        <row r="3371">
          <cell r="A3371" t="str">
            <v>19-03370</v>
          </cell>
          <cell r="B3371" t="str">
            <v>WEFORT LATAM</v>
          </cell>
          <cell r="C3371" t="str">
            <v>A</v>
          </cell>
          <cell r="D3371" t="str">
            <v>N/A</v>
          </cell>
          <cell r="E3371" t="str">
            <v>WCNH24 MATTEL MEGABLOKS MG HALO GUNGOOSE DE UNSC</v>
          </cell>
          <cell r="F3371" t="str">
            <v>JUGUETES</v>
          </cell>
          <cell r="G3371" t="str">
            <v>WCNH24</v>
          </cell>
          <cell r="H3371" t="str">
            <v>MATTEL</v>
          </cell>
          <cell r="I3371">
            <v>0</v>
          </cell>
        </row>
        <row r="3372">
          <cell r="A3372" t="str">
            <v>19-03371</v>
          </cell>
          <cell r="B3372" t="str">
            <v>WEFORT LATAM</v>
          </cell>
          <cell r="C3372" t="str">
            <v>A</v>
          </cell>
          <cell r="D3372" t="str">
            <v>NO</v>
          </cell>
          <cell r="E3372" t="str">
            <v>WBDH88 MATTEL JAKE SURTIDO FIGURAS DE ACCION</v>
          </cell>
          <cell r="F3372" t="str">
            <v>JUGUETES</v>
          </cell>
          <cell r="G3372" t="str">
            <v>WBDH88</v>
          </cell>
          <cell r="H3372" t="str">
            <v>MATTEL</v>
          </cell>
          <cell r="I3372">
            <v>11.988</v>
          </cell>
        </row>
        <row r="3373">
          <cell r="A3373" t="str">
            <v>19-03372</v>
          </cell>
          <cell r="B3373" t="str">
            <v>WEFORT LATAM</v>
          </cell>
          <cell r="C3373" t="str">
            <v>A</v>
          </cell>
          <cell r="D3373" t="str">
            <v>NO</v>
          </cell>
          <cell r="E3373" t="str">
            <v>WCGN33 MATTEL HOT WHEELS STAR WARS SURTIDO DE PLAYSETS NAVES</v>
          </cell>
          <cell r="F3373" t="str">
            <v>JUGUETES</v>
          </cell>
          <cell r="G3373" t="str">
            <v>WCGN33</v>
          </cell>
          <cell r="H3373" t="str">
            <v>MATTEL</v>
          </cell>
          <cell r="I3373">
            <v>17.635000000000002</v>
          </cell>
        </row>
        <row r="3374">
          <cell r="A3374" t="str">
            <v>19-03373</v>
          </cell>
          <cell r="B3374" t="str">
            <v>WEFORT LATAM</v>
          </cell>
          <cell r="C3374" t="str">
            <v>A</v>
          </cell>
          <cell r="D3374" t="str">
            <v>N/A</v>
          </cell>
          <cell r="E3374" t="str">
            <v>WCFC83 MATTEL MONSTER HIGH SURTIDO DE VINILES</v>
          </cell>
          <cell r="F3374" t="str">
            <v>JUGUETES</v>
          </cell>
          <cell r="G3374" t="str">
            <v>WCFC83</v>
          </cell>
          <cell r="H3374" t="str">
            <v>MATTEL</v>
          </cell>
          <cell r="I3374">
            <v>0</v>
          </cell>
        </row>
        <row r="3375">
          <cell r="A3375" t="str">
            <v>19-03374</v>
          </cell>
          <cell r="B3375" t="str">
            <v>WEFORT LATAM</v>
          </cell>
          <cell r="C3375" t="str">
            <v>A</v>
          </cell>
          <cell r="D3375" t="str">
            <v>N/A</v>
          </cell>
          <cell r="E3375" t="str">
            <v>WDKX94 MATTEL MONSTER HIGH VACACIONES MONSTRUOSAS</v>
          </cell>
          <cell r="F3375" t="str">
            <v>JUGUETES</v>
          </cell>
          <cell r="G3375" t="str">
            <v>WDKX94</v>
          </cell>
          <cell r="H3375" t="str">
            <v>MATTEL</v>
          </cell>
          <cell r="I3375">
            <v>0</v>
          </cell>
        </row>
        <row r="3376">
          <cell r="A3376" t="str">
            <v>19-03375</v>
          </cell>
          <cell r="B3376" t="str">
            <v>WEFORT LATAM</v>
          </cell>
          <cell r="C3376" t="str">
            <v>A</v>
          </cell>
          <cell r="D3376" t="str">
            <v>N/A</v>
          </cell>
          <cell r="E3376" t="str">
            <v>WCFC60 MATTEL MONSTER HIGH SURTIDO MONSTRUOS ORIGINALES</v>
          </cell>
          <cell r="F3376" t="str">
            <v>JUGUETES</v>
          </cell>
          <cell r="G3376" t="str">
            <v>WCFC60</v>
          </cell>
          <cell r="H3376" t="str">
            <v>MATTEL</v>
          </cell>
          <cell r="I3376">
            <v>0</v>
          </cell>
        </row>
        <row r="3377">
          <cell r="A3377" t="str">
            <v>19-03376</v>
          </cell>
          <cell r="B3377" t="str">
            <v>WEFORT LATAM</v>
          </cell>
          <cell r="C3377" t="str">
            <v>A</v>
          </cell>
          <cell r="D3377" t="str">
            <v>NO</v>
          </cell>
          <cell r="E3377" t="str">
            <v>WDHF35 MATTEL EVER AFTER HIGH JUEGO DE DRAGONES POPPY O'HAIR</v>
          </cell>
          <cell r="F3377" t="str">
            <v>JUGUETES</v>
          </cell>
          <cell r="G3377" t="str">
            <v>WDHF35</v>
          </cell>
          <cell r="H3377" t="str">
            <v>MATTEL</v>
          </cell>
          <cell r="I3377">
            <v>18.36</v>
          </cell>
        </row>
        <row r="3378">
          <cell r="A3378" t="str">
            <v>19-03377</v>
          </cell>
          <cell r="B3378" t="str">
            <v>WEFORT LATAM</v>
          </cell>
          <cell r="C3378" t="str">
            <v>A</v>
          </cell>
          <cell r="D3378" t="str">
            <v>NO</v>
          </cell>
          <cell r="E3378" t="str">
            <v>WDHF33 MATTEL EVER  AFTER HIGH JUEGO DE DRAGONES SURTIDO MUNECAS</v>
          </cell>
          <cell r="F3378" t="str">
            <v>JUGUETES</v>
          </cell>
          <cell r="G3378" t="str">
            <v>WDHF33</v>
          </cell>
          <cell r="H3378" t="str">
            <v>MATTEL</v>
          </cell>
          <cell r="I3378">
            <v>18.36</v>
          </cell>
        </row>
        <row r="3379">
          <cell r="A3379" t="str">
            <v>19-03378</v>
          </cell>
          <cell r="B3379" t="str">
            <v>WEFORT LATAM</v>
          </cell>
          <cell r="C3379" t="str">
            <v>A</v>
          </cell>
          <cell r="D3379" t="str">
            <v>N/A</v>
          </cell>
          <cell r="E3379" t="str">
            <v>WDHF97 MATTEL EVER AFTER HIGH REINA MALVADA</v>
          </cell>
          <cell r="F3379" t="str">
            <v>JUGUETES</v>
          </cell>
          <cell r="G3379" t="str">
            <v>WDHF97</v>
          </cell>
          <cell r="H3379" t="str">
            <v>MATTEL</v>
          </cell>
          <cell r="I3379">
            <v>0</v>
          </cell>
        </row>
        <row r="3380">
          <cell r="A3380" t="str">
            <v>19-03379</v>
          </cell>
          <cell r="B3380" t="str">
            <v>WEFORT LATAM</v>
          </cell>
          <cell r="C3380" t="str">
            <v>A</v>
          </cell>
          <cell r="D3380" t="str">
            <v>NO</v>
          </cell>
          <cell r="E3380" t="str">
            <v>WDLB34 MATTEL EVER AFTER HIGH MUNECAS BASICAS</v>
          </cell>
          <cell r="F3380" t="str">
            <v>JUGUETES</v>
          </cell>
          <cell r="G3380" t="str">
            <v>WDLB34</v>
          </cell>
          <cell r="H3380" t="str">
            <v>MATTEL</v>
          </cell>
          <cell r="I3380">
            <v>11.4</v>
          </cell>
        </row>
        <row r="3381">
          <cell r="A3381" t="str">
            <v>19-03380</v>
          </cell>
          <cell r="B3381" t="str">
            <v>WEFORT LATAM</v>
          </cell>
          <cell r="C3381" t="str">
            <v>A</v>
          </cell>
          <cell r="D3381" t="str">
            <v>NO</v>
          </cell>
          <cell r="E3381" t="str">
            <v>WDHM09 MATTEL EVER AFTER HIGH FIESTA DE LIBROS SURTIDO DE MUNECAS</v>
          </cell>
          <cell r="F3381" t="str">
            <v>JUGUETES</v>
          </cell>
          <cell r="G3381" t="str">
            <v>WDHM09</v>
          </cell>
          <cell r="H3381" t="str">
            <v>MATTEL</v>
          </cell>
          <cell r="I3381">
            <v>13.529</v>
          </cell>
        </row>
        <row r="3382">
          <cell r="A3382" t="str">
            <v>19-03381</v>
          </cell>
          <cell r="B3382" t="str">
            <v>DIST. LEWIS</v>
          </cell>
          <cell r="C3382" t="str">
            <v>A</v>
          </cell>
          <cell r="D3382" t="str">
            <v>NO</v>
          </cell>
          <cell r="E3382" t="str">
            <v>RED MOON - PERCY,BENJAMIN</v>
          </cell>
          <cell r="F3382" t="str">
            <v>LIBRO</v>
          </cell>
          <cell r="G3382">
            <v>39217</v>
          </cell>
          <cell r="H3382" t="str">
            <v>DIST. LEWIS</v>
          </cell>
          <cell r="I3382">
            <v>5.84</v>
          </cell>
        </row>
        <row r="3383">
          <cell r="A3383" t="str">
            <v>19-03382</v>
          </cell>
          <cell r="B3383" t="str">
            <v>DIST. LEWIS</v>
          </cell>
          <cell r="C3383" t="str">
            <v>A</v>
          </cell>
          <cell r="D3383" t="str">
            <v>NO</v>
          </cell>
          <cell r="E3383" t="str">
            <v>8 HOUR DIET,THE - ZINCKENKO,DAVID</v>
          </cell>
          <cell r="F3383" t="str">
            <v>LIBRO</v>
          </cell>
          <cell r="G3383">
            <v>48143</v>
          </cell>
          <cell r="H3383" t="str">
            <v>DIST. LEWIS</v>
          </cell>
          <cell r="I3383">
            <v>0</v>
          </cell>
        </row>
        <row r="3384">
          <cell r="A3384" t="str">
            <v>19-03383</v>
          </cell>
          <cell r="B3384" t="str">
            <v>DIST. LEWIS</v>
          </cell>
          <cell r="C3384" t="str">
            <v>A</v>
          </cell>
          <cell r="D3384" t="str">
            <v>NO</v>
          </cell>
          <cell r="E3384" t="str">
            <v>ADULTERY - COELHO,PAULO</v>
          </cell>
          <cell r="F3384" t="str">
            <v>LIBRO</v>
          </cell>
          <cell r="G3384">
            <v>35146</v>
          </cell>
          <cell r="H3384" t="str">
            <v>DIST. LEWIS</v>
          </cell>
          <cell r="I3384">
            <v>6.49</v>
          </cell>
        </row>
        <row r="3385">
          <cell r="A3385" t="str">
            <v>19-03384</v>
          </cell>
          <cell r="B3385" t="str">
            <v>DIST. LEWIS</v>
          </cell>
          <cell r="C3385" t="str">
            <v>A</v>
          </cell>
          <cell r="D3385" t="str">
            <v>NO</v>
          </cell>
          <cell r="E3385" t="str">
            <v>AMANDO - ADAMARI LOPEZ</v>
          </cell>
          <cell r="F3385" t="str">
            <v>LIBRO</v>
          </cell>
          <cell r="G3385">
            <v>520416591</v>
          </cell>
          <cell r="H3385" t="str">
            <v>DIST. LEWIS</v>
          </cell>
          <cell r="I3385">
            <v>14.48</v>
          </cell>
        </row>
        <row r="3386">
          <cell r="A3386" t="str">
            <v>19-03385</v>
          </cell>
          <cell r="B3386" t="str">
            <v>DIST. LEWIS</v>
          </cell>
          <cell r="C3386" t="str">
            <v>A</v>
          </cell>
          <cell r="D3386" t="str">
            <v>NO</v>
          </cell>
          <cell r="E3386" t="str">
            <v>ASI COMO PIENSES SERA TU VIDA - ALLEN,JAMES</v>
          </cell>
          <cell r="F3386" t="str">
            <v>LIBRO</v>
          </cell>
          <cell r="G3386">
            <v>522605694</v>
          </cell>
          <cell r="H3386" t="str">
            <v>DIST. LEWIS</v>
          </cell>
          <cell r="I3386">
            <v>9.07</v>
          </cell>
        </row>
        <row r="3387">
          <cell r="A3387" t="str">
            <v>19-03386</v>
          </cell>
          <cell r="B3387" t="str">
            <v>DIST. LEWIS</v>
          </cell>
          <cell r="C3387" t="str">
            <v>A</v>
          </cell>
          <cell r="D3387" t="str">
            <v>NO</v>
          </cell>
          <cell r="E3387" t="str">
            <v>BORDER WAR - DOBBS,LOU</v>
          </cell>
          <cell r="F3387" t="str">
            <v>LIBRO</v>
          </cell>
          <cell r="G3387">
            <v>33088</v>
          </cell>
          <cell r="H3387" t="str">
            <v>DIST. LEWIS</v>
          </cell>
          <cell r="I3387">
            <v>7.14</v>
          </cell>
        </row>
        <row r="3388">
          <cell r="A3388" t="str">
            <v>19-03387</v>
          </cell>
          <cell r="B3388" t="str">
            <v>DIST. LEWIS</v>
          </cell>
          <cell r="C3388" t="str">
            <v>A</v>
          </cell>
          <cell r="D3388" t="str">
            <v>NO</v>
          </cell>
          <cell r="E3388" t="str">
            <v>CABANA,LA - YOUNG,PAUL WM.</v>
          </cell>
          <cell r="F3388" t="str">
            <v>LIBRO</v>
          </cell>
          <cell r="G3388">
            <v>520513318</v>
          </cell>
          <cell r="H3388" t="str">
            <v>DIST. LEWIS</v>
          </cell>
          <cell r="I3388">
            <v>10.044</v>
          </cell>
        </row>
        <row r="3389">
          <cell r="A3389" t="str">
            <v>19-03388</v>
          </cell>
          <cell r="B3389" t="str">
            <v>DIST. LEWIS</v>
          </cell>
          <cell r="C3389" t="str">
            <v>A</v>
          </cell>
          <cell r="D3389" t="str">
            <v>NO</v>
          </cell>
          <cell r="E3389" t="str">
            <v>CAUSA JUSTA - GRISHAM,JOHN</v>
          </cell>
          <cell r="F3389" t="str">
            <v>LIBRO</v>
          </cell>
          <cell r="G3389">
            <v>522609470</v>
          </cell>
          <cell r="H3389" t="str">
            <v>DIST. LEWIS</v>
          </cell>
          <cell r="I3389">
            <v>8.6029999999999998</v>
          </cell>
        </row>
        <row r="3390">
          <cell r="A3390" t="str">
            <v>19-03389</v>
          </cell>
          <cell r="B3390" t="str">
            <v>DIST. LEWIS</v>
          </cell>
          <cell r="C3390" t="str">
            <v>A</v>
          </cell>
          <cell r="D3390" t="str">
            <v>NO</v>
          </cell>
          <cell r="E3390" t="str">
            <v>CHANCELLOR MANUSCRIPT,THE - LUDLUM,ROBERT</v>
          </cell>
          <cell r="F3390" t="str">
            <v>LIBRO</v>
          </cell>
          <cell r="G3390">
            <v>3175</v>
          </cell>
          <cell r="H3390" t="str">
            <v>DIST. LEWIS</v>
          </cell>
          <cell r="I3390">
            <v>7.14</v>
          </cell>
        </row>
        <row r="3391">
          <cell r="A3391" t="str">
            <v>19-03390</v>
          </cell>
          <cell r="B3391" t="str">
            <v>H. MANCHA</v>
          </cell>
          <cell r="C3391" t="str">
            <v>A</v>
          </cell>
          <cell r="D3391" t="str">
            <v>SI</v>
          </cell>
          <cell r="E3391" t="str">
            <v>CHICA DEL TREN,LA - HAWKINS,PAULA</v>
          </cell>
          <cell r="F3391" t="str">
            <v>LIBRO</v>
          </cell>
          <cell r="G3391">
            <v>520513379</v>
          </cell>
          <cell r="H3391" t="str">
            <v>H. MANCHA</v>
          </cell>
          <cell r="I3391">
            <v>16.524000000000001</v>
          </cell>
        </row>
        <row r="3392">
          <cell r="A3392" t="str">
            <v>19-03391</v>
          </cell>
          <cell r="B3392" t="str">
            <v>DIST. LEWIS</v>
          </cell>
          <cell r="C3392" t="str">
            <v>A</v>
          </cell>
          <cell r="D3392" t="str">
            <v>NO</v>
          </cell>
          <cell r="E3392" t="str">
            <v>CINCUENTA SOMBRAS MAS OSCURAS - JAMES,E.L.</v>
          </cell>
          <cell r="F3392" t="str">
            <v>LIBRO</v>
          </cell>
          <cell r="G3392">
            <v>522609839</v>
          </cell>
          <cell r="H3392" t="str">
            <v>DIST. LEWIS</v>
          </cell>
          <cell r="I3392">
            <v>7.883</v>
          </cell>
        </row>
        <row r="3393">
          <cell r="A3393" t="str">
            <v>19-03392</v>
          </cell>
          <cell r="B3393" t="str">
            <v>DIST. LEWIS</v>
          </cell>
          <cell r="C3393" t="str">
            <v>A</v>
          </cell>
          <cell r="D3393" t="str">
            <v>NO</v>
          </cell>
          <cell r="E3393" t="str">
            <v>CLOSER THAN YOU THINK - ROSE, KAREN</v>
          </cell>
          <cell r="F3393" t="str">
            <v>LIBRO</v>
          </cell>
          <cell r="G3393">
            <v>14389</v>
          </cell>
          <cell r="H3393" t="str">
            <v>DIST. LEWIS</v>
          </cell>
          <cell r="I3393">
            <v>5.84</v>
          </cell>
        </row>
        <row r="3394">
          <cell r="A3394" t="str">
            <v>19-03393</v>
          </cell>
          <cell r="B3394" t="str">
            <v>DIST. LEWIS</v>
          </cell>
          <cell r="C3394" t="str">
            <v>A</v>
          </cell>
          <cell r="D3394" t="str">
            <v>NO</v>
          </cell>
          <cell r="E3394" t="str">
            <v>COMO TRABAJA GOOGLE - SCHMIDT,ERIC</v>
          </cell>
          <cell r="F3394" t="str">
            <v>LIBRO</v>
          </cell>
          <cell r="G3394">
            <v>520515971</v>
          </cell>
          <cell r="H3394" t="str">
            <v>DIST. LEWIS</v>
          </cell>
          <cell r="I3394">
            <v>19.95</v>
          </cell>
        </row>
        <row r="3395">
          <cell r="A3395" t="str">
            <v>19-03394</v>
          </cell>
          <cell r="B3395" t="str">
            <v>DIST. LEWIS</v>
          </cell>
          <cell r="C3395" t="str">
            <v>A</v>
          </cell>
          <cell r="D3395" t="str">
            <v>NO</v>
          </cell>
          <cell r="E3395" t="str">
            <v>CONSIGUE LO QUE QUIERES,VALORA LO QUE TIENES - GRAY,JOHN</v>
          </cell>
          <cell r="F3395" t="str">
            <v>LIBRO</v>
          </cell>
          <cell r="G3395">
            <v>522609894</v>
          </cell>
          <cell r="H3395" t="str">
            <v>DIST. LEWIS</v>
          </cell>
          <cell r="I3395">
            <v>9.7200000000000006</v>
          </cell>
        </row>
        <row r="3396">
          <cell r="A3396" t="str">
            <v>19-03395</v>
          </cell>
          <cell r="B3396" t="str">
            <v>DIST. LEWIS</v>
          </cell>
          <cell r="C3396" t="str">
            <v>A</v>
          </cell>
          <cell r="D3396" t="str">
            <v>NO</v>
          </cell>
          <cell r="E3396" t="str">
            <v>COUNTERFEIT AGENT THE - BERENSON ALEX</v>
          </cell>
          <cell r="F3396" t="str">
            <v>LIBRO</v>
          </cell>
          <cell r="G3396">
            <v>30125</v>
          </cell>
          <cell r="H3396" t="str">
            <v>DIST. LEWIS</v>
          </cell>
          <cell r="I3396">
            <v>7.14</v>
          </cell>
        </row>
        <row r="3397">
          <cell r="A3397" t="str">
            <v>19-03396</v>
          </cell>
          <cell r="B3397" t="str">
            <v>DIST. LEWIS</v>
          </cell>
          <cell r="C3397" t="str">
            <v>A</v>
          </cell>
          <cell r="D3397" t="str">
            <v>NO</v>
          </cell>
          <cell r="E3397" t="str">
            <v>CRISIS OF CONSCIOUSNESS-STAR TREK - GALANTER,DAVE</v>
          </cell>
          <cell r="F3397" t="str">
            <v>LIBRO</v>
          </cell>
          <cell r="G3397">
            <v>23394</v>
          </cell>
          <cell r="H3397" t="str">
            <v>DIST. LEWIS</v>
          </cell>
          <cell r="I3397">
            <v>5.84</v>
          </cell>
        </row>
        <row r="3398">
          <cell r="A3398" t="str">
            <v>19-03397</v>
          </cell>
          <cell r="B3398" t="str">
            <v>DIST. LEWIS</v>
          </cell>
          <cell r="C3398" t="str">
            <v>A</v>
          </cell>
          <cell r="D3398" t="str">
            <v>NO</v>
          </cell>
          <cell r="E3398" t="str">
            <v>DANCE WITH DRAGONS,A - MARTIN,GEORGE R.R</v>
          </cell>
          <cell r="F3398" t="str">
            <v>LIBRO</v>
          </cell>
          <cell r="G3398">
            <v>3180</v>
          </cell>
          <cell r="H3398" t="str">
            <v>DIST. LEWIS</v>
          </cell>
          <cell r="I3398">
            <v>7.14</v>
          </cell>
        </row>
        <row r="3399">
          <cell r="A3399" t="str">
            <v>19-03398</v>
          </cell>
          <cell r="B3399" t="str">
            <v>DIST. LEWIS</v>
          </cell>
          <cell r="C3399" t="str">
            <v>A</v>
          </cell>
          <cell r="D3399" t="str">
            <v>NO</v>
          </cell>
          <cell r="E3399" t="str">
            <v>EL PODER DE ESCUCHAR - ISMAEL CALA</v>
          </cell>
          <cell r="F3399" t="str">
            <v>LIBRO</v>
          </cell>
          <cell r="G3399">
            <v>520416101</v>
          </cell>
          <cell r="H3399" t="str">
            <v>DIST. LEWIS</v>
          </cell>
          <cell r="I3399">
            <v>13.62</v>
          </cell>
        </row>
        <row r="3400">
          <cell r="A3400" t="str">
            <v>19-03399</v>
          </cell>
          <cell r="B3400" t="str">
            <v>DIST. LEWIS</v>
          </cell>
          <cell r="C3400" t="str">
            <v>A</v>
          </cell>
          <cell r="D3400" t="str">
            <v>NO</v>
          </cell>
          <cell r="E3400" t="str">
            <v>ESPIA QUE SURGIO DEL FRIO,EL - LE CARRE,JOHN</v>
          </cell>
          <cell r="F3400" t="str">
            <v>LIBRO</v>
          </cell>
          <cell r="G3400">
            <v>520515665</v>
          </cell>
          <cell r="H3400" t="str">
            <v>DIST. LEWIS</v>
          </cell>
          <cell r="I3400">
            <v>7.76</v>
          </cell>
        </row>
        <row r="3401">
          <cell r="A3401" t="str">
            <v>19-03400</v>
          </cell>
          <cell r="B3401" t="str">
            <v>DIST. LEWIS</v>
          </cell>
          <cell r="C3401" t="str">
            <v>A</v>
          </cell>
          <cell r="D3401" t="str">
            <v>NO</v>
          </cell>
          <cell r="E3401" t="str">
            <v>FATAL CONCEIT - TANENBAUM,ROBERT</v>
          </cell>
          <cell r="F3401" t="str">
            <v>LIBRO</v>
          </cell>
          <cell r="G3401">
            <v>23403</v>
          </cell>
          <cell r="H3401" t="str">
            <v>DIST. LEWIS</v>
          </cell>
          <cell r="I3401">
            <v>7.14</v>
          </cell>
        </row>
        <row r="3402">
          <cell r="A3402" t="str">
            <v>19-03401</v>
          </cell>
          <cell r="B3402" t="str">
            <v>DIST. LEWIS</v>
          </cell>
          <cell r="C3402" t="str">
            <v>A</v>
          </cell>
          <cell r="D3402" t="str">
            <v>NO</v>
          </cell>
          <cell r="E3402" t="str">
            <v>FATAL IDENTITY - FLUKE,JOANNE</v>
          </cell>
          <cell r="F3402" t="str">
            <v>LIBRO</v>
          </cell>
          <cell r="G3402">
            <v>3176</v>
          </cell>
          <cell r="H3402" t="str">
            <v>DIST. LEWIS</v>
          </cell>
          <cell r="I3402">
            <v>5.84</v>
          </cell>
        </row>
        <row r="3403">
          <cell r="A3403" t="str">
            <v>19-03402</v>
          </cell>
          <cell r="B3403" t="str">
            <v>DIST. LEWIS</v>
          </cell>
          <cell r="C3403" t="str">
            <v>A</v>
          </cell>
          <cell r="D3403" t="str">
            <v>NO</v>
          </cell>
          <cell r="E3403" t="str">
            <v>FESTIN DE CUERVOS - MARTIN,GEORGE</v>
          </cell>
          <cell r="F3403" t="str">
            <v>LIBRO</v>
          </cell>
          <cell r="G3403">
            <v>522705829</v>
          </cell>
          <cell r="H3403" t="str">
            <v>DIST. LEWIS</v>
          </cell>
          <cell r="I3403">
            <v>18.16</v>
          </cell>
        </row>
        <row r="3404">
          <cell r="A3404" t="str">
            <v>19-03403</v>
          </cell>
          <cell r="B3404" t="str">
            <v>DIST. LEWIS</v>
          </cell>
          <cell r="C3404" t="str">
            <v>A</v>
          </cell>
          <cell r="D3404" t="str">
            <v>NO</v>
          </cell>
          <cell r="E3404" t="str">
            <v>FOR ALL TIME - DEVERAUX,JUDE</v>
          </cell>
          <cell r="F3404" t="str">
            <v>LIBRO</v>
          </cell>
          <cell r="G3404">
            <v>35094</v>
          </cell>
          <cell r="H3404" t="str">
            <v>DIST. LEWIS</v>
          </cell>
          <cell r="I3404">
            <v>5.84</v>
          </cell>
        </row>
        <row r="3405">
          <cell r="A3405" t="str">
            <v>19-03404</v>
          </cell>
          <cell r="B3405" t="str">
            <v>DIST. LEWIS</v>
          </cell>
          <cell r="C3405" t="str">
            <v>A</v>
          </cell>
          <cell r="D3405" t="str">
            <v>NO</v>
          </cell>
          <cell r="E3405" t="str">
            <v>HAPPILY EVER AFTER - CASS,KIERA</v>
          </cell>
          <cell r="F3405" t="str">
            <v>LIBRO</v>
          </cell>
          <cell r="G3405">
            <v>1152</v>
          </cell>
          <cell r="H3405" t="str">
            <v>DIST. LEWIS</v>
          </cell>
          <cell r="I3405">
            <v>8.44</v>
          </cell>
        </row>
        <row r="3406">
          <cell r="A3406" t="str">
            <v>19-03405</v>
          </cell>
          <cell r="B3406" t="str">
            <v>DIST. LEWIS</v>
          </cell>
          <cell r="C3406" t="str">
            <v>A</v>
          </cell>
          <cell r="D3406" t="str">
            <v>NO</v>
          </cell>
          <cell r="E3406" t="str">
            <v>HEIR,THE - CASS,KIERA</v>
          </cell>
          <cell r="F3406" t="str">
            <v>LIBRO</v>
          </cell>
          <cell r="G3406">
            <v>1150</v>
          </cell>
          <cell r="H3406" t="str">
            <v>DIST. LEWIS</v>
          </cell>
          <cell r="I3406">
            <v>8.4499999999999993</v>
          </cell>
        </row>
        <row r="3407">
          <cell r="A3407" t="str">
            <v>19-03406</v>
          </cell>
          <cell r="B3407" t="str">
            <v>DIST. LEWIS</v>
          </cell>
          <cell r="C3407" t="str">
            <v>A</v>
          </cell>
          <cell r="D3407" t="str">
            <v>NO</v>
          </cell>
          <cell r="E3407" t="str">
            <v>HOBBIT,EL (ED.PELICULA) - TOLKIEN,J.R.R.</v>
          </cell>
          <cell r="F3407" t="str">
            <v>LIBRO</v>
          </cell>
          <cell r="G3407">
            <v>520513319</v>
          </cell>
          <cell r="H3407" t="str">
            <v>DIST. LEWIS</v>
          </cell>
          <cell r="I3407">
            <v>11.483000000000001</v>
          </cell>
        </row>
        <row r="3408">
          <cell r="A3408" t="str">
            <v>19-03407</v>
          </cell>
          <cell r="B3408" t="str">
            <v>DIST. LEWIS</v>
          </cell>
          <cell r="C3408" t="str">
            <v>A</v>
          </cell>
          <cell r="D3408" t="str">
            <v>NO</v>
          </cell>
          <cell r="E3408" t="str">
            <v>HOPE TO DIE - PATTERSON, J.</v>
          </cell>
          <cell r="F3408" t="str">
            <v>LIBRO</v>
          </cell>
          <cell r="G3408">
            <v>39219</v>
          </cell>
          <cell r="H3408" t="str">
            <v>DIST. LEWIS</v>
          </cell>
          <cell r="I3408">
            <v>5.84</v>
          </cell>
        </row>
        <row r="3409">
          <cell r="A3409" t="str">
            <v>19-03408</v>
          </cell>
          <cell r="B3409" t="str">
            <v>DIST. LEWIS</v>
          </cell>
          <cell r="C3409" t="str">
            <v>A</v>
          </cell>
          <cell r="D3409" t="str">
            <v>NO</v>
          </cell>
          <cell r="E3409" t="str">
            <v>HOW TO SAY I LOVE YOU OUT LOUD - HALL,SANDY</v>
          </cell>
          <cell r="F3409" t="str">
            <v>LIBRO</v>
          </cell>
          <cell r="G3409">
            <v>48174</v>
          </cell>
          <cell r="H3409" t="str">
            <v>DIST. LEWIS</v>
          </cell>
          <cell r="I3409">
            <v>7.14</v>
          </cell>
        </row>
        <row r="3410">
          <cell r="A3410" t="str">
            <v>19-03409</v>
          </cell>
          <cell r="B3410" t="str">
            <v>DIST. LEWIS</v>
          </cell>
          <cell r="C3410" t="str">
            <v>A</v>
          </cell>
          <cell r="D3410" t="str">
            <v>NO</v>
          </cell>
          <cell r="E3410" t="str">
            <v>IF I CAN'T HAVE YOU - OLSEN,GREGG</v>
          </cell>
          <cell r="F3410" t="str">
            <v>LIBRO</v>
          </cell>
          <cell r="G3410">
            <v>48158</v>
          </cell>
          <cell r="H3410" t="str">
            <v>DIST. LEWIS</v>
          </cell>
          <cell r="I3410">
            <v>5.84</v>
          </cell>
        </row>
        <row r="3411">
          <cell r="A3411" t="str">
            <v>19-03410</v>
          </cell>
          <cell r="B3411" t="str">
            <v>DIST. LEWIS</v>
          </cell>
          <cell r="C3411" t="str">
            <v>A</v>
          </cell>
          <cell r="D3411" t="str">
            <v>NO</v>
          </cell>
          <cell r="E3411" t="str">
            <v>IMPURAS,LA - WYNTER,MELO,CARLOS</v>
          </cell>
          <cell r="F3411" t="str">
            <v>LIBRO</v>
          </cell>
          <cell r="G3411">
            <v>520513338</v>
          </cell>
          <cell r="H3411" t="str">
            <v>DIST. LEWIS</v>
          </cell>
          <cell r="I3411">
            <v>9.3230000000000004</v>
          </cell>
        </row>
        <row r="3412">
          <cell r="A3412" t="str">
            <v>19-03411</v>
          </cell>
          <cell r="B3412" t="str">
            <v>DIST. LEWIS</v>
          </cell>
          <cell r="C3412" t="str">
            <v>A</v>
          </cell>
          <cell r="D3412" t="str">
            <v>NO</v>
          </cell>
          <cell r="E3412" t="str">
            <v>INFERNO - BROWN,DAN</v>
          </cell>
          <cell r="F3412" t="str">
            <v>LIBRO</v>
          </cell>
          <cell r="G3412">
            <v>520503165</v>
          </cell>
          <cell r="H3412" t="str">
            <v>DIST. LEWIS</v>
          </cell>
          <cell r="I3412">
            <v>21.41</v>
          </cell>
        </row>
        <row r="3413">
          <cell r="A3413" t="str">
            <v>19-03412</v>
          </cell>
          <cell r="B3413" t="str">
            <v>DIST. LEWIS</v>
          </cell>
          <cell r="C3413" t="str">
            <v>A</v>
          </cell>
          <cell r="D3413" t="str">
            <v>NO</v>
          </cell>
          <cell r="E3413" t="str">
            <v>INFINITO ERES TU - LEVY,MICHELLE</v>
          </cell>
          <cell r="F3413" t="str">
            <v>LIBRO</v>
          </cell>
          <cell r="G3413">
            <v>520515996</v>
          </cell>
          <cell r="H3413" t="str">
            <v>DIST. LEWIS</v>
          </cell>
          <cell r="I3413">
            <v>16.86</v>
          </cell>
        </row>
        <row r="3414">
          <cell r="A3414" t="str">
            <v>19-03413</v>
          </cell>
          <cell r="B3414" t="str">
            <v>DIST. LEWIS</v>
          </cell>
          <cell r="C3414" t="str">
            <v>A</v>
          </cell>
          <cell r="D3414" t="str">
            <v>NO</v>
          </cell>
          <cell r="E3414" t="str">
            <v>I'VE GOT YOU UNDER MY SKIN - CLARK,MARY H.</v>
          </cell>
          <cell r="F3414" t="str">
            <v>LIBRO</v>
          </cell>
          <cell r="G3414">
            <v>23387</v>
          </cell>
          <cell r="H3414" t="str">
            <v>DIST. LEWIS</v>
          </cell>
          <cell r="I3414">
            <v>5.84</v>
          </cell>
        </row>
        <row r="3415">
          <cell r="A3415" t="str">
            <v>19-03414</v>
          </cell>
          <cell r="B3415" t="str">
            <v>DIST. LEWIS</v>
          </cell>
          <cell r="C3415" t="str">
            <v>A</v>
          </cell>
          <cell r="D3415" t="str">
            <v>NO</v>
          </cell>
          <cell r="E3415" t="str">
            <v>JARDIN - SIMONETTI,PABLO</v>
          </cell>
          <cell r="F3415" t="str">
            <v>LIBRO</v>
          </cell>
          <cell r="G3415">
            <v>522705849</v>
          </cell>
          <cell r="H3415" t="str">
            <v>DIST. LEWIS</v>
          </cell>
          <cell r="I3415">
            <v>12.31</v>
          </cell>
        </row>
        <row r="3416">
          <cell r="A3416" t="str">
            <v>19-03415</v>
          </cell>
          <cell r="B3416" t="str">
            <v>DIST. LEWIS</v>
          </cell>
          <cell r="C3416" t="str">
            <v>A</v>
          </cell>
          <cell r="D3416" t="str">
            <v>NO</v>
          </cell>
          <cell r="E3416" t="str">
            <v>JUEGO DE TRONOS - MARTIN,GEORGE R.R.</v>
          </cell>
          <cell r="F3416" t="str">
            <v>LIBRO</v>
          </cell>
          <cell r="G3416">
            <v>520511430</v>
          </cell>
          <cell r="H3416" t="str">
            <v>DIST. LEWIS</v>
          </cell>
          <cell r="I3416">
            <v>18.809999999999999</v>
          </cell>
        </row>
        <row r="3417">
          <cell r="A3417" t="str">
            <v>19-03416</v>
          </cell>
          <cell r="B3417" t="str">
            <v>DIST. LEWIS</v>
          </cell>
          <cell r="C3417" t="str">
            <v>A</v>
          </cell>
          <cell r="D3417" t="str">
            <v>NO</v>
          </cell>
          <cell r="E3417" t="str">
            <v>JUEGO INFINITO,EL - DASHNER,JAMES</v>
          </cell>
          <cell r="F3417" t="str">
            <v>LIBRO</v>
          </cell>
          <cell r="G3417">
            <v>520511652</v>
          </cell>
          <cell r="H3417" t="str">
            <v>DIST. LEWIS</v>
          </cell>
          <cell r="I3417">
            <v>16.87</v>
          </cell>
        </row>
        <row r="3418">
          <cell r="A3418" t="str">
            <v>19-03417</v>
          </cell>
          <cell r="B3418" t="str">
            <v>DIST. LEWIS</v>
          </cell>
          <cell r="C3418" t="str">
            <v>A</v>
          </cell>
          <cell r="D3418" t="str">
            <v>NO</v>
          </cell>
          <cell r="E3418" t="str">
            <v>LA REVOLUCION DE 22 DIAS - MARCO BORGES</v>
          </cell>
          <cell r="F3418" t="str">
            <v>LIBRO</v>
          </cell>
          <cell r="G3418">
            <v>520416178</v>
          </cell>
          <cell r="H3418" t="str">
            <v>DIST. LEWIS</v>
          </cell>
          <cell r="I3418">
            <v>12.02</v>
          </cell>
        </row>
        <row r="3419">
          <cell r="A3419" t="str">
            <v>19-03418</v>
          </cell>
          <cell r="B3419" t="str">
            <v>DIST. LEWIS</v>
          </cell>
          <cell r="C3419" t="str">
            <v>A</v>
          </cell>
          <cell r="D3419" t="str">
            <v>NO</v>
          </cell>
          <cell r="E3419" t="str">
            <v>LARGO CAMINO HACIA LA LIBERTAD,EL - MANDELA,NELSON</v>
          </cell>
          <cell r="F3419" t="str">
            <v>LIBRO</v>
          </cell>
          <cell r="G3419">
            <v>520511672</v>
          </cell>
          <cell r="H3419" t="str">
            <v>DIST. LEWIS</v>
          </cell>
          <cell r="I3419">
            <v>18.16</v>
          </cell>
        </row>
        <row r="3420">
          <cell r="A3420" t="str">
            <v>19-03419</v>
          </cell>
          <cell r="B3420" t="str">
            <v>DIST. LEWIS</v>
          </cell>
          <cell r="C3420" t="str">
            <v>A</v>
          </cell>
          <cell r="D3420" t="str">
            <v>NO</v>
          </cell>
          <cell r="E3420" t="str">
            <v>LAST TO KNOW - ADLER,ELIZABETH</v>
          </cell>
          <cell r="F3420" t="str">
            <v>LIBRO</v>
          </cell>
          <cell r="G3420">
            <v>48144</v>
          </cell>
          <cell r="H3420" t="str">
            <v>DIST. LEWIS</v>
          </cell>
          <cell r="I3420">
            <v>5.84</v>
          </cell>
        </row>
        <row r="3421">
          <cell r="A3421" t="str">
            <v>19-03420</v>
          </cell>
          <cell r="B3421" t="str">
            <v>DIST. LEWIS</v>
          </cell>
          <cell r="C3421" t="str">
            <v>A</v>
          </cell>
          <cell r="D3421" t="str">
            <v>NO</v>
          </cell>
          <cell r="E3421" t="str">
            <v>LECC.SOBRE L/VIDA DEL MONJE VENDIO - SHARMA,ROBIN S.</v>
          </cell>
          <cell r="F3421" t="str">
            <v>LIBRO</v>
          </cell>
          <cell r="G3421">
            <v>520515649</v>
          </cell>
          <cell r="H3421" t="str">
            <v>DIST. LEWIS</v>
          </cell>
          <cell r="I3421">
            <v>8.1199999999999992</v>
          </cell>
        </row>
        <row r="3422">
          <cell r="A3422" t="str">
            <v>19-03421</v>
          </cell>
          <cell r="B3422" t="str">
            <v>DIST. LEWIS</v>
          </cell>
          <cell r="C3422" t="str">
            <v>A</v>
          </cell>
          <cell r="D3422" t="str">
            <v>NO</v>
          </cell>
          <cell r="E3422" t="str">
            <v>MARRIAGE TRAP,THE - PROBST,JENNIFER</v>
          </cell>
          <cell r="F3422" t="str">
            <v>LIBRO</v>
          </cell>
          <cell r="G3422">
            <v>23409</v>
          </cell>
          <cell r="H3422" t="str">
            <v>DIST. LEWIS</v>
          </cell>
          <cell r="I3422">
            <v>3.89</v>
          </cell>
        </row>
        <row r="3423">
          <cell r="A3423" t="str">
            <v>19-03422</v>
          </cell>
          <cell r="B3423" t="str">
            <v>DIST. LEWIS</v>
          </cell>
          <cell r="C3423" t="str">
            <v>A</v>
          </cell>
          <cell r="D3423" t="str">
            <v>NO</v>
          </cell>
          <cell r="E3423" t="str">
            <v>MERCHANT EMPEROR,THE - HAYDON,ELIZABETH</v>
          </cell>
          <cell r="F3423" t="str">
            <v>LIBRO</v>
          </cell>
          <cell r="G3423">
            <v>33091</v>
          </cell>
          <cell r="H3423" t="str">
            <v>DIST. LEWIS</v>
          </cell>
          <cell r="I3423">
            <v>6.49</v>
          </cell>
        </row>
        <row r="3424">
          <cell r="A3424" t="str">
            <v>19-03423</v>
          </cell>
          <cell r="B3424" t="str">
            <v>DIST. LEWIS</v>
          </cell>
          <cell r="C3424" t="str">
            <v>A</v>
          </cell>
          <cell r="D3424" t="str">
            <v>NO</v>
          </cell>
          <cell r="E3424" t="str">
            <v>MI PAIS INVENTADO - ALLENDE, ISABEL</v>
          </cell>
          <cell r="F3424" t="str">
            <v>LIBRO</v>
          </cell>
          <cell r="G3424">
            <v>522609590</v>
          </cell>
          <cell r="H3424" t="str">
            <v>DIST. LEWIS</v>
          </cell>
          <cell r="I3424">
            <v>9.7100000000000009</v>
          </cell>
        </row>
        <row r="3425">
          <cell r="A3425" t="str">
            <v>19-03424</v>
          </cell>
          <cell r="B3425" t="str">
            <v>DIST. LEWIS</v>
          </cell>
          <cell r="C3425" t="str">
            <v>A</v>
          </cell>
          <cell r="D3425" t="str">
            <v>NO</v>
          </cell>
          <cell r="E3425" t="str">
            <v>MILENA O EL FEMUR MAS BELLO DEL MUN - ZEPEDA,JORGE</v>
          </cell>
          <cell r="F3425" t="str">
            <v>LIBRO</v>
          </cell>
          <cell r="G3425">
            <v>520513313</v>
          </cell>
          <cell r="H3425" t="str">
            <v>DIST. LEWIS</v>
          </cell>
          <cell r="I3425">
            <v>18.684999999999999</v>
          </cell>
        </row>
        <row r="3426">
          <cell r="A3426" t="str">
            <v>19-03425</v>
          </cell>
          <cell r="B3426" t="str">
            <v>DIST. LEWIS</v>
          </cell>
          <cell r="C3426" t="str">
            <v>A</v>
          </cell>
          <cell r="D3426" t="str">
            <v>NO</v>
          </cell>
          <cell r="E3426" t="str">
            <v>PAULA - ALLENDE,ISABEL</v>
          </cell>
          <cell r="F3426" t="str">
            <v>LIBRO</v>
          </cell>
          <cell r="G3426">
            <v>522609870</v>
          </cell>
          <cell r="H3426" t="str">
            <v>DIST. LEWIS</v>
          </cell>
          <cell r="I3426">
            <v>10.37</v>
          </cell>
        </row>
        <row r="3427">
          <cell r="A3427" t="str">
            <v>19-03426</v>
          </cell>
          <cell r="B3427" t="str">
            <v>DIST. LEWIS</v>
          </cell>
          <cell r="C3427" t="str">
            <v>A</v>
          </cell>
          <cell r="D3427" t="str">
            <v>NO</v>
          </cell>
          <cell r="E3427" t="str">
            <v>PERFECT WITNESS,THE - JOHANSEN,IRIS</v>
          </cell>
          <cell r="F3427" t="str">
            <v>LIBRO</v>
          </cell>
          <cell r="G3427">
            <v>48139</v>
          </cell>
          <cell r="H3427" t="str">
            <v>DIST. LEWIS</v>
          </cell>
          <cell r="I3427">
            <v>5.84</v>
          </cell>
        </row>
        <row r="3428">
          <cell r="A3428" t="str">
            <v>19-03427</v>
          </cell>
          <cell r="B3428" t="str">
            <v>DIST. LEWIS</v>
          </cell>
          <cell r="C3428" t="str">
            <v>A</v>
          </cell>
          <cell r="D3428" t="str">
            <v>NO</v>
          </cell>
          <cell r="E3428" t="str">
            <v>PILARES DE LA TIERRA - FOLLET, KEN</v>
          </cell>
          <cell r="F3428" t="str">
            <v>LIBRO</v>
          </cell>
          <cell r="G3428">
            <v>522609746</v>
          </cell>
          <cell r="H3428" t="str">
            <v>DIST. LEWIS</v>
          </cell>
          <cell r="I3428">
            <v>10.045</v>
          </cell>
        </row>
        <row r="3429">
          <cell r="A3429" t="str">
            <v>19-03428</v>
          </cell>
          <cell r="B3429" t="str">
            <v>DIST. LEWIS</v>
          </cell>
          <cell r="C3429" t="str">
            <v>A</v>
          </cell>
          <cell r="D3429" t="str">
            <v>NO</v>
          </cell>
          <cell r="E3429" t="str">
            <v>REINO DEL DRAGON DE ORO,EL - ALLENDE,ISABEL</v>
          </cell>
          <cell r="F3429" t="str">
            <v>LIBRO</v>
          </cell>
          <cell r="G3429">
            <v>522609408</v>
          </cell>
          <cell r="H3429" t="str">
            <v>DIST. LEWIS</v>
          </cell>
          <cell r="I3429">
            <v>9.07</v>
          </cell>
        </row>
        <row r="3430">
          <cell r="A3430" t="str">
            <v>19-03429</v>
          </cell>
          <cell r="B3430" t="str">
            <v>DIST. LEWIS</v>
          </cell>
          <cell r="C3430" t="str">
            <v>A</v>
          </cell>
          <cell r="D3430" t="str">
            <v>NO</v>
          </cell>
          <cell r="E3430" t="str">
            <v>REVENANT,THE - PUNKE,MICHAEL</v>
          </cell>
          <cell r="F3430" t="str">
            <v>LIBRO</v>
          </cell>
          <cell r="G3430">
            <v>48177</v>
          </cell>
          <cell r="H3430" t="str">
            <v>DIST. LEWIS</v>
          </cell>
          <cell r="I3430">
            <v>6.49</v>
          </cell>
        </row>
        <row r="3431">
          <cell r="A3431" t="str">
            <v>19-03430</v>
          </cell>
          <cell r="B3431" t="str">
            <v>DIST. LEWIS</v>
          </cell>
          <cell r="C3431" t="str">
            <v>A</v>
          </cell>
          <cell r="D3431" t="str">
            <v>NO</v>
          </cell>
          <cell r="E3431" t="str">
            <v>SABIDURIA Y EL LEGADO,LA - R.COVEY,STEPHEN</v>
          </cell>
          <cell r="F3431" t="str">
            <v>LIBRO</v>
          </cell>
          <cell r="G3431">
            <v>520511431</v>
          </cell>
          <cell r="H3431" t="str">
            <v>DIST. LEWIS</v>
          </cell>
          <cell r="I3431">
            <v>14.67</v>
          </cell>
        </row>
        <row r="3432">
          <cell r="A3432" t="str">
            <v>19-03431</v>
          </cell>
          <cell r="B3432" t="str">
            <v>DIST. LEWIS</v>
          </cell>
          <cell r="C3432" t="str">
            <v>A</v>
          </cell>
          <cell r="D3432" t="str">
            <v>NO</v>
          </cell>
          <cell r="E3432" t="str">
            <v>SALVANDO VIDAS - JOSE FERNANDEZ</v>
          </cell>
          <cell r="F3432" t="str">
            <v>LIBRO</v>
          </cell>
          <cell r="G3432">
            <v>520416086</v>
          </cell>
          <cell r="H3432" t="str">
            <v>DIST. LEWIS</v>
          </cell>
          <cell r="I3432">
            <v>13.68</v>
          </cell>
        </row>
        <row r="3433">
          <cell r="A3433" t="str">
            <v>19-03432</v>
          </cell>
          <cell r="B3433" t="str">
            <v>DIST. LEWIS</v>
          </cell>
          <cell r="C3433" t="str">
            <v>A</v>
          </cell>
          <cell r="D3433" t="str">
            <v>NO</v>
          </cell>
          <cell r="E3433" t="str">
            <v>SEARCHING FOR BEAUTIFUL - PROBST,JENNIFER</v>
          </cell>
          <cell r="F3433" t="str">
            <v>LIBRO</v>
          </cell>
          <cell r="G3433">
            <v>23415</v>
          </cell>
          <cell r="H3433" t="str">
            <v>DIST. LEWIS</v>
          </cell>
          <cell r="I3433">
            <v>5.84</v>
          </cell>
        </row>
        <row r="3434">
          <cell r="A3434" t="str">
            <v>19-03433</v>
          </cell>
          <cell r="B3434" t="str">
            <v>DIST. LEWIS</v>
          </cell>
          <cell r="C3434" t="str">
            <v>A</v>
          </cell>
          <cell r="D3434" t="str">
            <v>NO</v>
          </cell>
          <cell r="E3434" t="str">
            <v>SECOND LIFE - WATSON,S.J.</v>
          </cell>
          <cell r="F3434" t="str">
            <v>LIBRO</v>
          </cell>
          <cell r="G3434">
            <v>19217</v>
          </cell>
          <cell r="H3434" t="str">
            <v>DIST. LEWIS</v>
          </cell>
          <cell r="I3434">
            <v>5.84</v>
          </cell>
        </row>
        <row r="3435">
          <cell r="A3435" t="str">
            <v>19-03434</v>
          </cell>
          <cell r="B3435" t="str">
            <v>DIST. LEWIS</v>
          </cell>
          <cell r="C3435" t="str">
            <v>A</v>
          </cell>
          <cell r="D3435" t="str">
            <v>NO</v>
          </cell>
          <cell r="E3435" t="str">
            <v>SECRET BROTHER - ANDREWS,V.C.</v>
          </cell>
          <cell r="F3435" t="str">
            <v>LIBRO</v>
          </cell>
          <cell r="G3435">
            <v>23420</v>
          </cell>
          <cell r="H3435" t="str">
            <v>DIST. LEWIS</v>
          </cell>
          <cell r="I3435">
            <v>5.84</v>
          </cell>
        </row>
        <row r="3436">
          <cell r="A3436" t="str">
            <v>19-03435</v>
          </cell>
          <cell r="B3436" t="str">
            <v>DIST. LEWIS</v>
          </cell>
          <cell r="C3436" t="str">
            <v>A</v>
          </cell>
          <cell r="D3436" t="str">
            <v>NO</v>
          </cell>
          <cell r="E3436" t="str">
            <v>SENDERO DEL AMOR - SPARKS,NICHOLAS</v>
          </cell>
          <cell r="F3436" t="str">
            <v>LIBRO</v>
          </cell>
          <cell r="G3436">
            <v>522705842</v>
          </cell>
          <cell r="H3436" t="str">
            <v>DIST. LEWIS</v>
          </cell>
          <cell r="I3436">
            <v>8.6050000000000004</v>
          </cell>
        </row>
        <row r="3437">
          <cell r="A3437" t="str">
            <v>19-03436</v>
          </cell>
          <cell r="B3437" t="str">
            <v>DIST. LEWIS</v>
          </cell>
          <cell r="C3437" t="str">
            <v>A</v>
          </cell>
          <cell r="D3437" t="str">
            <v>NO</v>
          </cell>
          <cell r="E3437" t="str">
            <v>SHADOW MAKER - HANNIBAL, J. R.</v>
          </cell>
          <cell r="F3437" t="str">
            <v>LIBRO</v>
          </cell>
          <cell r="G3437">
            <v>40236</v>
          </cell>
          <cell r="H3437" t="str">
            <v>DIST. LEWIS</v>
          </cell>
          <cell r="I3437">
            <v>7.14</v>
          </cell>
        </row>
        <row r="3438">
          <cell r="A3438" t="str">
            <v>19-03437</v>
          </cell>
          <cell r="B3438" t="str">
            <v>DIST. LEWIS</v>
          </cell>
          <cell r="C3438" t="str">
            <v>A</v>
          </cell>
          <cell r="D3438" t="str">
            <v>NO</v>
          </cell>
          <cell r="E3438" t="str">
            <v>SI LO SUENAS,HAZ QUE PASE - MELAMED,MAICKEL</v>
          </cell>
          <cell r="F3438" t="str">
            <v>LIBRO</v>
          </cell>
          <cell r="G3438">
            <v>522705852</v>
          </cell>
          <cell r="H3438" t="str">
            <v>DIST. LEWIS</v>
          </cell>
          <cell r="I3438">
            <v>12.31</v>
          </cell>
        </row>
        <row r="3439">
          <cell r="A3439" t="str">
            <v>19-03438</v>
          </cell>
          <cell r="B3439" t="str">
            <v>DIST. LEWIS</v>
          </cell>
          <cell r="C3439" t="str">
            <v>A</v>
          </cell>
          <cell r="D3439" t="str">
            <v>NO</v>
          </cell>
          <cell r="E3439" t="str">
            <v>SIDNEY SHELDONS RECKLESS - BAGSHAWE,TILLY</v>
          </cell>
          <cell r="F3439" t="str">
            <v>LIBRO</v>
          </cell>
          <cell r="G3439">
            <v>1155</v>
          </cell>
          <cell r="H3439" t="str">
            <v>DIST. LEWIS</v>
          </cell>
          <cell r="I3439">
            <v>7.14</v>
          </cell>
        </row>
        <row r="3440">
          <cell r="A3440" t="str">
            <v>19-03439</v>
          </cell>
          <cell r="B3440" t="str">
            <v>DIST. LEWIS</v>
          </cell>
          <cell r="C3440" t="str">
            <v>A</v>
          </cell>
          <cell r="D3440" t="str">
            <v>NO</v>
          </cell>
          <cell r="E3440" t="str">
            <v>SIGNS POINT TO YES - HALL,SANDY</v>
          </cell>
          <cell r="F3440" t="str">
            <v>LIBRO</v>
          </cell>
          <cell r="G3440">
            <v>48181</v>
          </cell>
          <cell r="H3440" t="str">
            <v>DIST. LEWIS</v>
          </cell>
          <cell r="I3440">
            <v>7.14</v>
          </cell>
        </row>
        <row r="3441">
          <cell r="A3441" t="str">
            <v>19-03440</v>
          </cell>
          <cell r="B3441" t="str">
            <v>DIST. LEWIS</v>
          </cell>
          <cell r="C3441" t="str">
            <v>A</v>
          </cell>
          <cell r="D3441" t="str">
            <v>NO</v>
          </cell>
          <cell r="E3441" t="str">
            <v>SKIN COLLECTOR - DEAVER, JEFFERY</v>
          </cell>
          <cell r="F3441" t="str">
            <v>LIBRO</v>
          </cell>
          <cell r="G3441">
            <v>39221</v>
          </cell>
          <cell r="H3441" t="str">
            <v>DIST. LEWIS</v>
          </cell>
          <cell r="I3441">
            <v>5.84</v>
          </cell>
        </row>
        <row r="3442">
          <cell r="A3442" t="str">
            <v>19-03441</v>
          </cell>
          <cell r="B3442" t="str">
            <v>DIST. LEWIS</v>
          </cell>
          <cell r="C3442" t="str">
            <v>A</v>
          </cell>
          <cell r="D3442" t="str">
            <v>NO</v>
          </cell>
          <cell r="E3442" t="str">
            <v>SOBERBIA JUVENTUD,LA - SIMONETTI,PABLO</v>
          </cell>
          <cell r="F3442" t="str">
            <v>LIBRO</v>
          </cell>
          <cell r="G3442">
            <v>522705854</v>
          </cell>
          <cell r="H3442" t="str">
            <v>DIST. LEWIS</v>
          </cell>
          <cell r="I3442">
            <v>18.16</v>
          </cell>
        </row>
        <row r="3443">
          <cell r="A3443" t="str">
            <v>19-03442</v>
          </cell>
          <cell r="B3443" t="str">
            <v>DIST. LEWIS</v>
          </cell>
          <cell r="C3443" t="str">
            <v>A</v>
          </cell>
          <cell r="D3443" t="str">
            <v>NO</v>
          </cell>
          <cell r="E3443" t="str">
            <v>TEMPTING FATE - GREEN,JANE</v>
          </cell>
          <cell r="F3443" t="str">
            <v>LIBRO</v>
          </cell>
          <cell r="G3443">
            <v>48141</v>
          </cell>
          <cell r="H3443" t="str">
            <v>DIST. LEWIS</v>
          </cell>
          <cell r="I3443">
            <v>0</v>
          </cell>
        </row>
        <row r="3444">
          <cell r="A3444" t="str">
            <v>19-03443</v>
          </cell>
          <cell r="B3444" t="str">
            <v>DIST. LEWIS</v>
          </cell>
          <cell r="C3444" t="str">
            <v>A</v>
          </cell>
          <cell r="D3444" t="str">
            <v>NO</v>
          </cell>
          <cell r="E3444" t="str">
            <v>TOP SECRET - GRIFFIN,W.E.B.</v>
          </cell>
          <cell r="F3444" t="str">
            <v>LIBRO</v>
          </cell>
          <cell r="G3444">
            <v>30137</v>
          </cell>
          <cell r="H3444" t="str">
            <v>DIST. LEWIS</v>
          </cell>
          <cell r="I3444">
            <v>7.14</v>
          </cell>
        </row>
        <row r="3445">
          <cell r="A3445" t="str">
            <v>19-03444</v>
          </cell>
          <cell r="B3445" t="str">
            <v>DIST. LEWIS</v>
          </cell>
          <cell r="C3445" t="str">
            <v>A</v>
          </cell>
          <cell r="D3445" t="str">
            <v>NO</v>
          </cell>
          <cell r="E3445" t="str">
            <v>TORMENTA DE ESPADAS - MARTIN,GEORGE</v>
          </cell>
          <cell r="F3445" t="str">
            <v>LIBRO</v>
          </cell>
          <cell r="G3445">
            <v>522705831</v>
          </cell>
          <cell r="H3445" t="str">
            <v>DIST. LEWIS</v>
          </cell>
          <cell r="I3445">
            <v>18.16</v>
          </cell>
        </row>
        <row r="3446">
          <cell r="A3446" t="str">
            <v>19-03445</v>
          </cell>
          <cell r="B3446" t="str">
            <v>DIST. LEWIS</v>
          </cell>
          <cell r="C3446" t="str">
            <v>A</v>
          </cell>
          <cell r="D3446" t="str">
            <v>NO</v>
          </cell>
          <cell r="E3446" t="str">
            <v>TRAMPA,LA - GRISHAM,JOHN</v>
          </cell>
          <cell r="F3446" t="str">
            <v>LIBRO</v>
          </cell>
          <cell r="G3446">
            <v>522609686</v>
          </cell>
          <cell r="H3446" t="str">
            <v>DIST. LEWIS</v>
          </cell>
          <cell r="I3446">
            <v>11.01</v>
          </cell>
        </row>
        <row r="3447">
          <cell r="A3447" t="str">
            <v>19-03446</v>
          </cell>
          <cell r="B3447" t="str">
            <v>DIST. LEWIS</v>
          </cell>
          <cell r="C3447" t="str">
            <v>A</v>
          </cell>
          <cell r="D3447" t="str">
            <v>NO</v>
          </cell>
          <cell r="E3447" t="str">
            <v>UN MUNDO SIN FIN - FOLLET,KEN</v>
          </cell>
          <cell r="F3447" t="str">
            <v>LIBRO</v>
          </cell>
          <cell r="G3447">
            <v>522609688</v>
          </cell>
          <cell r="H3447" t="str">
            <v>DIST. LEWIS</v>
          </cell>
          <cell r="I3447">
            <v>9.3230000000000004</v>
          </cell>
        </row>
        <row r="3448">
          <cell r="A3448" t="str">
            <v>19-03447</v>
          </cell>
          <cell r="B3448" t="str">
            <v>DIST. LEWIS</v>
          </cell>
          <cell r="C3448" t="str">
            <v>A</v>
          </cell>
          <cell r="D3448" t="str">
            <v>NO</v>
          </cell>
          <cell r="E3448" t="str">
            <v>UNCERTAIN LOGIC-STAR TREK-E - BENNETT,CHRISTOPH</v>
          </cell>
          <cell r="F3448" t="str">
            <v>LIBRO</v>
          </cell>
          <cell r="G3448">
            <v>23407</v>
          </cell>
          <cell r="H3448" t="str">
            <v>DIST. LEWIS</v>
          </cell>
          <cell r="I3448">
            <v>5.84</v>
          </cell>
        </row>
        <row r="3449">
          <cell r="A3449" t="str">
            <v>19-03448</v>
          </cell>
          <cell r="B3449" t="str">
            <v>DIST. LEWIS</v>
          </cell>
          <cell r="C3449" t="str">
            <v>A</v>
          </cell>
          <cell r="D3449" t="str">
            <v>NO</v>
          </cell>
          <cell r="E3449" t="str">
            <v>VIDAS VULNERABLES - SIMONETTI,PABLO</v>
          </cell>
          <cell r="F3449" t="str">
            <v>LIBRO</v>
          </cell>
          <cell r="G3449">
            <v>520515964</v>
          </cell>
          <cell r="H3449" t="str">
            <v>DIST. LEWIS</v>
          </cell>
          <cell r="I3449">
            <v>16.86</v>
          </cell>
        </row>
        <row r="3450">
          <cell r="A3450" t="str">
            <v>19-03449</v>
          </cell>
          <cell r="B3450" t="str">
            <v>DIST. LEWIS</v>
          </cell>
          <cell r="C3450" t="str">
            <v>A</v>
          </cell>
          <cell r="D3450" t="str">
            <v>NO</v>
          </cell>
          <cell r="E3450" t="str">
            <v>VIVIENDO - ADAMARI LOPEZ</v>
          </cell>
          <cell r="F3450" t="str">
            <v>LIBRO</v>
          </cell>
          <cell r="G3450">
            <v>520416076</v>
          </cell>
          <cell r="H3450" t="str">
            <v>DIST. LEWIS</v>
          </cell>
          <cell r="I3450">
            <v>14.48</v>
          </cell>
        </row>
        <row r="3451">
          <cell r="A3451" t="str">
            <v>19-03450</v>
          </cell>
          <cell r="B3451" t="str">
            <v>DIST. LEWIS</v>
          </cell>
          <cell r="C3451" t="str">
            <v>A</v>
          </cell>
          <cell r="D3451" t="str">
            <v>NO</v>
          </cell>
          <cell r="E3451" t="str">
            <v>WALKING DEAD,THE - KIRKMAN,ROBERT</v>
          </cell>
          <cell r="F3451" t="str">
            <v>LIBRO</v>
          </cell>
          <cell r="G3451">
            <v>48150</v>
          </cell>
          <cell r="H3451" t="str">
            <v>DIST. LEWIS</v>
          </cell>
          <cell r="I3451">
            <v>5.84</v>
          </cell>
        </row>
        <row r="3452">
          <cell r="A3452" t="str">
            <v>19-03451</v>
          </cell>
          <cell r="B3452" t="str">
            <v>DIST. LEWIS</v>
          </cell>
          <cell r="C3452" t="str">
            <v>A</v>
          </cell>
          <cell r="D3452" t="str">
            <v>NO</v>
          </cell>
          <cell r="E3452" t="str">
            <v>WAYFARING STRANGER - BURKE,JAMES L.</v>
          </cell>
          <cell r="F3452" t="str">
            <v>LIBRO</v>
          </cell>
          <cell r="G3452">
            <v>23395</v>
          </cell>
          <cell r="H3452" t="str">
            <v>DIST. LEWIS</v>
          </cell>
          <cell r="I3452">
            <v>7.14</v>
          </cell>
        </row>
        <row r="3453">
          <cell r="A3453" t="str">
            <v>19-03452</v>
          </cell>
          <cell r="B3453" t="str">
            <v>DIST. LEWIS</v>
          </cell>
          <cell r="C3453" t="str">
            <v>A</v>
          </cell>
          <cell r="D3453" t="str">
            <v>NO</v>
          </cell>
          <cell r="E3453" t="str">
            <v>WHAT THE DOG KNOWS - WARREN,CAT</v>
          </cell>
          <cell r="F3453" t="str">
            <v>LIBRO</v>
          </cell>
          <cell r="G3453">
            <v>23402</v>
          </cell>
          <cell r="H3453" t="str">
            <v>DIST. LEWIS</v>
          </cell>
          <cell r="I3453">
            <v>5.84</v>
          </cell>
        </row>
        <row r="3454">
          <cell r="A3454" t="str">
            <v>19-03453</v>
          </cell>
          <cell r="B3454" t="str">
            <v>DIST. LEWIS</v>
          </cell>
          <cell r="C3454" t="str">
            <v>A</v>
          </cell>
          <cell r="D3454" t="str">
            <v>NO</v>
          </cell>
          <cell r="E3454" t="str">
            <v>WORLD OF WARCRAFT WAR CRIMES - GOLDEN, CHRISTIE</v>
          </cell>
          <cell r="F3454" t="str">
            <v>LIBRO</v>
          </cell>
          <cell r="G3454">
            <v>23422</v>
          </cell>
          <cell r="H3454" t="str">
            <v>DIST. LEWIS</v>
          </cell>
          <cell r="I3454">
            <v>0</v>
          </cell>
        </row>
        <row r="3455">
          <cell r="A3455" t="str">
            <v>19-03454</v>
          </cell>
          <cell r="B3455" t="str">
            <v>ORKHON GROUP</v>
          </cell>
          <cell r="C3455" t="str">
            <v>A</v>
          </cell>
          <cell r="D3455" t="str">
            <v>N/A</v>
          </cell>
          <cell r="E3455" t="str">
            <v>S1403-16 ALTAMAR SOMBREBRO</v>
          </cell>
          <cell r="F3455" t="str">
            <v>SOMBRERO</v>
          </cell>
          <cell r="G3455" t="str">
            <v>A5283</v>
          </cell>
          <cell r="H3455" t="str">
            <v>ALTAMAR</v>
          </cell>
          <cell r="I3455">
            <v>8</v>
          </cell>
        </row>
        <row r="3456">
          <cell r="A3456" t="str">
            <v>19-03455</v>
          </cell>
          <cell r="B3456" t="str">
            <v>ORKHON GROUP</v>
          </cell>
          <cell r="C3456" t="str">
            <v>A</v>
          </cell>
          <cell r="D3456" t="str">
            <v>N/A</v>
          </cell>
          <cell r="E3456" t="str">
            <v>S1403-01 ALTAMAR SOMBRERO</v>
          </cell>
          <cell r="F3456" t="str">
            <v>SOMBRERO</v>
          </cell>
          <cell r="G3456" t="str">
            <v>A5121</v>
          </cell>
          <cell r="H3456" t="str">
            <v>ALTAMAR</v>
          </cell>
          <cell r="I3456">
            <v>7</v>
          </cell>
        </row>
        <row r="3457">
          <cell r="A3457" t="str">
            <v>19-03456</v>
          </cell>
          <cell r="B3457" t="str">
            <v>ORKHON GROUP</v>
          </cell>
          <cell r="C3457" t="str">
            <v>A</v>
          </cell>
          <cell r="D3457" t="str">
            <v>N/A</v>
          </cell>
          <cell r="E3457" t="str">
            <v>S1407-22 ALTAMAR SOMBRERO</v>
          </cell>
          <cell r="F3457" t="str">
            <v>SOMBRERO</v>
          </cell>
          <cell r="G3457" t="str">
            <v>A005765</v>
          </cell>
          <cell r="H3457" t="str">
            <v>ALTAMAR</v>
          </cell>
          <cell r="I3457">
            <v>10</v>
          </cell>
        </row>
        <row r="3458">
          <cell r="A3458" t="str">
            <v>19-03457</v>
          </cell>
          <cell r="B3458" t="str">
            <v>ORKHON GROUP</v>
          </cell>
          <cell r="C3458" t="str">
            <v>A</v>
          </cell>
          <cell r="D3458" t="str">
            <v>N/A</v>
          </cell>
          <cell r="E3458" t="str">
            <v>A1503-32 ALTAMAR ARETES</v>
          </cell>
          <cell r="F3458" t="str">
            <v>PENDIENTE</v>
          </cell>
          <cell r="G3458" t="str">
            <v>A006604</v>
          </cell>
          <cell r="H3458" t="str">
            <v>ALTAMAR</v>
          </cell>
          <cell r="I3458">
            <v>14</v>
          </cell>
        </row>
        <row r="3459">
          <cell r="A3459" t="str">
            <v>19-03458</v>
          </cell>
          <cell r="B3459" t="str">
            <v>DIST. LEWIS</v>
          </cell>
          <cell r="C3459" t="str">
            <v>A</v>
          </cell>
          <cell r="D3459" t="str">
            <v>NO</v>
          </cell>
          <cell r="E3459" t="str">
            <v>PAJARO CANTA HASTA MORIR,EL - MCCULLOUGH,COLLEEN</v>
          </cell>
          <cell r="F3459" t="str">
            <v>LIBRO</v>
          </cell>
          <cell r="G3459">
            <v>520511278</v>
          </cell>
          <cell r="H3459" t="str">
            <v>DIST. LEWIS</v>
          </cell>
          <cell r="I3459">
            <v>16.87</v>
          </cell>
        </row>
        <row r="3460">
          <cell r="A3460" t="str">
            <v>19-03459</v>
          </cell>
          <cell r="B3460" t="str">
            <v>DIST. LEWIS</v>
          </cell>
          <cell r="C3460" t="str">
            <v>A</v>
          </cell>
          <cell r="D3460" t="str">
            <v>SI</v>
          </cell>
          <cell r="E3460" t="str">
            <v>ENCUENTRO PANAMA VIP</v>
          </cell>
          <cell r="F3460" t="str">
            <v>MAGAZINE</v>
          </cell>
          <cell r="G3460">
            <v>59410</v>
          </cell>
          <cell r="H3460" t="str">
            <v>DIST. LEWIS</v>
          </cell>
          <cell r="I3460">
            <v>19.600000000000001</v>
          </cell>
        </row>
        <row r="3461">
          <cell r="A3461" t="str">
            <v>19-03460</v>
          </cell>
          <cell r="B3461" t="str">
            <v>DIST. LEWIS</v>
          </cell>
          <cell r="C3461" t="str">
            <v>A</v>
          </cell>
          <cell r="D3461" t="str">
            <v>SI</v>
          </cell>
          <cell r="E3461" t="str">
            <v>ESPACIOS</v>
          </cell>
          <cell r="F3461" t="str">
            <v>MAGAZINE</v>
          </cell>
          <cell r="G3461">
            <v>220015</v>
          </cell>
          <cell r="H3461" t="str">
            <v>DIST. LEWIS</v>
          </cell>
          <cell r="I3461">
            <v>1.56</v>
          </cell>
        </row>
        <row r="3462">
          <cell r="A3462" t="str">
            <v>19-03461</v>
          </cell>
          <cell r="B3462" t="str">
            <v>DIST. LEWIS</v>
          </cell>
          <cell r="C3462" t="str">
            <v>A</v>
          </cell>
          <cell r="D3462" t="str">
            <v>SI</v>
          </cell>
          <cell r="E3462" t="str">
            <v>HOUSE BEAUTIFUL</v>
          </cell>
          <cell r="F3462" t="str">
            <v>MAGAZINE</v>
          </cell>
          <cell r="G3462">
            <v>8458</v>
          </cell>
          <cell r="H3462" t="str">
            <v>DIST. LEWIS</v>
          </cell>
          <cell r="I3462">
            <v>5.56</v>
          </cell>
        </row>
        <row r="3463">
          <cell r="A3463" t="str">
            <v>19-03462</v>
          </cell>
          <cell r="B3463" t="str">
            <v>DIST. LEWIS</v>
          </cell>
          <cell r="C3463" t="str">
            <v>A</v>
          </cell>
          <cell r="D3463" t="str">
            <v>SI</v>
          </cell>
          <cell r="E3463" t="str">
            <v>IN STYLE BIG ISSUE</v>
          </cell>
          <cell r="F3463" t="str">
            <v>MAGAZINE</v>
          </cell>
          <cell r="G3463">
            <v>10645</v>
          </cell>
          <cell r="H3463" t="str">
            <v>DIST. LEWIS</v>
          </cell>
          <cell r="I3463">
            <v>5.56</v>
          </cell>
        </row>
        <row r="3464">
          <cell r="A3464" t="str">
            <v>19-03463</v>
          </cell>
          <cell r="B3464" t="str">
            <v>DIST. LEWIS</v>
          </cell>
          <cell r="C3464" t="str">
            <v>A</v>
          </cell>
          <cell r="D3464" t="str">
            <v>SI</v>
          </cell>
          <cell r="E3464" t="str">
            <v>PASATIEMPOS – CRUCIGRAMAS</v>
          </cell>
          <cell r="F3464" t="str">
            <v>MAGAZINE</v>
          </cell>
          <cell r="G3464" t="str">
            <v>PASACRUC</v>
          </cell>
          <cell r="H3464" t="str">
            <v>DIST. LEWIS</v>
          </cell>
          <cell r="I3464">
            <v>2.36</v>
          </cell>
        </row>
        <row r="3465">
          <cell r="A3465" t="str">
            <v>19-03464</v>
          </cell>
          <cell r="B3465" t="str">
            <v>DIST. LEWIS</v>
          </cell>
          <cell r="C3465" t="str">
            <v>A</v>
          </cell>
          <cell r="D3465" t="str">
            <v>SI</v>
          </cell>
          <cell r="E3465" t="str">
            <v>PASATIEMPOS – CRUZADAS TREBOL</v>
          </cell>
          <cell r="F3465" t="str">
            <v>MAGAZINE</v>
          </cell>
          <cell r="G3465" t="str">
            <v>PASACRUZ</v>
          </cell>
          <cell r="H3465" t="str">
            <v>DIST. LEWIS</v>
          </cell>
          <cell r="I3465">
            <v>2.36</v>
          </cell>
        </row>
        <row r="3466">
          <cell r="A3466" t="str">
            <v>19-03465</v>
          </cell>
          <cell r="B3466" t="str">
            <v>DIST. LEWIS</v>
          </cell>
          <cell r="C3466" t="str">
            <v>A</v>
          </cell>
          <cell r="D3466" t="str">
            <v>SI</v>
          </cell>
          <cell r="E3466" t="str">
            <v>PEOPLE STYLE WATCH</v>
          </cell>
          <cell r="F3466" t="str">
            <v>MAGAZINE</v>
          </cell>
          <cell r="G3466">
            <v>10226</v>
          </cell>
          <cell r="H3466" t="str">
            <v>DIST. LEWIS</v>
          </cell>
          <cell r="I3466">
            <v>4.4000000000000004</v>
          </cell>
        </row>
        <row r="3467">
          <cell r="A3467" t="str">
            <v>19-03466</v>
          </cell>
          <cell r="B3467" t="str">
            <v>DIST. LEWIS</v>
          </cell>
          <cell r="C3467" t="str">
            <v>A</v>
          </cell>
          <cell r="D3467" t="str">
            <v>SI</v>
          </cell>
          <cell r="E3467" t="str">
            <v>SCIENTIFIC AMERICAN – MIND</v>
          </cell>
          <cell r="F3467" t="str">
            <v>MAGAZINE</v>
          </cell>
          <cell r="G3467">
            <v>48094</v>
          </cell>
          <cell r="H3467" t="str">
            <v>DIST. LEWIS</v>
          </cell>
          <cell r="I3467">
            <v>31.8</v>
          </cell>
        </row>
        <row r="3468">
          <cell r="A3468" t="str">
            <v>19-03467</v>
          </cell>
          <cell r="B3468" t="str">
            <v>DIST. LEWIS</v>
          </cell>
          <cell r="C3468" t="str">
            <v>A</v>
          </cell>
          <cell r="D3468" t="str">
            <v>SI</v>
          </cell>
          <cell r="E3468" t="str">
            <v>VEGETARIAN TIMES</v>
          </cell>
          <cell r="F3468" t="str">
            <v>MAGAZINE</v>
          </cell>
          <cell r="G3468">
            <v>39199</v>
          </cell>
          <cell r="H3468" t="str">
            <v>DIST. LEWIS</v>
          </cell>
          <cell r="I3468">
            <v>33.36</v>
          </cell>
        </row>
        <row r="3469">
          <cell r="A3469" t="str">
            <v>19-03468</v>
          </cell>
          <cell r="B3469" t="str">
            <v>DIST. LEWIS</v>
          </cell>
          <cell r="C3469" t="str">
            <v>A</v>
          </cell>
          <cell r="D3469" t="str">
            <v>SI</v>
          </cell>
          <cell r="E3469" t="str">
            <v>SURVIVALIST</v>
          </cell>
          <cell r="F3469" t="str">
            <v>MAGAZINE</v>
          </cell>
          <cell r="G3469">
            <v>26325</v>
          </cell>
          <cell r="H3469" t="str">
            <v>DIST. LEWIS</v>
          </cell>
          <cell r="I3469">
            <v>7.16</v>
          </cell>
        </row>
        <row r="3470">
          <cell r="A3470" t="str">
            <v>19-03469</v>
          </cell>
          <cell r="B3470" t="str">
            <v>DIST. LEWIS</v>
          </cell>
          <cell r="C3470" t="str">
            <v>A</v>
          </cell>
          <cell r="D3470" t="str">
            <v>SI</v>
          </cell>
          <cell r="E3470" t="str">
            <v>VIDEO WATCHDOG</v>
          </cell>
          <cell r="F3470" t="str">
            <v>MAGAZINE</v>
          </cell>
          <cell r="G3470">
            <v>61590</v>
          </cell>
          <cell r="H3470" t="str">
            <v>DIST. LEWIS</v>
          </cell>
          <cell r="I3470">
            <v>10.4</v>
          </cell>
        </row>
        <row r="3471">
          <cell r="A3471" t="str">
            <v>19-03470</v>
          </cell>
          <cell r="B3471" t="str">
            <v>DIST. LEWIS</v>
          </cell>
          <cell r="C3471" t="str">
            <v>A</v>
          </cell>
          <cell r="D3471" t="str">
            <v>SI</v>
          </cell>
          <cell r="E3471" t="str">
            <v>BON APPETIT</v>
          </cell>
          <cell r="F3471" t="str">
            <v>MAGAZINE</v>
          </cell>
          <cell r="G3471">
            <v>8432</v>
          </cell>
          <cell r="H3471" t="str">
            <v>DIST. LEWIS</v>
          </cell>
          <cell r="I3471">
            <v>5.56</v>
          </cell>
        </row>
        <row r="3472">
          <cell r="A3472" t="str">
            <v>19-03471</v>
          </cell>
          <cell r="B3472" t="str">
            <v>DIST. LEWIS</v>
          </cell>
          <cell r="C3472" t="str">
            <v>A</v>
          </cell>
          <cell r="D3472" t="str">
            <v>SI</v>
          </cell>
          <cell r="E3472" t="str">
            <v>GUNS &amp; AMMO HANDGUNS</v>
          </cell>
          <cell r="F3472" t="str">
            <v>MAGAZINE</v>
          </cell>
          <cell r="G3472">
            <v>34806</v>
          </cell>
          <cell r="H3472" t="str">
            <v>DIST. LEWIS</v>
          </cell>
          <cell r="I3472">
            <v>22</v>
          </cell>
        </row>
        <row r="3473">
          <cell r="A3473" t="str">
            <v>19-03472</v>
          </cell>
          <cell r="B3473" t="str">
            <v>DIST. LEWIS</v>
          </cell>
          <cell r="C3473" t="str">
            <v>A</v>
          </cell>
          <cell r="D3473" t="str">
            <v>SI</v>
          </cell>
          <cell r="E3473" t="str">
            <v>AIRWAYS</v>
          </cell>
          <cell r="F3473" t="str">
            <v>MAGAZINE</v>
          </cell>
          <cell r="G3473">
            <v>2238</v>
          </cell>
          <cell r="H3473" t="str">
            <v>DIST. LEWIS</v>
          </cell>
          <cell r="I3473">
            <v>6.36</v>
          </cell>
        </row>
        <row r="3474">
          <cell r="A3474" t="str">
            <v>19-03473</v>
          </cell>
          <cell r="B3474" t="str">
            <v>DIST. LEWIS</v>
          </cell>
          <cell r="C3474" t="str">
            <v>A</v>
          </cell>
          <cell r="D3474" t="str">
            <v>SI</v>
          </cell>
          <cell r="E3474" t="str">
            <v>MARLIN</v>
          </cell>
          <cell r="F3474" t="str">
            <v>MAGAZINE</v>
          </cell>
          <cell r="G3474">
            <v>8522</v>
          </cell>
          <cell r="H3474" t="str">
            <v>DIST. LEWIS</v>
          </cell>
          <cell r="I3474">
            <v>7.16</v>
          </cell>
        </row>
        <row r="3475">
          <cell r="A3475" t="str">
            <v>19-03474</v>
          </cell>
          <cell r="B3475" t="str">
            <v>DIST. LEWIS</v>
          </cell>
          <cell r="C3475" t="str">
            <v>A</v>
          </cell>
          <cell r="D3475" t="str">
            <v>SI</v>
          </cell>
          <cell r="E3475" t="str">
            <v>MOTORCYCLIST</v>
          </cell>
          <cell r="F3475" t="str">
            <v>MAGAZINE</v>
          </cell>
          <cell r="G3475">
            <v>71261</v>
          </cell>
          <cell r="H3475" t="str">
            <v>DIST. LEWIS</v>
          </cell>
          <cell r="I3475">
            <v>7.16</v>
          </cell>
        </row>
        <row r="3476">
          <cell r="A3476" t="str">
            <v>19-03475</v>
          </cell>
          <cell r="B3476" t="str">
            <v>DIST. LEWIS</v>
          </cell>
          <cell r="C3476" t="str">
            <v>A</v>
          </cell>
          <cell r="D3476" t="str">
            <v>SI</v>
          </cell>
          <cell r="E3476" t="str">
            <v>YATCHING</v>
          </cell>
          <cell r="F3476" t="str">
            <v>MAGAZINE</v>
          </cell>
          <cell r="G3476">
            <v>837</v>
          </cell>
          <cell r="H3476" t="str">
            <v>DIST. LEWIS</v>
          </cell>
          <cell r="I3476">
            <v>6.36</v>
          </cell>
        </row>
        <row r="3477">
          <cell r="A3477" t="str">
            <v>19-03476</v>
          </cell>
          <cell r="B3477" t="str">
            <v>DIST. LEWIS</v>
          </cell>
          <cell r="C3477" t="str">
            <v>A</v>
          </cell>
          <cell r="D3477" t="str">
            <v>SI</v>
          </cell>
          <cell r="E3477" t="str">
            <v>FONS &amp; PORTER: QUILTY</v>
          </cell>
          <cell r="F3477" t="str">
            <v>MAGAZINE</v>
          </cell>
          <cell r="G3477">
            <v>1626</v>
          </cell>
          <cell r="H3477" t="str">
            <v>DIST. LEWIS</v>
          </cell>
          <cell r="I3477">
            <v>5.56</v>
          </cell>
        </row>
        <row r="3478">
          <cell r="A3478" t="str">
            <v>19-03477</v>
          </cell>
          <cell r="B3478" t="str">
            <v>DIST. LEWIS</v>
          </cell>
          <cell r="C3478" t="str">
            <v>A</v>
          </cell>
          <cell r="D3478" t="str">
            <v>SI</v>
          </cell>
          <cell r="E3478" t="str">
            <v>THE HORSE CHOPPERS MAGAZINE</v>
          </cell>
          <cell r="F3478" t="str">
            <v>MAGAZINE</v>
          </cell>
          <cell r="G3478">
            <v>2553</v>
          </cell>
          <cell r="H3478" t="str">
            <v>DIST. LEWIS</v>
          </cell>
          <cell r="I3478">
            <v>7.16</v>
          </cell>
        </row>
        <row r="3479">
          <cell r="A3479" t="str">
            <v>19-03478</v>
          </cell>
          <cell r="B3479" t="str">
            <v>DIST. LEWIS</v>
          </cell>
          <cell r="C3479" t="str">
            <v>A</v>
          </cell>
          <cell r="D3479" t="str">
            <v>SI</v>
          </cell>
          <cell r="E3479" t="str">
            <v>WOODENBOAT</v>
          </cell>
          <cell r="F3479" t="str">
            <v>MAGAZINE</v>
          </cell>
          <cell r="G3479">
            <v>3402</v>
          </cell>
          <cell r="H3479" t="str">
            <v>DIST. LEWIS</v>
          </cell>
          <cell r="I3479">
            <v>6.36</v>
          </cell>
        </row>
        <row r="3480">
          <cell r="A3480" t="str">
            <v>19-03479</v>
          </cell>
          <cell r="B3480" t="str">
            <v>DIST. LEWIS</v>
          </cell>
          <cell r="C3480" t="str">
            <v>A</v>
          </cell>
          <cell r="D3480" t="str">
            <v>SI</v>
          </cell>
          <cell r="E3480" t="str">
            <v>MORE</v>
          </cell>
          <cell r="F3480" t="str">
            <v>MAGAZINE</v>
          </cell>
          <cell r="G3480">
            <v>14151</v>
          </cell>
          <cell r="H3480" t="str">
            <v>DIST. LEWIS</v>
          </cell>
          <cell r="I3480">
            <v>4.4000000000000004</v>
          </cell>
        </row>
        <row r="3481">
          <cell r="A3481" t="str">
            <v>19-03480</v>
          </cell>
          <cell r="B3481" t="str">
            <v>DIST. LEWIS</v>
          </cell>
          <cell r="C3481" t="str">
            <v>A</v>
          </cell>
          <cell r="D3481" t="str">
            <v>SI</v>
          </cell>
          <cell r="E3481" t="str">
            <v>GQ - GENTLEMEN'S QUARTERLY</v>
          </cell>
          <cell r="F3481" t="str">
            <v>MAGAZINE</v>
          </cell>
          <cell r="G3481">
            <v>8436</v>
          </cell>
          <cell r="H3481" t="str">
            <v>DIST. LEWIS</v>
          </cell>
          <cell r="I3481">
            <v>6.36</v>
          </cell>
        </row>
        <row r="3482">
          <cell r="A3482" t="str">
            <v>19-03481</v>
          </cell>
          <cell r="B3482" t="str">
            <v>DIST. LEWIS</v>
          </cell>
          <cell r="C3482" t="str">
            <v>A</v>
          </cell>
          <cell r="D3482" t="str">
            <v>SI</v>
          </cell>
          <cell r="E3482" t="str">
            <v>DELL WORD SEARCH - L. PRINT</v>
          </cell>
          <cell r="F3482" t="str">
            <v>MAGAZINE</v>
          </cell>
          <cell r="G3482">
            <v>8446</v>
          </cell>
          <cell r="H3482" t="str">
            <v>DIST. LEWIS</v>
          </cell>
          <cell r="I3482">
            <v>4.4000000000000004</v>
          </cell>
        </row>
        <row r="3483">
          <cell r="A3483" t="str">
            <v>19-03482</v>
          </cell>
          <cell r="B3483" t="str">
            <v>DIST. LEWIS</v>
          </cell>
          <cell r="C3483" t="str">
            <v>A</v>
          </cell>
          <cell r="D3483" t="str">
            <v>SI</v>
          </cell>
          <cell r="E3483" t="str">
            <v>MAD MAGAZINE</v>
          </cell>
          <cell r="F3483" t="str">
            <v>MAGAZINE</v>
          </cell>
          <cell r="G3483">
            <v>33230</v>
          </cell>
          <cell r="H3483" t="str">
            <v>DIST. LEWIS</v>
          </cell>
          <cell r="I3483">
            <v>5.56</v>
          </cell>
        </row>
        <row r="3484">
          <cell r="A3484" t="str">
            <v>19-03483</v>
          </cell>
          <cell r="B3484" t="str">
            <v>SUPER XTRA</v>
          </cell>
          <cell r="C3484" t="str">
            <v>A</v>
          </cell>
          <cell r="D3484" t="str">
            <v>N/A</v>
          </cell>
          <cell r="E3484" t="str">
            <v>BAYER ALEVE 12TABX220MG</v>
          </cell>
          <cell r="F3484" t="str">
            <v>MEDICINA</v>
          </cell>
          <cell r="G3484">
            <v>10201676</v>
          </cell>
          <cell r="H3484" t="str">
            <v>BAYER</v>
          </cell>
          <cell r="I3484">
            <v>3.84</v>
          </cell>
        </row>
        <row r="3485">
          <cell r="A3485" t="str">
            <v>19-03484</v>
          </cell>
          <cell r="B3485" t="str">
            <v>SUPER XTRA</v>
          </cell>
          <cell r="C3485" t="str">
            <v>A</v>
          </cell>
          <cell r="D3485" t="str">
            <v>N/A</v>
          </cell>
          <cell r="E3485" t="str">
            <v>BAYER ASPIRINA ADULTO 20TABX0.5G</v>
          </cell>
          <cell r="F3485" t="str">
            <v>MEDICINA</v>
          </cell>
          <cell r="H3485" t="str">
            <v>BAYER</v>
          </cell>
          <cell r="I3485">
            <v>1.58</v>
          </cell>
        </row>
        <row r="3486">
          <cell r="A3486" t="str">
            <v>19-03485</v>
          </cell>
          <cell r="B3486" t="str">
            <v>SUPER XTRA</v>
          </cell>
          <cell r="C3486" t="str">
            <v>A</v>
          </cell>
          <cell r="D3486" t="str">
            <v>N/A</v>
          </cell>
          <cell r="E3486" t="str">
            <v>BAYER ASPIRINA FORTE 1/20 TABLETAS</v>
          </cell>
          <cell r="F3486" t="str">
            <v>MEDICINA</v>
          </cell>
          <cell r="H3486" t="str">
            <v>BAYER</v>
          </cell>
          <cell r="I3486">
            <v>3.07</v>
          </cell>
        </row>
        <row r="3487">
          <cell r="A3487" t="str">
            <v>19-03486</v>
          </cell>
          <cell r="B3487" t="str">
            <v>SUPER XTRA</v>
          </cell>
          <cell r="C3487" t="str">
            <v>A</v>
          </cell>
          <cell r="D3487" t="str">
            <v>N/A</v>
          </cell>
          <cell r="E3487" t="str">
            <v>BAYER BAYTALCID 12TABX500 MG</v>
          </cell>
          <cell r="F3487" t="str">
            <v>MEDICINA</v>
          </cell>
          <cell r="G3487">
            <v>10006553</v>
          </cell>
          <cell r="H3487" t="str">
            <v>BAYER</v>
          </cell>
          <cell r="I3487">
            <v>2.0099999999999998</v>
          </cell>
        </row>
        <row r="3488">
          <cell r="A3488" t="str">
            <v>19-03487</v>
          </cell>
          <cell r="B3488" t="str">
            <v>SUPER XTRA</v>
          </cell>
          <cell r="C3488" t="str">
            <v>A</v>
          </cell>
          <cell r="D3488" t="str">
            <v>N/A</v>
          </cell>
          <cell r="E3488" t="str">
            <v>BAYER DORIVAL 12TABX200MG</v>
          </cell>
          <cell r="F3488" t="str">
            <v>MEDICINA</v>
          </cell>
          <cell r="G3488">
            <v>10006557</v>
          </cell>
          <cell r="H3488" t="str">
            <v>BAYER</v>
          </cell>
          <cell r="I3488">
            <v>3.19</v>
          </cell>
        </row>
        <row r="3489">
          <cell r="A3489" t="str">
            <v>19-03488</v>
          </cell>
          <cell r="B3489" t="str">
            <v>SUPER XTRA</v>
          </cell>
          <cell r="C3489" t="str">
            <v>A</v>
          </cell>
          <cell r="D3489" t="str">
            <v>N/A</v>
          </cell>
          <cell r="E3489" t="str">
            <v>BAYER TABCIN LIQUID GELS NOCHE 60 CAPSULAS</v>
          </cell>
          <cell r="F3489" t="str">
            <v>MEDICINA</v>
          </cell>
          <cell r="G3489">
            <v>10122479</v>
          </cell>
          <cell r="H3489" t="str">
            <v>BAYER</v>
          </cell>
          <cell r="I3489">
            <v>0.65</v>
          </cell>
        </row>
        <row r="3490">
          <cell r="A3490" t="str">
            <v>19-03489</v>
          </cell>
          <cell r="B3490" t="str">
            <v>SUPER XTRA</v>
          </cell>
          <cell r="C3490" t="str">
            <v>A</v>
          </cell>
          <cell r="D3490" t="str">
            <v>N/A</v>
          </cell>
          <cell r="E3490" t="str">
            <v>BAYER TABCIN LIQUID GELS TOS 60 CAPSULAS</v>
          </cell>
          <cell r="F3490" t="str">
            <v>MEDICINA</v>
          </cell>
          <cell r="G3490">
            <v>10120133</v>
          </cell>
          <cell r="H3490" t="str">
            <v>BAYER</v>
          </cell>
          <cell r="I3490">
            <v>4.54</v>
          </cell>
        </row>
        <row r="3491">
          <cell r="A3491" t="str">
            <v>19-03490</v>
          </cell>
          <cell r="B3491" t="str">
            <v>SUPER XTRA</v>
          </cell>
          <cell r="C3491" t="str">
            <v>A</v>
          </cell>
          <cell r="D3491" t="str">
            <v>N/A</v>
          </cell>
          <cell r="E3491" t="str">
            <v>CAREFREE  MULTYPANTY 25 UND</v>
          </cell>
          <cell r="F3491" t="str">
            <v>TOALLA</v>
          </cell>
          <cell r="H3491" t="str">
            <v>CAREFREE</v>
          </cell>
          <cell r="I3491">
            <v>1.77</v>
          </cell>
        </row>
        <row r="3492">
          <cell r="A3492" t="str">
            <v>19-03491</v>
          </cell>
          <cell r="B3492" t="str">
            <v>SUPER XTRA</v>
          </cell>
          <cell r="C3492" t="str">
            <v>A</v>
          </cell>
          <cell r="D3492" t="str">
            <v>N/A</v>
          </cell>
          <cell r="E3492" t="str">
            <v>CAREFREE BRISA 15UND</v>
          </cell>
          <cell r="F3492" t="str">
            <v>TOALLA</v>
          </cell>
          <cell r="H3492" t="str">
            <v>CAREFREE</v>
          </cell>
          <cell r="I3492">
            <v>1.17</v>
          </cell>
        </row>
        <row r="3493">
          <cell r="A3493" t="str">
            <v>19-03492</v>
          </cell>
          <cell r="B3493" t="str">
            <v>SUPER XTRA</v>
          </cell>
          <cell r="C3493" t="str">
            <v>A</v>
          </cell>
          <cell r="D3493" t="str">
            <v>N/A</v>
          </cell>
          <cell r="E3493" t="str">
            <v>CAREFREE REGULAR 15UND</v>
          </cell>
          <cell r="F3493" t="str">
            <v>TOALLA</v>
          </cell>
          <cell r="H3493" t="str">
            <v>CAREFREE</v>
          </cell>
          <cell r="I3493">
            <v>0</v>
          </cell>
        </row>
        <row r="3494">
          <cell r="A3494" t="str">
            <v>19-03493</v>
          </cell>
          <cell r="B3494" t="str">
            <v>SUPER XTRA</v>
          </cell>
          <cell r="C3494" t="str">
            <v>A</v>
          </cell>
          <cell r="D3494" t="str">
            <v>N/A</v>
          </cell>
          <cell r="E3494" t="str">
            <v>COLGATE CREMA DENTAL PROF. ENC.SALUDABLE</v>
          </cell>
          <cell r="F3494" t="str">
            <v>PASTA DENTAL</v>
          </cell>
          <cell r="H3494" t="str">
            <v>COLGATE</v>
          </cell>
          <cell r="I3494">
            <v>0</v>
          </cell>
        </row>
        <row r="3495">
          <cell r="A3495" t="str">
            <v>19-03494</v>
          </cell>
          <cell r="B3495" t="str">
            <v>SUPER XTRA</v>
          </cell>
          <cell r="C3495" t="str">
            <v>A</v>
          </cell>
          <cell r="D3495" t="str">
            <v>N/A</v>
          </cell>
          <cell r="E3495" t="str">
            <v>COLGATE CREMA DENTL TOTAL WHITENING 75ML</v>
          </cell>
          <cell r="F3495" t="str">
            <v>PASTA DENTAL</v>
          </cell>
          <cell r="H3495" t="str">
            <v>COLGATE</v>
          </cell>
          <cell r="I3495">
            <v>2.75</v>
          </cell>
        </row>
        <row r="3496">
          <cell r="A3496" t="str">
            <v>19-03495</v>
          </cell>
          <cell r="B3496" t="str">
            <v>SUPER XTRA</v>
          </cell>
          <cell r="C3496" t="str">
            <v>A</v>
          </cell>
          <cell r="D3496" t="str">
            <v>N/A</v>
          </cell>
          <cell r="E3496" t="str">
            <v>COLGATE TB SURROUND MICROSONIC SOFT</v>
          </cell>
          <cell r="F3496" t="str">
            <v>CEPILLO DENTAL</v>
          </cell>
          <cell r="H3496" t="str">
            <v>COLGATE</v>
          </cell>
          <cell r="I3496">
            <v>0</v>
          </cell>
        </row>
        <row r="3497">
          <cell r="A3497" t="str">
            <v>19-03496</v>
          </cell>
          <cell r="B3497" t="str">
            <v>SUPER XTRA</v>
          </cell>
          <cell r="C3497" t="str">
            <v>A</v>
          </cell>
          <cell r="D3497" t="str">
            <v>N/A</v>
          </cell>
          <cell r="E3497" t="str">
            <v>CUBRECEPILLO 4 CUBIERTA ANTIBACTERIAL</v>
          </cell>
          <cell r="F3497" t="str">
            <v>CASE</v>
          </cell>
          <cell r="H3497" t="str">
            <v>COLGATE</v>
          </cell>
          <cell r="I3497">
            <v>0</v>
          </cell>
        </row>
        <row r="3498">
          <cell r="A3498" t="str">
            <v>19-03497</v>
          </cell>
          <cell r="B3498" t="str">
            <v>SUPER XTRA</v>
          </cell>
          <cell r="C3498" t="str">
            <v>A</v>
          </cell>
          <cell r="D3498" t="str">
            <v>N/A</v>
          </cell>
          <cell r="E3498" t="str">
            <v>CURAD SESAME STREET/ 20 UN</v>
          </cell>
          <cell r="F3498" t="str">
            <v>CURITA</v>
          </cell>
          <cell r="H3498" t="str">
            <v>CURAD</v>
          </cell>
          <cell r="I3498">
            <v>4.0999999999999996</v>
          </cell>
        </row>
        <row r="3499">
          <cell r="A3499" t="str">
            <v>19-03498</v>
          </cell>
          <cell r="B3499" t="str">
            <v>SUPER XTRA</v>
          </cell>
          <cell r="C3499" t="str">
            <v>A</v>
          </cell>
          <cell r="D3499" t="str">
            <v>N/A</v>
          </cell>
          <cell r="E3499" t="str">
            <v>CURE BAND PREMIUM IMPERMIABLE X 30</v>
          </cell>
          <cell r="F3499" t="str">
            <v>CURITA</v>
          </cell>
          <cell r="H3499" t="str">
            <v>CURE BAND</v>
          </cell>
          <cell r="I3499">
            <v>1.69</v>
          </cell>
        </row>
        <row r="3500">
          <cell r="A3500" t="str">
            <v>19-03499</v>
          </cell>
          <cell r="B3500" t="str">
            <v>SUPER XTRA</v>
          </cell>
          <cell r="C3500" t="str">
            <v>A</v>
          </cell>
          <cell r="D3500" t="str">
            <v>N/A</v>
          </cell>
          <cell r="E3500" t="str">
            <v>DOVE DEO STICK AP PEPINO TE VERDE 12X50G</v>
          </cell>
          <cell r="F3500" t="str">
            <v>BODY CARE</v>
          </cell>
          <cell r="H3500" t="str">
            <v>DOVE</v>
          </cell>
          <cell r="I3500">
            <v>4.29</v>
          </cell>
        </row>
        <row r="3501">
          <cell r="A3501" t="str">
            <v>19-03500</v>
          </cell>
          <cell r="B3501" t="str">
            <v>SUPER XTRA</v>
          </cell>
          <cell r="C3501" t="str">
            <v>A</v>
          </cell>
          <cell r="D3501" t="str">
            <v>N/A</v>
          </cell>
          <cell r="E3501" t="str">
            <v>DOVE DEO STICK CLEAR TONE 50GR</v>
          </cell>
          <cell r="F3501" t="str">
            <v>BODY CARE</v>
          </cell>
          <cell r="H3501" t="str">
            <v>DOVE</v>
          </cell>
          <cell r="I3501">
            <v>0</v>
          </cell>
        </row>
        <row r="3502">
          <cell r="A3502" t="str">
            <v>19-03501</v>
          </cell>
          <cell r="B3502" t="str">
            <v>SUPER XTRA</v>
          </cell>
          <cell r="C3502" t="str">
            <v>A</v>
          </cell>
          <cell r="D3502" t="str">
            <v>N/A</v>
          </cell>
          <cell r="E3502" t="str">
            <v>DOVE DEO STICK ORIGINAL 50GR</v>
          </cell>
          <cell r="F3502" t="str">
            <v>BODY CARE</v>
          </cell>
          <cell r="H3502" t="str">
            <v>DOVE</v>
          </cell>
          <cell r="I3502">
            <v>4.29</v>
          </cell>
        </row>
        <row r="3503">
          <cell r="A3503" t="str">
            <v>19-03502</v>
          </cell>
          <cell r="B3503" t="str">
            <v>SUPER XTRA</v>
          </cell>
          <cell r="C3503" t="str">
            <v>A</v>
          </cell>
          <cell r="D3503" t="str">
            <v>N/A</v>
          </cell>
          <cell r="E3503" t="str">
            <v>DURACELL AA TWIN PACK 1.5V</v>
          </cell>
          <cell r="F3503" t="str">
            <v>BATERIES</v>
          </cell>
          <cell r="H3503" t="str">
            <v>DURACELL</v>
          </cell>
          <cell r="I3503">
            <v>0</v>
          </cell>
        </row>
        <row r="3504">
          <cell r="A3504" t="str">
            <v>19-03503</v>
          </cell>
          <cell r="B3504" t="str">
            <v>SUPER XTRA</v>
          </cell>
          <cell r="C3504" t="str">
            <v>A</v>
          </cell>
          <cell r="D3504" t="str">
            <v>N/A</v>
          </cell>
          <cell r="E3504" t="str">
            <v>DURACELL TWIN PACK 1.5 V TIPO AAA</v>
          </cell>
          <cell r="F3504" t="str">
            <v>BATERIES</v>
          </cell>
          <cell r="H3504" t="str">
            <v>DURACELL</v>
          </cell>
          <cell r="I3504">
            <v>2.17</v>
          </cell>
        </row>
        <row r="3505">
          <cell r="A3505" t="str">
            <v>19-03504</v>
          </cell>
          <cell r="B3505" t="str">
            <v>SUPER XTRA</v>
          </cell>
          <cell r="C3505" t="str">
            <v>A</v>
          </cell>
          <cell r="D3505" t="str">
            <v>N/A</v>
          </cell>
          <cell r="E3505" t="str">
            <v>KLEENEX FAC HUM SENSATIONS MIX 42X1X15</v>
          </cell>
          <cell r="F3505" t="str">
            <v>WIPES</v>
          </cell>
          <cell r="H3505" t="str">
            <v>KLEENEX</v>
          </cell>
          <cell r="I3505">
            <v>0.99</v>
          </cell>
        </row>
        <row r="3506">
          <cell r="A3506" t="str">
            <v>19-03505</v>
          </cell>
          <cell r="B3506" t="str">
            <v>SUPER XTRA</v>
          </cell>
          <cell r="C3506" t="str">
            <v>A</v>
          </cell>
          <cell r="D3506" t="str">
            <v>N/A</v>
          </cell>
          <cell r="E3506" t="str">
            <v>KLEENEX FAC POCKET 3 PLY 36/4/10</v>
          </cell>
          <cell r="F3506" t="str">
            <v>WIPES</v>
          </cell>
          <cell r="H3506" t="str">
            <v>KLEENEX</v>
          </cell>
          <cell r="I3506">
            <v>1.5</v>
          </cell>
        </row>
        <row r="3507">
          <cell r="A3507" t="str">
            <v>19-03506</v>
          </cell>
          <cell r="B3507" t="str">
            <v>SUPER XTRA</v>
          </cell>
          <cell r="C3507" t="str">
            <v>A</v>
          </cell>
          <cell r="D3507" t="str">
            <v>N/A</v>
          </cell>
          <cell r="E3507" t="str">
            <v>KLEENEX GAC POCKET DERMOSEDFA 3PLY</v>
          </cell>
          <cell r="F3507" t="str">
            <v>WIPES</v>
          </cell>
          <cell r="H3507" t="str">
            <v>KLEENEX</v>
          </cell>
          <cell r="I3507">
            <v>0</v>
          </cell>
        </row>
        <row r="3508">
          <cell r="A3508" t="str">
            <v>19-03507</v>
          </cell>
          <cell r="B3508" t="str">
            <v>SUPER XTRA</v>
          </cell>
          <cell r="C3508" t="str">
            <v>A</v>
          </cell>
          <cell r="D3508" t="str">
            <v>N/A</v>
          </cell>
          <cell r="E3508" t="str">
            <v>GILLETTE DES BARRA AP COOL WAVE 50G</v>
          </cell>
          <cell r="F3508" t="str">
            <v>BODY CARE</v>
          </cell>
          <cell r="H3508" t="str">
            <v>GILLETTE</v>
          </cell>
          <cell r="I3508">
            <v>0</v>
          </cell>
        </row>
        <row r="3509">
          <cell r="A3509" t="str">
            <v>19-03508</v>
          </cell>
          <cell r="B3509" t="str">
            <v>SUPER XTRA</v>
          </cell>
          <cell r="C3509" t="str">
            <v>A</v>
          </cell>
          <cell r="D3509" t="str">
            <v>N/A</v>
          </cell>
          <cell r="E3509" t="str">
            <v>GILLETTE DES INV SOLIDO AP SPORT 50 G</v>
          </cell>
          <cell r="F3509" t="str">
            <v>BODY CARE</v>
          </cell>
          <cell r="H3509" t="str">
            <v>GILLETTE</v>
          </cell>
          <cell r="I3509">
            <v>3.21</v>
          </cell>
        </row>
        <row r="3510">
          <cell r="A3510" t="str">
            <v>19-03509</v>
          </cell>
          <cell r="B3510" t="str">
            <v>SUPER XTRA</v>
          </cell>
          <cell r="C3510" t="str">
            <v>A</v>
          </cell>
          <cell r="D3510" t="str">
            <v>N/A</v>
          </cell>
          <cell r="E3510" t="str">
            <v>COLGATE HILO DENTAL TOT FLOUR MENTA 25M</v>
          </cell>
          <cell r="F3510" t="str">
            <v>HILO DENTAL</v>
          </cell>
          <cell r="H3510" t="str">
            <v>COLGATE</v>
          </cell>
          <cell r="I3510">
            <v>2.19</v>
          </cell>
        </row>
        <row r="3511">
          <cell r="A3511" t="str">
            <v>19-03510</v>
          </cell>
          <cell r="B3511" t="str">
            <v>SUPER XTRA</v>
          </cell>
          <cell r="C3511" t="str">
            <v>D</v>
          </cell>
          <cell r="D3511" t="str">
            <v>N/A</v>
          </cell>
          <cell r="E3511" t="str">
            <v>HUGGIES TOA HUM ACTIVE FRESH FLO TOP 24X50</v>
          </cell>
          <cell r="F3511" t="str">
            <v>WIPES</v>
          </cell>
          <cell r="H3511" t="str">
            <v>HUGGIES</v>
          </cell>
          <cell r="I3511">
            <v>0</v>
          </cell>
        </row>
        <row r="3512">
          <cell r="A3512" t="str">
            <v>19-03511</v>
          </cell>
          <cell r="B3512" t="str">
            <v>SUPER XTRA</v>
          </cell>
          <cell r="C3512" t="str">
            <v>D</v>
          </cell>
          <cell r="D3512" t="str">
            <v>N/A</v>
          </cell>
          <cell r="E3512" t="str">
            <v>HUGGIES REFILL WIPES CUCUMBER 64 CT DISCONTINUED</v>
          </cell>
          <cell r="F3512" t="str">
            <v>WIPES</v>
          </cell>
          <cell r="H3512" t="str">
            <v>HUGGIES</v>
          </cell>
          <cell r="I3512">
            <v>3.56</v>
          </cell>
        </row>
        <row r="3513">
          <cell r="A3513" t="str">
            <v>19-03512</v>
          </cell>
          <cell r="B3513" t="str">
            <v>SUPER XTRA</v>
          </cell>
          <cell r="C3513" t="str">
            <v>A</v>
          </cell>
          <cell r="D3513" t="str">
            <v>N/A</v>
          </cell>
          <cell r="E3513" t="str">
            <v>PB3 HALF BLISTER X 2 SENSE CARE</v>
          </cell>
          <cell r="F3513" t="str">
            <v>LAPIZ LABIAL</v>
          </cell>
          <cell r="H3513" t="str">
            <v>PB3</v>
          </cell>
          <cell r="I3513">
            <v>0</v>
          </cell>
        </row>
        <row r="3514">
          <cell r="A3514" t="str">
            <v>19-03513</v>
          </cell>
          <cell r="B3514" t="str">
            <v>SUPER XTRA</v>
          </cell>
          <cell r="C3514" t="str">
            <v>A</v>
          </cell>
          <cell r="D3514" t="str">
            <v>N/A</v>
          </cell>
          <cell r="E3514" t="str">
            <v>PEPTO BISMOL LIQ 118ML/4ONZ</v>
          </cell>
          <cell r="F3514" t="str">
            <v>MEDICINA</v>
          </cell>
          <cell r="H3514" t="str">
            <v>PEPTO BISMOL</v>
          </cell>
          <cell r="I3514">
            <v>3.55</v>
          </cell>
        </row>
        <row r="3515">
          <cell r="A3515" t="str">
            <v>19-03514</v>
          </cell>
          <cell r="B3515" t="str">
            <v>SUPER XTRA</v>
          </cell>
          <cell r="C3515" t="str">
            <v>A</v>
          </cell>
          <cell r="D3515" t="str">
            <v>N/A</v>
          </cell>
          <cell r="E3515" t="str">
            <v>PFIZER CHAPSTICK YERBA BUENA X 1</v>
          </cell>
          <cell r="F3515" t="str">
            <v>LAPIZ LABIAL</v>
          </cell>
          <cell r="H3515" t="str">
            <v>PFIZER</v>
          </cell>
          <cell r="I3515">
            <v>2.77</v>
          </cell>
        </row>
        <row r="3516">
          <cell r="A3516" t="str">
            <v>19-03515</v>
          </cell>
          <cell r="B3516" t="str">
            <v>SUPER XTRA</v>
          </cell>
          <cell r="C3516" t="str">
            <v>D</v>
          </cell>
          <cell r="D3516" t="str">
            <v>N/A</v>
          </cell>
          <cell r="E3516" t="str">
            <v>SABA WET WIPES 12 S DISCONTINUED</v>
          </cell>
          <cell r="F3516" t="str">
            <v>WIPES</v>
          </cell>
          <cell r="H3516" t="str">
            <v>SABA</v>
          </cell>
          <cell r="I3516">
            <v>1.92</v>
          </cell>
        </row>
        <row r="3517">
          <cell r="A3517" t="str">
            <v>19-03516</v>
          </cell>
          <cell r="B3517" t="str">
            <v>SUPER XTRA</v>
          </cell>
          <cell r="C3517" t="str">
            <v>A</v>
          </cell>
          <cell r="D3517" t="str">
            <v>N/A</v>
          </cell>
          <cell r="E3517" t="str">
            <v>WHITEHALL CHAP STICK LIP FRUTA SALVAJE</v>
          </cell>
          <cell r="F3517" t="str">
            <v>LAPIZ LABIAL</v>
          </cell>
          <cell r="H3517" t="str">
            <v>WHITEHALL</v>
          </cell>
          <cell r="I3517">
            <v>2.4900000000000002</v>
          </cell>
        </row>
        <row r="3518">
          <cell r="A3518" t="str">
            <v>19-03517</v>
          </cell>
          <cell r="B3518" t="str">
            <v>DIST. LEWIS</v>
          </cell>
          <cell r="C3518" t="str">
            <v>A</v>
          </cell>
          <cell r="D3518" t="str">
            <v>NO</v>
          </cell>
          <cell r="E3518" t="str">
            <v>365 WAYS TO BOOST YOUR METABOLISM - LAFERRIERE,R.,MS,RD</v>
          </cell>
          <cell r="F3518" t="str">
            <v>LIBRO</v>
          </cell>
          <cell r="G3518">
            <v>520417001</v>
          </cell>
          <cell r="H3518" t="str">
            <v>DIST. LEWIS</v>
          </cell>
          <cell r="I3518">
            <v>4.5199999999999996</v>
          </cell>
        </row>
        <row r="3519">
          <cell r="A3519" t="str">
            <v>19-03518</v>
          </cell>
          <cell r="B3519" t="str">
            <v>DIST. LEWIS</v>
          </cell>
          <cell r="C3519" t="str">
            <v>A</v>
          </cell>
          <cell r="D3519" t="str">
            <v>NO</v>
          </cell>
          <cell r="E3519" t="str">
            <v>CANCER FIGHT IT WHIT THE BLOOD TYPE - D'ADAMO,PETER</v>
          </cell>
          <cell r="F3519" t="str">
            <v>LIBRO</v>
          </cell>
          <cell r="G3519">
            <v>40188</v>
          </cell>
          <cell r="H3519" t="str">
            <v>DIST. LEWIS</v>
          </cell>
          <cell r="I3519">
            <v>10.08</v>
          </cell>
        </row>
        <row r="3520">
          <cell r="A3520" t="str">
            <v>19-03519</v>
          </cell>
          <cell r="B3520" t="str">
            <v>DIST. LEWIS</v>
          </cell>
          <cell r="C3520" t="str">
            <v>A</v>
          </cell>
          <cell r="D3520" t="str">
            <v>NO</v>
          </cell>
          <cell r="E3520" t="str">
            <v>CONFIDENCE SOLUTION,THE - JOHSON,KEITH</v>
          </cell>
          <cell r="F3520" t="str">
            <v>LIBRO</v>
          </cell>
          <cell r="G3520">
            <v>520416025</v>
          </cell>
          <cell r="H3520" t="str">
            <v>DIST. LEWIS</v>
          </cell>
          <cell r="I3520">
            <v>10.37</v>
          </cell>
        </row>
        <row r="3521">
          <cell r="A3521" t="str">
            <v>19-03520</v>
          </cell>
          <cell r="B3521" t="str">
            <v>DIST. LEWIS</v>
          </cell>
          <cell r="C3521" t="str">
            <v>A</v>
          </cell>
          <cell r="D3521" t="str">
            <v>NO</v>
          </cell>
          <cell r="E3521" t="str">
            <v>CORAZONES BLANCOS - ORTEGO,REY ENRIQUE</v>
          </cell>
          <cell r="F3521" t="str">
            <v>LIBRO</v>
          </cell>
          <cell r="G3521">
            <v>522601793</v>
          </cell>
          <cell r="H3521" t="str">
            <v>DIST. LEWIS</v>
          </cell>
          <cell r="I3521">
            <v>18.82</v>
          </cell>
        </row>
        <row r="3522">
          <cell r="A3522" t="str">
            <v>19-03521</v>
          </cell>
          <cell r="B3522" t="str">
            <v>DIST. LEWIS</v>
          </cell>
          <cell r="C3522" t="str">
            <v>A</v>
          </cell>
          <cell r="D3522" t="str">
            <v>NO</v>
          </cell>
          <cell r="E3522" t="str">
            <v>DULCES SUENOS - MANERU,MARIA</v>
          </cell>
          <cell r="F3522" t="str">
            <v>LIBRO</v>
          </cell>
          <cell r="G3522">
            <v>510501683</v>
          </cell>
          <cell r="H3522" t="str">
            <v>DIST. LEWIS</v>
          </cell>
          <cell r="I3522">
            <v>0</v>
          </cell>
        </row>
        <row r="3523">
          <cell r="A3523" t="str">
            <v>19-03522</v>
          </cell>
          <cell r="B3523" t="str">
            <v>DIST. LEWIS</v>
          </cell>
          <cell r="C3523" t="str">
            <v>A</v>
          </cell>
          <cell r="D3523" t="str">
            <v>NO</v>
          </cell>
          <cell r="E3523" t="str">
            <v>EN BUSCA DEL GATITO REVOLTOSO-TOCO - LATINBOOK</v>
          </cell>
          <cell r="F3523" t="str">
            <v>LIBRO</v>
          </cell>
          <cell r="G3523">
            <v>522901557</v>
          </cell>
          <cell r="H3523" t="str">
            <v>DIST. LEWIS</v>
          </cell>
          <cell r="I3523">
            <v>4.5199999999999996</v>
          </cell>
        </row>
        <row r="3524">
          <cell r="A3524" t="str">
            <v>19-03523</v>
          </cell>
          <cell r="B3524" t="str">
            <v>DIST. LEWIS</v>
          </cell>
          <cell r="C3524" t="str">
            <v>A</v>
          </cell>
          <cell r="D3524" t="str">
            <v>NO</v>
          </cell>
          <cell r="E3524" t="str">
            <v>ERT-WINTER FLOWERS JOURNAL -FTBB-26</v>
          </cell>
          <cell r="F3524" t="str">
            <v>LIBRO</v>
          </cell>
          <cell r="G3524">
            <v>1701457</v>
          </cell>
          <cell r="H3524" t="str">
            <v>DIST. LEWIS</v>
          </cell>
          <cell r="I3524">
            <v>0</v>
          </cell>
        </row>
        <row r="3525">
          <cell r="A3525" t="str">
            <v>19-03524</v>
          </cell>
          <cell r="B3525" t="str">
            <v>DIST. LEWIS</v>
          </cell>
          <cell r="C3525" t="str">
            <v>A</v>
          </cell>
          <cell r="D3525" t="str">
            <v>NO</v>
          </cell>
          <cell r="E3525" t="str">
            <v>ESCAPE THE RAT RACE - KIYOSAKI,R.T.</v>
          </cell>
          <cell r="F3525" t="str">
            <v>LIBRO</v>
          </cell>
          <cell r="G3525">
            <v>520400137</v>
          </cell>
          <cell r="H3525" t="str">
            <v>DIST. LEWIS</v>
          </cell>
          <cell r="I3525">
            <v>9.7200000000000006</v>
          </cell>
        </row>
        <row r="3526">
          <cell r="A3526" t="str">
            <v>19-03525</v>
          </cell>
          <cell r="B3526" t="str">
            <v>DIST. LEWIS</v>
          </cell>
          <cell r="C3526" t="str">
            <v>A</v>
          </cell>
          <cell r="D3526" t="str">
            <v>NO</v>
          </cell>
          <cell r="E3526" t="str">
            <v>FROZEN UNA AVENTURA CONGELADA - GATO HOJALATA</v>
          </cell>
          <cell r="F3526" t="str">
            <v>LIBRO</v>
          </cell>
          <cell r="G3526">
            <v>522610374</v>
          </cell>
          <cell r="H3526" t="str">
            <v>DIST. LEWIS</v>
          </cell>
          <cell r="I3526">
            <v>4.88</v>
          </cell>
        </row>
        <row r="3527">
          <cell r="A3527" t="str">
            <v>19-03526</v>
          </cell>
          <cell r="B3527" t="str">
            <v>DIST. LEWIS</v>
          </cell>
          <cell r="C3527" t="str">
            <v>A</v>
          </cell>
          <cell r="D3527" t="str">
            <v>NO</v>
          </cell>
          <cell r="E3527" t="str">
            <v>GABO:CUATRO ANOS DE SOLEDAD - CASTRO CAYCEDO,GUSTA</v>
          </cell>
          <cell r="F3527" t="str">
            <v>LIBRO</v>
          </cell>
          <cell r="G3527">
            <v>522706427</v>
          </cell>
          <cell r="H3527" t="str">
            <v>DIST. LEWIS</v>
          </cell>
          <cell r="I3527">
            <v>15.57</v>
          </cell>
        </row>
        <row r="3528">
          <cell r="A3528" t="str">
            <v>19-03527</v>
          </cell>
          <cell r="B3528" t="str">
            <v>DIST. LEWIS</v>
          </cell>
          <cell r="C3528" t="str">
            <v>A</v>
          </cell>
          <cell r="D3528" t="str">
            <v>NO</v>
          </cell>
          <cell r="E3528" t="str">
            <v>HERMOSAS PRINCESAS - GATO DE HOJALATA</v>
          </cell>
          <cell r="F3528" t="str">
            <v>LIBRO</v>
          </cell>
          <cell r="G3528">
            <v>522610215</v>
          </cell>
          <cell r="H3528" t="str">
            <v>DIST. LEWIS</v>
          </cell>
          <cell r="I3528">
            <v>5.17</v>
          </cell>
        </row>
        <row r="3529">
          <cell r="A3529" t="str">
            <v>19-03528</v>
          </cell>
          <cell r="B3529" t="str">
            <v>DIST. LEWIS</v>
          </cell>
          <cell r="C3529" t="str">
            <v>A</v>
          </cell>
          <cell r="D3529" t="str">
            <v>NO</v>
          </cell>
          <cell r="E3529" t="str">
            <v>INSIDE COCA-COLA - ISDELL, N./B., D.</v>
          </cell>
          <cell r="F3529" t="str">
            <v>LIBRO</v>
          </cell>
          <cell r="G3529">
            <v>520404473</v>
          </cell>
          <cell r="H3529" t="str">
            <v>DIST. LEWIS</v>
          </cell>
          <cell r="I3529">
            <v>11.67</v>
          </cell>
        </row>
        <row r="3530">
          <cell r="A3530" t="str">
            <v>19-03529</v>
          </cell>
          <cell r="B3530" t="str">
            <v>DIST. LEWIS</v>
          </cell>
          <cell r="C3530" t="str">
            <v>A</v>
          </cell>
          <cell r="D3530" t="str">
            <v>NO</v>
          </cell>
          <cell r="E3530" t="str">
            <v>JEWISH BOOK OF WHY MINI,THE - KOLATCH, ALFRED</v>
          </cell>
          <cell r="F3530" t="str">
            <v>LIBRO</v>
          </cell>
          <cell r="G3530">
            <v>520400071</v>
          </cell>
          <cell r="H3530" t="str">
            <v>DIST. LEWIS</v>
          </cell>
          <cell r="I3530">
            <v>0</v>
          </cell>
        </row>
        <row r="3531">
          <cell r="A3531" t="str">
            <v>19-03530</v>
          </cell>
          <cell r="B3531" t="str">
            <v>DIST. LEWIS</v>
          </cell>
          <cell r="C3531" t="str">
            <v>A</v>
          </cell>
          <cell r="D3531" t="str">
            <v>NO</v>
          </cell>
          <cell r="E3531" t="str">
            <v>LOTHAIRE - COLE,KRESLEY</v>
          </cell>
          <cell r="F3531" t="str">
            <v>LIBRO</v>
          </cell>
          <cell r="G3531">
            <v>520513696</v>
          </cell>
          <cell r="H3531" t="str">
            <v>DIST. LEWIS</v>
          </cell>
          <cell r="I3531">
            <v>20.77</v>
          </cell>
        </row>
        <row r="3532">
          <cell r="A3532" t="str">
            <v>19-03531</v>
          </cell>
          <cell r="B3532" t="str">
            <v>DIST. LEWIS</v>
          </cell>
          <cell r="C3532" t="str">
            <v>A</v>
          </cell>
          <cell r="D3532" t="str">
            <v>NO</v>
          </cell>
          <cell r="E3532" t="str">
            <v>MAGIA DE LAS LETRAS - LIBSA</v>
          </cell>
          <cell r="F3532" t="str">
            <v>LIBRO</v>
          </cell>
          <cell r="G3532">
            <v>510501747</v>
          </cell>
          <cell r="H3532" t="str">
            <v>DIST. LEWIS</v>
          </cell>
          <cell r="I3532">
            <v>0</v>
          </cell>
        </row>
        <row r="3533">
          <cell r="A3533" t="str">
            <v>19-03532</v>
          </cell>
          <cell r="B3533" t="str">
            <v>DIST. LEWIS</v>
          </cell>
          <cell r="C3533" t="str">
            <v>A</v>
          </cell>
          <cell r="D3533" t="str">
            <v>NO</v>
          </cell>
          <cell r="E3533" t="str">
            <v>MANCHITAS -A- LAGARTIJA-PARA COLORE - SIGMAR</v>
          </cell>
          <cell r="F3533" t="str">
            <v>LIBRO</v>
          </cell>
          <cell r="G3533">
            <v>522202708</v>
          </cell>
          <cell r="H3533" t="str">
            <v>DIST. LEWIS</v>
          </cell>
          <cell r="I3533">
            <v>1.63</v>
          </cell>
        </row>
        <row r="3534">
          <cell r="A3534" t="str">
            <v>19-03533</v>
          </cell>
          <cell r="B3534" t="str">
            <v>DIST. LEWIS</v>
          </cell>
          <cell r="C3534" t="str">
            <v>A</v>
          </cell>
          <cell r="D3534" t="str">
            <v>NO</v>
          </cell>
          <cell r="E3534" t="str">
            <v>MANCHITAS F- POTE BROCHA -PARA COLO - SIGMAR</v>
          </cell>
          <cell r="F3534" t="str">
            <v>LIBRO</v>
          </cell>
          <cell r="G3534">
            <v>522202713</v>
          </cell>
          <cell r="H3534" t="str">
            <v>DIST. LEWIS</v>
          </cell>
          <cell r="I3534">
            <v>0</v>
          </cell>
        </row>
        <row r="3535">
          <cell r="A3535" t="str">
            <v>19-03534</v>
          </cell>
          <cell r="B3535" t="str">
            <v>DIST. LEWIS</v>
          </cell>
          <cell r="C3535" t="str">
            <v>A</v>
          </cell>
          <cell r="D3535" t="str">
            <v>NO</v>
          </cell>
          <cell r="E3535" t="str">
            <v>MUNDO PREHISTORICO - VIDA PRIMITIVA - DIXON,DOUGLAS</v>
          </cell>
          <cell r="F3535" t="str">
            <v>LIBRO</v>
          </cell>
          <cell r="G3535">
            <v>522202817</v>
          </cell>
          <cell r="H3535" t="str">
            <v>DIST. LEWIS</v>
          </cell>
          <cell r="I3535">
            <v>5.82</v>
          </cell>
        </row>
        <row r="3536">
          <cell r="A3536" t="str">
            <v>19-03535</v>
          </cell>
          <cell r="B3536" t="str">
            <v>DIST. LEWIS</v>
          </cell>
          <cell r="C3536" t="str">
            <v>A</v>
          </cell>
          <cell r="D3536" t="str">
            <v>NO</v>
          </cell>
          <cell r="E3536" t="str">
            <v>MUNDO PREHISTORICO-VIDA EN EL JURAS - DIXON,DOUGLAS</v>
          </cell>
          <cell r="F3536" t="str">
            <v>LIBRO</v>
          </cell>
          <cell r="G3536">
            <v>522202816</v>
          </cell>
          <cell r="H3536" t="str">
            <v>DIST. LEWIS</v>
          </cell>
          <cell r="I3536">
            <v>5.82</v>
          </cell>
        </row>
        <row r="3537">
          <cell r="A3537" t="str">
            <v>19-03536</v>
          </cell>
          <cell r="B3537" t="str">
            <v>DIST. LEWIS</v>
          </cell>
          <cell r="C3537" t="str">
            <v>A</v>
          </cell>
          <cell r="D3537" t="str">
            <v>NO</v>
          </cell>
          <cell r="E3537" t="str">
            <v>NIRVANA: THE LAST NIGHTMARE - OSHO</v>
          </cell>
          <cell r="F3537" t="str">
            <v>LIBRO</v>
          </cell>
          <cell r="G3537">
            <v>520400220</v>
          </cell>
          <cell r="H3537" t="str">
            <v>DIST. LEWIS</v>
          </cell>
          <cell r="I3537">
            <v>9.43</v>
          </cell>
        </row>
        <row r="3538">
          <cell r="A3538" t="str">
            <v>19-03537</v>
          </cell>
          <cell r="B3538" t="str">
            <v>DIST. LEWIS</v>
          </cell>
          <cell r="C3538" t="str">
            <v>A</v>
          </cell>
          <cell r="D3538" t="str">
            <v>NO</v>
          </cell>
          <cell r="E3538" t="str">
            <v>ONLY YOU - KRAMER B., RACHEL</v>
          </cell>
          <cell r="F3538" t="str">
            <v>LIBRO</v>
          </cell>
          <cell r="G3538">
            <v>520400109</v>
          </cell>
          <cell r="H3538" t="str">
            <v>DIST. LEWIS</v>
          </cell>
          <cell r="I3538">
            <v>11.67</v>
          </cell>
        </row>
        <row r="3539">
          <cell r="A3539" t="str">
            <v>19-03538</v>
          </cell>
          <cell r="B3539" t="str">
            <v>DIST. LEWIS</v>
          </cell>
          <cell r="C3539" t="str">
            <v>A</v>
          </cell>
          <cell r="D3539" t="str">
            <v>NO</v>
          </cell>
          <cell r="E3539" t="str">
            <v>PANAMA HAT TRAIL,THE - MILLER,TOM</v>
          </cell>
          <cell r="F3539" t="str">
            <v>LIBRO</v>
          </cell>
          <cell r="G3539">
            <v>520512566</v>
          </cell>
          <cell r="H3539" t="str">
            <v>DIST. LEWIS</v>
          </cell>
          <cell r="I3539">
            <v>11.67</v>
          </cell>
        </row>
        <row r="3540">
          <cell r="A3540" t="str">
            <v>19-03539</v>
          </cell>
          <cell r="B3540" t="str">
            <v>DIST. LEWIS</v>
          </cell>
          <cell r="C3540" t="str">
            <v>A</v>
          </cell>
          <cell r="D3540" t="str">
            <v>NO</v>
          </cell>
          <cell r="E3540" t="str">
            <v>PANAMA HC - HIATT,SHELBY</v>
          </cell>
          <cell r="F3540" t="str">
            <v>LIBRO</v>
          </cell>
          <cell r="G3540">
            <v>520515049</v>
          </cell>
          <cell r="H3540" t="str">
            <v>DIST. LEWIS</v>
          </cell>
          <cell r="I3540">
            <v>12.34</v>
          </cell>
        </row>
        <row r="3541">
          <cell r="A3541" t="str">
            <v>19-03540</v>
          </cell>
          <cell r="B3541" t="str">
            <v>DIST. LEWIS</v>
          </cell>
          <cell r="C3541" t="str">
            <v>A</v>
          </cell>
          <cell r="D3541" t="str">
            <v>NO</v>
          </cell>
          <cell r="E3541" t="str">
            <v>PINTEMOS A BRUNO - ARTEMISA</v>
          </cell>
          <cell r="F3541" t="str">
            <v>LIBRO</v>
          </cell>
          <cell r="G3541">
            <v>522903905</v>
          </cell>
          <cell r="H3541" t="str">
            <v>DIST. LEWIS</v>
          </cell>
          <cell r="I3541">
            <v>0</v>
          </cell>
        </row>
        <row r="3542">
          <cell r="A3542" t="str">
            <v>19-03541</v>
          </cell>
          <cell r="B3542" t="str">
            <v>DIST. LEWIS</v>
          </cell>
          <cell r="C3542" t="str">
            <v>A</v>
          </cell>
          <cell r="D3542" t="str">
            <v>NO</v>
          </cell>
          <cell r="E3542" t="str">
            <v>PINTOCOLOR - MAXILIBRO PARA COLOREA - ARTEMISA</v>
          </cell>
          <cell r="F3542" t="str">
            <v>LIBRO</v>
          </cell>
          <cell r="G3542">
            <v>522904004</v>
          </cell>
          <cell r="H3542" t="str">
            <v>DIST. LEWIS</v>
          </cell>
          <cell r="I3542">
            <v>0</v>
          </cell>
        </row>
        <row r="3543">
          <cell r="A3543" t="str">
            <v>19-03542</v>
          </cell>
          <cell r="B3543" t="str">
            <v>DIST. LEWIS</v>
          </cell>
          <cell r="C3543" t="str">
            <v>A</v>
          </cell>
          <cell r="D3543" t="str">
            <v>NO</v>
          </cell>
          <cell r="E3543" t="str">
            <v>PROOF OF HEAVEN - ALEXANDER,EBEN</v>
          </cell>
          <cell r="F3543" t="str">
            <v>LIBRO</v>
          </cell>
          <cell r="G3543">
            <v>520415535</v>
          </cell>
          <cell r="H3543" t="str">
            <v>H. MANCHA</v>
          </cell>
          <cell r="I3543">
            <v>12.925000000000001</v>
          </cell>
        </row>
        <row r="3544">
          <cell r="A3544" t="str">
            <v>19-03543</v>
          </cell>
          <cell r="B3544" t="str">
            <v>DIST. LEWIS</v>
          </cell>
          <cell r="C3544" t="str">
            <v>A</v>
          </cell>
          <cell r="D3544" t="str">
            <v>NO</v>
          </cell>
          <cell r="E3544" t="str">
            <v>PRUEBA DEL CIELO,LA - ALEXANDER,EBEN</v>
          </cell>
          <cell r="F3544" t="str">
            <v>LIBRO</v>
          </cell>
          <cell r="G3544">
            <v>520513277</v>
          </cell>
          <cell r="H3544" t="str">
            <v>DIST. LEWIS</v>
          </cell>
          <cell r="I3544">
            <v>15.083</v>
          </cell>
        </row>
        <row r="3545">
          <cell r="A3545" t="str">
            <v>19-03544</v>
          </cell>
          <cell r="B3545" t="str">
            <v>DIST. LEWIS</v>
          </cell>
          <cell r="C3545" t="str">
            <v>A</v>
          </cell>
          <cell r="D3545" t="str">
            <v>NO</v>
          </cell>
          <cell r="E3545" t="str">
            <v>RICH BROTHER RICH SISTER - KIYOSAKI,E.&amp; R.</v>
          </cell>
          <cell r="F3545" t="str">
            <v>LIBRO</v>
          </cell>
          <cell r="G3545">
            <v>520417087</v>
          </cell>
          <cell r="H3545" t="str">
            <v>DIST. LEWIS</v>
          </cell>
          <cell r="I3545">
            <v>5.82</v>
          </cell>
        </row>
        <row r="3546">
          <cell r="A3546" t="str">
            <v>19-03545</v>
          </cell>
          <cell r="B3546" t="str">
            <v>DIST. LEWIS</v>
          </cell>
          <cell r="C3546" t="str">
            <v>A</v>
          </cell>
          <cell r="D3546" t="str">
            <v>NO</v>
          </cell>
          <cell r="E3546" t="str">
            <v>SNOWDEN - GREENWALD,GLENN</v>
          </cell>
          <cell r="F3546" t="str">
            <v>LIBRO</v>
          </cell>
          <cell r="G3546">
            <v>522706432</v>
          </cell>
          <cell r="H3546" t="str">
            <v>DIST. LEWIS</v>
          </cell>
          <cell r="I3546">
            <v>0</v>
          </cell>
        </row>
        <row r="3547">
          <cell r="A3547" t="str">
            <v>19-03546</v>
          </cell>
          <cell r="B3547" t="str">
            <v>DIST. LEWIS</v>
          </cell>
          <cell r="C3547" t="str">
            <v>A</v>
          </cell>
          <cell r="D3547" t="str">
            <v>NO</v>
          </cell>
          <cell r="E3547" t="str">
            <v>UN ZOO DE GANCHILLO - KREINER,MEGAN</v>
          </cell>
          <cell r="F3547" t="str">
            <v>LIBRO</v>
          </cell>
          <cell r="G3547">
            <v>522803761</v>
          </cell>
          <cell r="H3547" t="str">
            <v>DIST. LEWIS</v>
          </cell>
          <cell r="I3547">
            <v>16.22</v>
          </cell>
        </row>
        <row r="3548">
          <cell r="A3548" t="str">
            <v>19-03547</v>
          </cell>
          <cell r="B3548" t="str">
            <v>DIST. LEWIS</v>
          </cell>
          <cell r="C3548" t="str">
            <v>A</v>
          </cell>
          <cell r="D3548" t="str">
            <v>NO</v>
          </cell>
          <cell r="E3548" t="str">
            <v>VEGETARIAN CUISINE</v>
          </cell>
          <cell r="F3548" t="str">
            <v>LIBRO</v>
          </cell>
          <cell r="G3548">
            <v>1201019</v>
          </cell>
          <cell r="H3548" t="str">
            <v>DIST. LEWIS</v>
          </cell>
          <cell r="I3548">
            <v>2.93</v>
          </cell>
        </row>
        <row r="3549">
          <cell r="A3549" t="str">
            <v>19-03548</v>
          </cell>
          <cell r="B3549" t="str">
            <v>DIST. LEWIS</v>
          </cell>
          <cell r="C3549" t="str">
            <v>A</v>
          </cell>
          <cell r="D3549" t="str">
            <v>NO</v>
          </cell>
          <cell r="E3549" t="str">
            <v>VENUS AL ROJO VIVO,MARTE BAJO CERO - GRAY,JOHN</v>
          </cell>
          <cell r="F3549" t="str">
            <v>LIBRO</v>
          </cell>
          <cell r="G3549">
            <v>522300962</v>
          </cell>
          <cell r="H3549" t="str">
            <v>DIST. LEWIS</v>
          </cell>
          <cell r="I3549">
            <v>18.170000000000002</v>
          </cell>
        </row>
        <row r="3550">
          <cell r="A3550" t="str">
            <v>19-03549</v>
          </cell>
          <cell r="B3550" t="str">
            <v>DIST. LEWIS</v>
          </cell>
          <cell r="C3550" t="str">
            <v>A</v>
          </cell>
          <cell r="D3550" t="str">
            <v>NO</v>
          </cell>
          <cell r="E3550" t="str">
            <v>VIOLETA EN EL BOSQUE DE LAS JOYAS - COLLINS,POPPY</v>
          </cell>
          <cell r="F3550" t="str">
            <v>LIBRO</v>
          </cell>
          <cell r="G3550">
            <v>522601891</v>
          </cell>
          <cell r="H3550" t="str">
            <v>DIST. LEWIS</v>
          </cell>
          <cell r="I3550">
            <v>0</v>
          </cell>
        </row>
        <row r="3551">
          <cell r="A3551" t="str">
            <v>19-03550</v>
          </cell>
          <cell r="B3551" t="str">
            <v>DIST. LEWIS</v>
          </cell>
          <cell r="C3551" t="str">
            <v>A</v>
          </cell>
          <cell r="D3551" t="str">
            <v>NO</v>
          </cell>
          <cell r="E3551" t="str">
            <v>VIRUS LETAL - EL COMIENZO MAZE RUNN - DASHNER,JAMES</v>
          </cell>
          <cell r="F3551" t="str">
            <v>LIBRO</v>
          </cell>
          <cell r="G3551">
            <v>521002041</v>
          </cell>
          <cell r="H3551" t="str">
            <v>DIST. LEWIS</v>
          </cell>
          <cell r="I3551">
            <v>0</v>
          </cell>
        </row>
        <row r="3552">
          <cell r="A3552" t="str">
            <v>19-03551</v>
          </cell>
          <cell r="B3552" t="str">
            <v>DIST. LEWIS</v>
          </cell>
          <cell r="C3552" t="str">
            <v>A</v>
          </cell>
          <cell r="D3552" t="str">
            <v>NO</v>
          </cell>
          <cell r="E3552" t="str">
            <v>20 MINUTE MANAGER ON GETTING WORK D - HARVARD BUSINESS REV</v>
          </cell>
          <cell r="F3552" t="str">
            <v>LIBRO</v>
          </cell>
          <cell r="G3552">
            <v>520400269</v>
          </cell>
          <cell r="H3552" t="str">
            <v>DIST. LEWIS</v>
          </cell>
          <cell r="I3552">
            <v>0</v>
          </cell>
        </row>
        <row r="3553">
          <cell r="A3553" t="str">
            <v>19-03552</v>
          </cell>
          <cell r="B3553" t="str">
            <v>DIST. LEWIS</v>
          </cell>
          <cell r="C3553" t="str">
            <v>A</v>
          </cell>
          <cell r="D3553" t="str">
            <v>NO</v>
          </cell>
          <cell r="E3553" t="str">
            <v>20 MINUTE MANAGER ON GIVING EFFECTI - HARVARD BUSINESS REV</v>
          </cell>
          <cell r="F3553" t="str">
            <v>LIBRO</v>
          </cell>
          <cell r="G3553">
            <v>520400270</v>
          </cell>
          <cell r="H3553" t="str">
            <v>DIST. LEWIS</v>
          </cell>
          <cell r="I3553">
            <v>0</v>
          </cell>
        </row>
        <row r="3554">
          <cell r="A3554" t="str">
            <v>19-03553</v>
          </cell>
          <cell r="B3554" t="str">
            <v>DIST. LEWIS</v>
          </cell>
          <cell r="C3554" t="str">
            <v>A</v>
          </cell>
          <cell r="D3554" t="str">
            <v>NO</v>
          </cell>
          <cell r="E3554" t="str">
            <v>365 WAYS TO LOOK AND FEEL YOUNGER - LESTER,M./DEAN,C.MD</v>
          </cell>
          <cell r="F3554" t="str">
            <v>LIBRO</v>
          </cell>
          <cell r="G3554">
            <v>520417002</v>
          </cell>
          <cell r="H3554" t="str">
            <v>DIST. LEWIS</v>
          </cell>
          <cell r="I3554">
            <v>4.5199999999999996</v>
          </cell>
        </row>
        <row r="3555">
          <cell r="A3555" t="str">
            <v>19-03554</v>
          </cell>
          <cell r="B3555" t="str">
            <v>DIST. LEWIS</v>
          </cell>
          <cell r="C3555" t="str">
            <v>A</v>
          </cell>
          <cell r="D3555" t="str">
            <v>NO</v>
          </cell>
          <cell r="E3555" t="str">
            <v>ASSASSIAN'S C.REVELACIONES - BOWDEN,OLIVER</v>
          </cell>
          <cell r="F3555" t="str">
            <v>LIBRO</v>
          </cell>
          <cell r="G3555">
            <v>522611290</v>
          </cell>
          <cell r="H3555" t="str">
            <v>DIST. LEWIS</v>
          </cell>
          <cell r="I3555">
            <v>11.67</v>
          </cell>
        </row>
        <row r="3556">
          <cell r="A3556" t="str">
            <v>19-03555</v>
          </cell>
          <cell r="B3556" t="str">
            <v>DIST. LEWIS</v>
          </cell>
          <cell r="C3556" t="str">
            <v>A</v>
          </cell>
          <cell r="D3556" t="str">
            <v>NO</v>
          </cell>
          <cell r="E3556" t="str">
            <v>CHICKEN SOUP SOUL POWER OF POSITIVE - CANFIELD,JACK</v>
          </cell>
          <cell r="F3556" t="str">
            <v>LIBRO</v>
          </cell>
          <cell r="G3556">
            <v>520415127</v>
          </cell>
          <cell r="H3556" t="str">
            <v>DIST. LEWIS</v>
          </cell>
          <cell r="I3556">
            <v>0</v>
          </cell>
        </row>
        <row r="3557">
          <cell r="A3557" t="str">
            <v>19-03556</v>
          </cell>
          <cell r="B3557" t="str">
            <v>H. MANCHA</v>
          </cell>
          <cell r="C3557" t="str">
            <v>D</v>
          </cell>
          <cell r="D3557" t="str">
            <v>N/A</v>
          </cell>
          <cell r="E3557" t="str">
            <v>ELEANOR &amp; PARK - ROWELL,RAINBOW</v>
          </cell>
          <cell r="F3557" t="str">
            <v>LIBRO</v>
          </cell>
          <cell r="G3557">
            <v>520511685</v>
          </cell>
          <cell r="H3557" t="str">
            <v>H. MANCHA</v>
          </cell>
          <cell r="I3557">
            <v>13.644</v>
          </cell>
        </row>
        <row r="3558">
          <cell r="A3558" t="str">
            <v>19-03557</v>
          </cell>
          <cell r="B3558" t="str">
            <v>DIST. LEWIS</v>
          </cell>
          <cell r="C3558" t="str">
            <v>A</v>
          </cell>
          <cell r="D3558" t="str">
            <v>NO</v>
          </cell>
          <cell r="E3558" t="str">
            <v>EMOTIONS - OSHO</v>
          </cell>
          <cell r="F3558" t="str">
            <v>LIBRO</v>
          </cell>
          <cell r="G3558">
            <v>520400226</v>
          </cell>
          <cell r="H3558" t="str">
            <v>DIST. LEWIS</v>
          </cell>
          <cell r="I3558">
            <v>9.43</v>
          </cell>
        </row>
        <row r="3559">
          <cell r="A3559" t="str">
            <v>19-03558</v>
          </cell>
          <cell r="B3559" t="str">
            <v>DIST. LEWIS</v>
          </cell>
          <cell r="C3559" t="str">
            <v>A</v>
          </cell>
          <cell r="D3559" t="str">
            <v>NO</v>
          </cell>
          <cell r="E3559" t="str">
            <v>EN LLAMAS - COLLINS,SUZANNE</v>
          </cell>
          <cell r="F3559" t="str">
            <v>LIBRO</v>
          </cell>
          <cell r="G3559">
            <v>522606834</v>
          </cell>
          <cell r="H3559" t="str">
            <v>DIST. LEWIS</v>
          </cell>
          <cell r="I3559">
            <v>0</v>
          </cell>
        </row>
        <row r="3560">
          <cell r="A3560" t="str">
            <v>19-03559</v>
          </cell>
          <cell r="B3560" t="str">
            <v>DIST. LEWIS</v>
          </cell>
          <cell r="C3560" t="str">
            <v>A</v>
          </cell>
          <cell r="D3560" t="str">
            <v>NO</v>
          </cell>
          <cell r="E3560" t="str">
            <v>HEART HAS ITS REASONS,THE - DUE#AS,MARIA</v>
          </cell>
          <cell r="F3560" t="str">
            <v>LIBRO</v>
          </cell>
          <cell r="G3560">
            <v>520415479</v>
          </cell>
          <cell r="H3560" t="str">
            <v>DIST. LEWIS</v>
          </cell>
          <cell r="I3560">
            <v>0</v>
          </cell>
        </row>
        <row r="3561">
          <cell r="A3561" t="str">
            <v>19-03560</v>
          </cell>
          <cell r="B3561" t="str">
            <v>DIST. LEWIS</v>
          </cell>
          <cell r="C3561" t="str">
            <v>A</v>
          </cell>
          <cell r="D3561" t="str">
            <v>NO</v>
          </cell>
          <cell r="E3561" t="str">
            <v>JUNGLE BOOK,THE - KIPLING,RUDYARD</v>
          </cell>
          <cell r="F3561" t="str">
            <v>LIBRO</v>
          </cell>
          <cell r="G3561">
            <v>520400249</v>
          </cell>
          <cell r="H3561" t="str">
            <v>DIST. LEWIS</v>
          </cell>
          <cell r="I3561">
            <v>0</v>
          </cell>
        </row>
        <row r="3562">
          <cell r="A3562" t="str">
            <v>19-03561</v>
          </cell>
          <cell r="B3562" t="str">
            <v>DIST. LEWIS</v>
          </cell>
          <cell r="C3562" t="str">
            <v>A</v>
          </cell>
          <cell r="D3562" t="str">
            <v>NO</v>
          </cell>
          <cell r="E3562" t="str">
            <v>MISION OLVIDO - DUENAS,MARIA</v>
          </cell>
          <cell r="F3562" t="str">
            <v>LIBRO</v>
          </cell>
          <cell r="G3562">
            <v>520415523</v>
          </cell>
          <cell r="H3562" t="str">
            <v>DIST. LEWIS</v>
          </cell>
          <cell r="I3562">
            <v>11.67</v>
          </cell>
        </row>
        <row r="3563">
          <cell r="A3563" t="str">
            <v>19-03562</v>
          </cell>
          <cell r="B3563" t="str">
            <v>DIST. LEWIS</v>
          </cell>
          <cell r="C3563" t="str">
            <v>A</v>
          </cell>
          <cell r="D3563" t="str">
            <v>NO</v>
          </cell>
          <cell r="E3563" t="str">
            <v>NOVEL JOURNAL:JANE EYRE - BRONTE,CHARLOTTE</v>
          </cell>
          <cell r="F3563" t="str">
            <v>LIBRO</v>
          </cell>
          <cell r="G3563">
            <v>520400312</v>
          </cell>
          <cell r="H3563" t="str">
            <v>DIST. LEWIS</v>
          </cell>
          <cell r="I3563">
            <v>12.32</v>
          </cell>
        </row>
        <row r="3564">
          <cell r="A3564" t="str">
            <v>19-03563</v>
          </cell>
          <cell r="B3564" t="str">
            <v>DIST. LEWIS</v>
          </cell>
          <cell r="C3564" t="str">
            <v>A</v>
          </cell>
          <cell r="D3564" t="str">
            <v>NO</v>
          </cell>
          <cell r="E3564" t="str">
            <v>NOVEL JOURNAL:THE BROTHERS GRIMM - BROTHERS GRIMM</v>
          </cell>
          <cell r="F3564" t="str">
            <v>LIBRO</v>
          </cell>
          <cell r="G3564">
            <v>520400315</v>
          </cell>
          <cell r="H3564" t="str">
            <v>DIST. LEWIS</v>
          </cell>
          <cell r="I3564">
            <v>12.32</v>
          </cell>
        </row>
        <row r="3565">
          <cell r="A3565" t="str">
            <v>19-03564</v>
          </cell>
          <cell r="B3565" t="str">
            <v>DIST. LEWIS</v>
          </cell>
          <cell r="C3565" t="str">
            <v>A</v>
          </cell>
          <cell r="D3565" t="str">
            <v>NO</v>
          </cell>
          <cell r="E3565" t="str">
            <v>NOVEL JOURNAL:THE WIZARD OF OZ - BAUM,L.FRANK</v>
          </cell>
          <cell r="F3565" t="str">
            <v>LIBRO</v>
          </cell>
          <cell r="G3565">
            <v>520400317</v>
          </cell>
          <cell r="H3565" t="str">
            <v>DIST. LEWIS</v>
          </cell>
          <cell r="I3565">
            <v>12.32</v>
          </cell>
        </row>
        <row r="3566">
          <cell r="A3566" t="str">
            <v>19-03565</v>
          </cell>
          <cell r="B3566" t="str">
            <v>DIST. LEWIS</v>
          </cell>
          <cell r="C3566" t="str">
            <v>A</v>
          </cell>
          <cell r="D3566" t="str">
            <v>NO</v>
          </cell>
          <cell r="E3566" t="str">
            <v>REFLEXOLOGY HEALING THE - WHICHELLO,BROWN DENI</v>
          </cell>
          <cell r="F3566" t="str">
            <v>LIBRO</v>
          </cell>
          <cell r="G3566">
            <v>1400654</v>
          </cell>
          <cell r="H3566" t="str">
            <v>DIST. LEWIS</v>
          </cell>
          <cell r="I3566">
            <v>10.24</v>
          </cell>
        </row>
        <row r="3567">
          <cell r="A3567" t="str">
            <v>19-03566</v>
          </cell>
          <cell r="B3567" t="str">
            <v>DIST. LEWIS</v>
          </cell>
          <cell r="C3567" t="str">
            <v>A</v>
          </cell>
          <cell r="D3567" t="str">
            <v>NO</v>
          </cell>
          <cell r="E3567" t="str">
            <v>SU SEGUNDA OPORTUNIDAD - CASTRO CAYCEDO,GUSTA</v>
          </cell>
          <cell r="F3567" t="str">
            <v>LIBRO</v>
          </cell>
          <cell r="G3567">
            <v>522706423</v>
          </cell>
          <cell r="H3567" t="str">
            <v>DIST. LEWIS</v>
          </cell>
          <cell r="I3567">
            <v>14.27</v>
          </cell>
        </row>
        <row r="3568">
          <cell r="A3568" t="str">
            <v>19-03567</v>
          </cell>
          <cell r="B3568" t="str">
            <v>DIST. LEWIS</v>
          </cell>
          <cell r="C3568" t="str">
            <v>A</v>
          </cell>
          <cell r="D3568" t="str">
            <v>NO</v>
          </cell>
          <cell r="E3568" t="str">
            <v>TALK LIKE TED - GALLO, CARMINE</v>
          </cell>
          <cell r="F3568" t="str">
            <v>LIBRO</v>
          </cell>
          <cell r="G3568">
            <v>520404463</v>
          </cell>
          <cell r="H3568" t="str">
            <v>DIST. LEWIS</v>
          </cell>
          <cell r="I3568">
            <v>18.170000000000002</v>
          </cell>
        </row>
        <row r="3569">
          <cell r="A3569" t="str">
            <v>19-03568</v>
          </cell>
          <cell r="B3569" t="str">
            <v>DIST. LEWIS</v>
          </cell>
          <cell r="C3569" t="str">
            <v>A</v>
          </cell>
          <cell r="D3569" t="str">
            <v>NO</v>
          </cell>
          <cell r="E3569" t="str">
            <v>WHAT TO EXPECT WHEN YOU'RE EXPECTIN - MURKOFF,HEIDI</v>
          </cell>
          <cell r="F3569" t="str">
            <v>LIBRO</v>
          </cell>
          <cell r="G3569">
            <v>520405674</v>
          </cell>
          <cell r="H3569" t="str">
            <v>DIST. LEWIS</v>
          </cell>
          <cell r="I3569">
            <v>11.67</v>
          </cell>
        </row>
        <row r="3570">
          <cell r="A3570" t="str">
            <v>19-03569</v>
          </cell>
          <cell r="B3570" t="str">
            <v>DIST. LEWIS</v>
          </cell>
          <cell r="C3570" t="str">
            <v>A</v>
          </cell>
          <cell r="D3570" t="str">
            <v>NO</v>
          </cell>
          <cell r="E3570" t="str">
            <v>ABADIA DE NORTHANGER,LA - AUSTEN,JANE</v>
          </cell>
          <cell r="F3570" t="str">
            <v>LIBRO</v>
          </cell>
          <cell r="G3570">
            <v>520515661</v>
          </cell>
          <cell r="H3570" t="str">
            <v>DIST. LEWIS</v>
          </cell>
          <cell r="I3570">
            <v>10.042999999999999</v>
          </cell>
        </row>
        <row r="3571">
          <cell r="A3571" t="str">
            <v>19-03570</v>
          </cell>
          <cell r="B3571" t="str">
            <v>DIST. LEWIS</v>
          </cell>
          <cell r="C3571" t="str">
            <v>A</v>
          </cell>
          <cell r="D3571" t="str">
            <v>NO</v>
          </cell>
          <cell r="E3571" t="str">
            <v>BUILDING OF THE PANAMA CANAL,THE - KELLER,ULRICH</v>
          </cell>
          <cell r="F3571" t="str">
            <v>LIBRO</v>
          </cell>
          <cell r="G3571">
            <v>520701005</v>
          </cell>
          <cell r="H3571" t="str">
            <v>DIST. LEWIS</v>
          </cell>
          <cell r="I3571">
            <v>13.98</v>
          </cell>
        </row>
        <row r="3572">
          <cell r="A3572" t="str">
            <v>19-03571</v>
          </cell>
          <cell r="B3572" t="str">
            <v>DIST. LEWIS</v>
          </cell>
          <cell r="C3572" t="str">
            <v>A</v>
          </cell>
          <cell r="D3572" t="str">
            <v>NO</v>
          </cell>
          <cell r="E3572" t="str">
            <v>CASA DE LOS ESPIRITUS,LA - ALLENDE,ISABEL</v>
          </cell>
          <cell r="F3572" t="str">
            <v>LIBRO</v>
          </cell>
          <cell r="G3572">
            <v>522609864</v>
          </cell>
          <cell r="H3572" t="str">
            <v>DIST. LEWIS</v>
          </cell>
          <cell r="I3572">
            <v>9.3230000000000004</v>
          </cell>
        </row>
        <row r="3573">
          <cell r="A3573" t="str">
            <v>19-03572</v>
          </cell>
          <cell r="B3573" t="str">
            <v>DIST. LEWIS</v>
          </cell>
          <cell r="C3573" t="str">
            <v>A</v>
          </cell>
          <cell r="D3573" t="str">
            <v>NO</v>
          </cell>
          <cell r="E3573" t="str">
            <v>CHICKEN SOUP SOUL THINK POSITIVE - CANFIELD,JACK</v>
          </cell>
          <cell r="F3573" t="str">
            <v>LIBRO</v>
          </cell>
          <cell r="G3573">
            <v>520415404</v>
          </cell>
          <cell r="H3573" t="str">
            <v>DIST. LEWIS</v>
          </cell>
          <cell r="I3573">
            <v>0</v>
          </cell>
        </row>
        <row r="3574">
          <cell r="A3574" t="str">
            <v>19-03573</v>
          </cell>
          <cell r="B3574" t="str">
            <v>DIST. LEWIS</v>
          </cell>
          <cell r="C3574" t="str">
            <v>A</v>
          </cell>
          <cell r="D3574" t="str">
            <v>NO</v>
          </cell>
          <cell r="E3574" t="str">
            <v>CRISTIANO RONALDO, SUE#OS CUMPLIDOS - ORTEGO, ENRIQUE</v>
          </cell>
          <cell r="F3574" t="str">
            <v>LIBRO</v>
          </cell>
          <cell r="G3574">
            <v>522601773</v>
          </cell>
          <cell r="H3574" t="str">
            <v>DIST. LEWIS</v>
          </cell>
          <cell r="I3574">
            <v>18.82</v>
          </cell>
        </row>
        <row r="3575">
          <cell r="A3575" t="str">
            <v>19-03574</v>
          </cell>
          <cell r="B3575" t="str">
            <v>DIST. LEWIS</v>
          </cell>
          <cell r="C3575" t="str">
            <v>A</v>
          </cell>
          <cell r="D3575" t="str">
            <v>NO</v>
          </cell>
          <cell r="E3575" t="str">
            <v>CRONICA DE UNA MUERTE ANUNCIADA - GARCIA MARQUEZ,GABRI</v>
          </cell>
          <cell r="F3575" t="str">
            <v>LIBRO</v>
          </cell>
          <cell r="G3575">
            <v>520513393</v>
          </cell>
          <cell r="H3575" t="str">
            <v>DIST. LEWIS</v>
          </cell>
          <cell r="I3575">
            <v>8.42</v>
          </cell>
        </row>
        <row r="3576">
          <cell r="A3576" t="str">
            <v>19-03575</v>
          </cell>
          <cell r="B3576" t="str">
            <v>DIST. LEWIS</v>
          </cell>
          <cell r="C3576" t="str">
            <v>A</v>
          </cell>
          <cell r="D3576" t="str">
            <v>NO</v>
          </cell>
          <cell r="E3576" t="str">
            <v>INTUICION - OSHO</v>
          </cell>
          <cell r="F3576" t="str">
            <v>LIBRO</v>
          </cell>
          <cell r="G3576">
            <v>522609819</v>
          </cell>
          <cell r="H3576" t="str">
            <v>DIST. LEWIS</v>
          </cell>
          <cell r="I3576">
            <v>9.07</v>
          </cell>
        </row>
        <row r="3577">
          <cell r="A3577" t="str">
            <v>19-03576</v>
          </cell>
          <cell r="B3577" t="str">
            <v>DIST. LEWIS</v>
          </cell>
          <cell r="C3577" t="str">
            <v>A</v>
          </cell>
          <cell r="D3577" t="str">
            <v>NO</v>
          </cell>
          <cell r="E3577" t="str">
            <v>LAUNCHING A LEADERSHIP REVOLUTION - BRADY,CHRIS</v>
          </cell>
          <cell r="F3577" t="str">
            <v>LIBRO</v>
          </cell>
          <cell r="G3577">
            <v>520401797</v>
          </cell>
          <cell r="H3577" t="str">
            <v>DIST. LEWIS</v>
          </cell>
          <cell r="I3577">
            <v>11.69</v>
          </cell>
        </row>
        <row r="3578">
          <cell r="A3578" t="str">
            <v>19-03577</v>
          </cell>
          <cell r="B3578" t="str">
            <v>DIST. LEWIS</v>
          </cell>
          <cell r="C3578" t="str">
            <v>A</v>
          </cell>
          <cell r="D3578" t="str">
            <v>NO</v>
          </cell>
          <cell r="E3578" t="str">
            <v>QUE HAY DESPUES DE LA MUERTE - CARRERAS,BAUTISTA</v>
          </cell>
          <cell r="F3578" t="str">
            <v>LIBRO</v>
          </cell>
          <cell r="G3578">
            <v>522200360</v>
          </cell>
          <cell r="H3578" t="str">
            <v>DIST. LEWIS</v>
          </cell>
          <cell r="I3578">
            <v>5.82</v>
          </cell>
        </row>
        <row r="3579">
          <cell r="A3579" t="str">
            <v>19-03578</v>
          </cell>
          <cell r="B3579" t="str">
            <v>DIST. LEWIS</v>
          </cell>
          <cell r="C3579" t="str">
            <v>A</v>
          </cell>
          <cell r="D3579" t="str">
            <v>NO</v>
          </cell>
          <cell r="E3579" t="str">
            <v>SPEAK TO US OF LOVE - OSHO</v>
          </cell>
          <cell r="F3579" t="str">
            <v>LIBRO</v>
          </cell>
          <cell r="G3579">
            <v>520400227</v>
          </cell>
          <cell r="H3579" t="str">
            <v>DIST. LEWIS</v>
          </cell>
          <cell r="I3579">
            <v>10.73</v>
          </cell>
        </row>
        <row r="3580">
          <cell r="A3580" t="str">
            <v>19-03579</v>
          </cell>
          <cell r="B3580" t="str">
            <v>DIST. LEWIS</v>
          </cell>
          <cell r="C3580" t="str">
            <v>A</v>
          </cell>
          <cell r="D3580" t="str">
            <v>NO</v>
          </cell>
          <cell r="E3580" t="str">
            <v>WUTHERING HEIGHTS - BRONTE,EMILY</v>
          </cell>
          <cell r="F3580" t="str">
            <v>LIBRO</v>
          </cell>
          <cell r="G3580">
            <v>520418269</v>
          </cell>
          <cell r="H3580" t="str">
            <v>DIST. LEWIS</v>
          </cell>
          <cell r="I3580">
            <v>0</v>
          </cell>
        </row>
        <row r="3581">
          <cell r="A3581" t="str">
            <v>19-03580</v>
          </cell>
          <cell r="B3581" t="str">
            <v>DIST. LEWIS</v>
          </cell>
          <cell r="C3581" t="str">
            <v>A</v>
          </cell>
          <cell r="D3581" t="str">
            <v>NO</v>
          </cell>
          <cell r="E3581" t="str">
            <v>ZIDANE, LA ELEGANCIA DEL HEROE SENC - ORTEGO,REY ENRIQUE</v>
          </cell>
          <cell r="F3581" t="str">
            <v>LIBRO</v>
          </cell>
          <cell r="G3581">
            <v>522601775</v>
          </cell>
          <cell r="H3581" t="str">
            <v>DIST. LEWIS</v>
          </cell>
          <cell r="I3581">
            <v>20.77</v>
          </cell>
        </row>
        <row r="3582">
          <cell r="A3582" t="str">
            <v>19-03581</v>
          </cell>
          <cell r="B3582" t="str">
            <v>H. MANCHA</v>
          </cell>
          <cell r="C3582" t="str">
            <v>A</v>
          </cell>
          <cell r="D3582" t="str">
            <v>NO</v>
          </cell>
          <cell r="E3582" t="str">
            <v>A FLOR DE PIEL - MORO,JAVIER</v>
          </cell>
          <cell r="F3582" t="str">
            <v>LIBRO</v>
          </cell>
          <cell r="G3582">
            <v>520513399</v>
          </cell>
          <cell r="H3582" t="str">
            <v>H. MANCHA</v>
          </cell>
          <cell r="I3582">
            <v>21.562999999999999</v>
          </cell>
        </row>
        <row r="3583">
          <cell r="A3583" t="str">
            <v>19-03582</v>
          </cell>
          <cell r="B3583" t="str">
            <v>DIST. LEWIS</v>
          </cell>
          <cell r="C3583" t="str">
            <v>A</v>
          </cell>
          <cell r="D3583" t="str">
            <v>NO</v>
          </cell>
          <cell r="E3583" t="str">
            <v>ASSASSIN'S CREED - FORSAKEN - BOWDEN,OLIVER</v>
          </cell>
          <cell r="F3583" t="str">
            <v>LIBRO</v>
          </cell>
          <cell r="G3583">
            <v>522611287</v>
          </cell>
          <cell r="H3583" t="str">
            <v>DIST. LEWIS</v>
          </cell>
          <cell r="I3583">
            <v>21.42</v>
          </cell>
        </row>
        <row r="3584">
          <cell r="A3584" t="str">
            <v>19-03583</v>
          </cell>
          <cell r="B3584" t="str">
            <v>DIST. LEWIS</v>
          </cell>
          <cell r="C3584" t="str">
            <v>A</v>
          </cell>
          <cell r="D3584" t="str">
            <v>NO</v>
          </cell>
          <cell r="E3584" t="str">
            <v>CHICKEN SOUP SOUL MIRACLES HAPPEN - CANFIELD,JACK</v>
          </cell>
          <cell r="F3584" t="str">
            <v>LIBRO</v>
          </cell>
          <cell r="G3584">
            <v>520415123</v>
          </cell>
          <cell r="H3584" t="str">
            <v>DIST. LEWIS</v>
          </cell>
          <cell r="I3584">
            <v>0</v>
          </cell>
        </row>
        <row r="3585">
          <cell r="A3585" t="str">
            <v>19-03584</v>
          </cell>
          <cell r="B3585" t="str">
            <v>DIST. LEWIS</v>
          </cell>
          <cell r="C3585" t="str">
            <v>A</v>
          </cell>
          <cell r="D3585" t="str">
            <v>NO</v>
          </cell>
          <cell r="E3585" t="str">
            <v>CONSPIRACION DE LOS RICOS - KIYOSAKI T.,ROBERT</v>
          </cell>
          <cell r="F3585" t="str">
            <v>LIBRO</v>
          </cell>
          <cell r="G3585">
            <v>520511670</v>
          </cell>
          <cell r="H3585" t="str">
            <v>DIST. LEWIS</v>
          </cell>
          <cell r="I3585">
            <v>8.6029999999999998</v>
          </cell>
        </row>
        <row r="3586">
          <cell r="A3586" t="str">
            <v>19-03585</v>
          </cell>
          <cell r="B3586" t="str">
            <v>DIST. LEWIS</v>
          </cell>
          <cell r="C3586" t="str">
            <v>A</v>
          </cell>
          <cell r="D3586" t="str">
            <v>NO</v>
          </cell>
          <cell r="E3586" t="str">
            <v>DEAD OF WINTER - COLE,KRESLEY</v>
          </cell>
          <cell r="F3586" t="str">
            <v>LIBRO</v>
          </cell>
          <cell r="G3586">
            <v>520415564</v>
          </cell>
          <cell r="H3586" t="str">
            <v>DIST. LEWIS</v>
          </cell>
          <cell r="I3586">
            <v>13.98</v>
          </cell>
        </row>
        <row r="3587">
          <cell r="A3587" t="str">
            <v>19-03586</v>
          </cell>
          <cell r="B3587" t="str">
            <v>DIST. LEWIS</v>
          </cell>
          <cell r="C3587" t="str">
            <v>A</v>
          </cell>
          <cell r="D3587" t="str">
            <v>NO</v>
          </cell>
          <cell r="E3587" t="str">
            <v>ECLIPSE - MEYER,STEPHENIE</v>
          </cell>
          <cell r="F3587" t="str">
            <v>LIBRO</v>
          </cell>
          <cell r="G3587">
            <v>520511667</v>
          </cell>
          <cell r="H3587" t="str">
            <v>DIST. LEWIS</v>
          </cell>
          <cell r="I3587">
            <v>8.6029999999999998</v>
          </cell>
        </row>
        <row r="3588">
          <cell r="A3588" t="str">
            <v>19-03587</v>
          </cell>
          <cell r="B3588" t="str">
            <v>DIST. LEWIS</v>
          </cell>
          <cell r="C3588" t="str">
            <v>A</v>
          </cell>
          <cell r="D3588" t="str">
            <v>NO</v>
          </cell>
          <cell r="E3588" t="str">
            <v>IKER CASILLAS, LA HUMILDAD DEL CAMP - ORTEGO, ENRIQUE</v>
          </cell>
          <cell r="F3588" t="str">
            <v>LIBRO</v>
          </cell>
          <cell r="G3588">
            <v>522601774</v>
          </cell>
          <cell r="H3588" t="str">
            <v>DIST. LEWIS</v>
          </cell>
          <cell r="I3588">
            <v>20.77</v>
          </cell>
        </row>
        <row r="3589">
          <cell r="A3589" t="str">
            <v>19-03588</v>
          </cell>
          <cell r="B3589" t="str">
            <v>DIST. LEWIS</v>
          </cell>
          <cell r="C3589" t="str">
            <v>A</v>
          </cell>
          <cell r="D3589" t="str">
            <v>NO</v>
          </cell>
          <cell r="E3589" t="str">
            <v>KILL SHOT - FLYNN, VINCE</v>
          </cell>
          <cell r="F3589" t="str">
            <v>LIBRO</v>
          </cell>
          <cell r="G3589">
            <v>23275</v>
          </cell>
          <cell r="H3589" t="str">
            <v>DIST. LEWIS</v>
          </cell>
          <cell r="I3589">
            <v>0</v>
          </cell>
        </row>
        <row r="3590">
          <cell r="A3590" t="str">
            <v>19-03589</v>
          </cell>
          <cell r="B3590" t="str">
            <v>DIST. LEWIS</v>
          </cell>
          <cell r="C3590" t="str">
            <v>A</v>
          </cell>
          <cell r="D3590" t="str">
            <v>NO</v>
          </cell>
          <cell r="E3590" t="str">
            <v>MEMORIAS DEL AGUILA Y DEL JAGUAR - ALLENDE,ISABEL</v>
          </cell>
          <cell r="F3590" t="str">
            <v>LIBRO</v>
          </cell>
          <cell r="G3590">
            <v>522609557</v>
          </cell>
          <cell r="H3590" t="str">
            <v>DIST. LEWIS</v>
          </cell>
          <cell r="I3590">
            <v>16.22</v>
          </cell>
        </row>
        <row r="3591">
          <cell r="A3591" t="str">
            <v>19-03590</v>
          </cell>
          <cell r="B3591" t="str">
            <v>DIST. LEWIS</v>
          </cell>
          <cell r="C3591" t="str">
            <v>A</v>
          </cell>
          <cell r="D3591" t="str">
            <v>NO</v>
          </cell>
          <cell r="E3591" t="str">
            <v>PATH OF YOGA,THE - OSHO</v>
          </cell>
          <cell r="F3591" t="str">
            <v>LIBRO</v>
          </cell>
          <cell r="G3591">
            <v>520400219</v>
          </cell>
          <cell r="H3591" t="str">
            <v>DIST. LEWIS</v>
          </cell>
          <cell r="I3591">
            <v>10.37</v>
          </cell>
        </row>
        <row r="3592">
          <cell r="A3592" t="str">
            <v>19-03591</v>
          </cell>
          <cell r="B3592" t="str">
            <v>DIST. LEWIS</v>
          </cell>
          <cell r="C3592" t="str">
            <v>A</v>
          </cell>
          <cell r="D3592" t="str">
            <v>NO</v>
          </cell>
          <cell r="E3592" t="str">
            <v>SOLUCIONES ESPIRITUALES - CHOPRA,DEEPAK</v>
          </cell>
          <cell r="F3592" t="str">
            <v>LIBRO</v>
          </cell>
          <cell r="G3592">
            <v>522706459</v>
          </cell>
          <cell r="H3592" t="str">
            <v>DIST. LEWIS</v>
          </cell>
          <cell r="I3592">
            <v>0</v>
          </cell>
        </row>
        <row r="3593">
          <cell r="A3593" t="str">
            <v>19-03592</v>
          </cell>
          <cell r="B3593" t="str">
            <v>DIST. LEWIS</v>
          </cell>
          <cell r="C3593" t="str">
            <v>A</v>
          </cell>
          <cell r="D3593" t="str">
            <v>NO</v>
          </cell>
          <cell r="E3593" t="str">
            <v>CHEATING DEATH : T. DOCTORS &amp; MED M - GUPTA SANJAY MD.</v>
          </cell>
          <cell r="F3593" t="str">
            <v>LIBRO</v>
          </cell>
          <cell r="G3593">
            <v>520421134</v>
          </cell>
          <cell r="H3593" t="str">
            <v>DIST. LEWIS</v>
          </cell>
          <cell r="I3593">
            <v>11.04</v>
          </cell>
        </row>
        <row r="3594">
          <cell r="A3594" t="str">
            <v>19-03593</v>
          </cell>
          <cell r="B3594" t="str">
            <v>DIST. LEWIS</v>
          </cell>
          <cell r="C3594" t="str">
            <v>A</v>
          </cell>
          <cell r="D3594" t="str">
            <v>NO</v>
          </cell>
          <cell r="E3594" t="str">
            <v>CHICKEN SOUP S.MIRACULOUS MESSAGES - CANFIELD,JACK</v>
          </cell>
          <cell r="F3594" t="str">
            <v>LIBRO</v>
          </cell>
          <cell r="G3594">
            <v>520415124</v>
          </cell>
          <cell r="H3594" t="str">
            <v>DIST. LEWIS</v>
          </cell>
          <cell r="I3594">
            <v>0</v>
          </cell>
        </row>
        <row r="3595">
          <cell r="A3595" t="str">
            <v>19-03594</v>
          </cell>
          <cell r="B3595" t="str">
            <v>DIST. LEWIS</v>
          </cell>
          <cell r="C3595" t="str">
            <v>A</v>
          </cell>
          <cell r="D3595" t="str">
            <v>NO</v>
          </cell>
          <cell r="E3595" t="str">
            <v>CONSCIOUS CAPITALISM - MACKEY,JOHN</v>
          </cell>
          <cell r="F3595" t="str">
            <v>LIBRO</v>
          </cell>
          <cell r="G3595">
            <v>520400190</v>
          </cell>
          <cell r="H3595" t="str">
            <v>DIST. LEWIS</v>
          </cell>
          <cell r="I3595">
            <v>12.97</v>
          </cell>
        </row>
        <row r="3596">
          <cell r="A3596" t="str">
            <v>19-03595</v>
          </cell>
          <cell r="B3596" t="str">
            <v>DIST. LEWIS</v>
          </cell>
          <cell r="C3596" t="str">
            <v>A</v>
          </cell>
          <cell r="D3596" t="str">
            <v>NO</v>
          </cell>
          <cell r="E3596" t="str">
            <v>FANGIRL - ROWELL,RAINBOW</v>
          </cell>
          <cell r="F3596" t="str">
            <v>LIBRO</v>
          </cell>
          <cell r="G3596">
            <v>520515975</v>
          </cell>
          <cell r="H3596" t="str">
            <v>DIST. LEWIS</v>
          </cell>
          <cell r="I3596">
            <v>15.804</v>
          </cell>
        </row>
        <row r="3597">
          <cell r="A3597" t="str">
            <v>19-03596</v>
          </cell>
          <cell r="B3597" t="str">
            <v>DIST. LEWIS</v>
          </cell>
          <cell r="C3597" t="str">
            <v>A</v>
          </cell>
          <cell r="D3597" t="str">
            <v>NO</v>
          </cell>
          <cell r="E3597" t="str">
            <v>LUNA NUEVA - MEYER,STEPHENIE</v>
          </cell>
          <cell r="F3597" t="str">
            <v>LIBRO</v>
          </cell>
          <cell r="G3597">
            <v>520511674</v>
          </cell>
          <cell r="H3597" t="str">
            <v>DIST. LEWIS</v>
          </cell>
          <cell r="I3597">
            <v>8.6050000000000004</v>
          </cell>
        </row>
        <row r="3598">
          <cell r="A3598" t="str">
            <v>19-03597</v>
          </cell>
          <cell r="B3598" t="str">
            <v>DIST. LEWIS</v>
          </cell>
          <cell r="C3598" t="str">
            <v>A</v>
          </cell>
          <cell r="D3598" t="str">
            <v>NO</v>
          </cell>
          <cell r="E3598" t="str">
            <v>ROBIN HOOD - PHILIP</v>
          </cell>
          <cell r="F3598" t="str">
            <v>LIBRO</v>
          </cell>
          <cell r="G3598">
            <v>520515133</v>
          </cell>
          <cell r="H3598" t="str">
            <v>DIST. LEWIS</v>
          </cell>
          <cell r="I3598">
            <v>12.97</v>
          </cell>
        </row>
        <row r="3599">
          <cell r="A3599" t="str">
            <v>19-03598</v>
          </cell>
          <cell r="B3599" t="str">
            <v>DIST. LEWIS</v>
          </cell>
          <cell r="C3599" t="str">
            <v>A</v>
          </cell>
          <cell r="D3599" t="str">
            <v>NO</v>
          </cell>
          <cell r="E3599" t="str">
            <v>SIETE LEYES ESPIRITUALES DEL EXITO, - CHOPRA,DEEPAK</v>
          </cell>
          <cell r="F3599" t="str">
            <v>LIBRO</v>
          </cell>
          <cell r="G3599">
            <v>520513303</v>
          </cell>
          <cell r="H3599" t="str">
            <v>DIST. LEWIS</v>
          </cell>
          <cell r="I3599">
            <v>11.67</v>
          </cell>
        </row>
        <row r="3600">
          <cell r="A3600" t="str">
            <v>19-03599</v>
          </cell>
          <cell r="B3600" t="str">
            <v>DIST. LEWIS</v>
          </cell>
          <cell r="C3600" t="str">
            <v>A</v>
          </cell>
          <cell r="D3600" t="str">
            <v>NO</v>
          </cell>
          <cell r="E3600" t="str">
            <v>TANTRA EXPERIENCE,THE - OSHO</v>
          </cell>
          <cell r="F3600" t="str">
            <v>LIBRO</v>
          </cell>
          <cell r="G3600">
            <v>520400221</v>
          </cell>
          <cell r="H3600" t="str">
            <v>DIST. LEWIS</v>
          </cell>
          <cell r="I3600">
            <v>10.73</v>
          </cell>
        </row>
        <row r="3601">
          <cell r="A3601" t="str">
            <v>19-03600</v>
          </cell>
          <cell r="B3601" t="str">
            <v>DIST. LEWIS</v>
          </cell>
          <cell r="C3601" t="str">
            <v>A</v>
          </cell>
          <cell r="D3601" t="str">
            <v>NO</v>
          </cell>
          <cell r="E3601" t="str">
            <v>1000 IDEAS PARA ATRAER L/Q QUIERAS - PRIZE,WALTER L.</v>
          </cell>
          <cell r="F3601" t="str">
            <v>LIBRO</v>
          </cell>
          <cell r="G3601">
            <v>522605695</v>
          </cell>
          <cell r="H3601" t="str">
            <v>DIST. LEWIS</v>
          </cell>
          <cell r="I3601">
            <v>9.07</v>
          </cell>
        </row>
        <row r="3602">
          <cell r="A3602" t="str">
            <v>19-03601</v>
          </cell>
          <cell r="B3602" t="str">
            <v>DIST. LEWIS</v>
          </cell>
          <cell r="C3602" t="str">
            <v>A</v>
          </cell>
          <cell r="D3602" t="str">
            <v>NO</v>
          </cell>
          <cell r="E3602" t="str">
            <v>20 MINUTE MANAGER ON MANAGING UP - HARVARD BUSINESS REV</v>
          </cell>
          <cell r="F3602" t="str">
            <v>LIBRO</v>
          </cell>
          <cell r="G3602">
            <v>520400271</v>
          </cell>
          <cell r="H3602" t="str">
            <v>DIST. LEWIS</v>
          </cell>
          <cell r="I3602">
            <v>9.07</v>
          </cell>
        </row>
        <row r="3603">
          <cell r="A3603" t="str">
            <v>19-03602</v>
          </cell>
          <cell r="B3603" t="str">
            <v>DIST. LEWIS</v>
          </cell>
          <cell r="C3603" t="str">
            <v>A</v>
          </cell>
          <cell r="D3603" t="str">
            <v>NO</v>
          </cell>
          <cell r="E3603" t="str">
            <v>ATKINS FOR LIFE,LOW-CARB COOKBOOK - ATKINS,VERONICA</v>
          </cell>
          <cell r="F3603" t="str">
            <v>LIBRO</v>
          </cell>
          <cell r="G3603">
            <v>523000013</v>
          </cell>
          <cell r="H3603" t="str">
            <v>DIST. LEWIS</v>
          </cell>
          <cell r="I3603">
            <v>0</v>
          </cell>
        </row>
        <row r="3604">
          <cell r="A3604" t="str">
            <v>19-03603</v>
          </cell>
          <cell r="B3604" t="str">
            <v>DIST. LEWIS</v>
          </cell>
          <cell r="C3604" t="str">
            <v>A</v>
          </cell>
          <cell r="D3604" t="str">
            <v>NO</v>
          </cell>
          <cell r="E3604" t="str">
            <v>GOZAR,AMAR,VIVIR - OSHO</v>
          </cell>
          <cell r="F3604" t="str">
            <v>LIBRO</v>
          </cell>
          <cell r="G3604">
            <v>522609955</v>
          </cell>
          <cell r="H3604" t="str">
            <v>DIST. LEWIS</v>
          </cell>
          <cell r="I3604">
            <v>10.37</v>
          </cell>
        </row>
        <row r="3605">
          <cell r="A3605" t="str">
            <v>19-03604</v>
          </cell>
          <cell r="B3605" t="str">
            <v>DIST. LEWIS</v>
          </cell>
          <cell r="C3605" t="str">
            <v>A</v>
          </cell>
          <cell r="D3605" t="str">
            <v>NO</v>
          </cell>
          <cell r="E3605" t="str">
            <v>IT'S NOT SUMMER WITHOUT YOU - HAN,JENNY</v>
          </cell>
          <cell r="F3605" t="str">
            <v>LIBRO</v>
          </cell>
          <cell r="G3605">
            <v>520415508</v>
          </cell>
          <cell r="H3605" t="str">
            <v>DIST. LEWIS</v>
          </cell>
          <cell r="I3605">
            <v>0</v>
          </cell>
        </row>
        <row r="3606">
          <cell r="A3606" t="str">
            <v>19-03605</v>
          </cell>
          <cell r="B3606" t="str">
            <v>DIST. LEWIS</v>
          </cell>
          <cell r="C3606" t="str">
            <v>A</v>
          </cell>
          <cell r="D3606" t="str">
            <v>NO</v>
          </cell>
          <cell r="E3606" t="str">
            <v>OFFICIAL SAT STUDY GUIDE,THE - COLLEGE BOARD</v>
          </cell>
          <cell r="F3606" t="str">
            <v>LIBRO</v>
          </cell>
          <cell r="G3606">
            <v>520404320</v>
          </cell>
          <cell r="H3606" t="str">
            <v>DIST. LEWIS</v>
          </cell>
          <cell r="I3606">
            <v>15.93</v>
          </cell>
        </row>
        <row r="3607">
          <cell r="A3607" t="str">
            <v>19-03606</v>
          </cell>
          <cell r="B3607" t="str">
            <v>DIST. LEWIS</v>
          </cell>
          <cell r="C3607" t="str">
            <v>A</v>
          </cell>
          <cell r="D3607" t="str">
            <v>NO</v>
          </cell>
          <cell r="E3607" t="str">
            <v>20 MINUTE MANAGER ON DELEGATING WOR - HARVARD BUSINESS REV</v>
          </cell>
          <cell r="F3607" t="str">
            <v>LIBRO</v>
          </cell>
          <cell r="G3607">
            <v>520400259</v>
          </cell>
          <cell r="H3607" t="str">
            <v>DIST. LEWIS</v>
          </cell>
          <cell r="I3607">
            <v>9.07</v>
          </cell>
        </row>
        <row r="3608">
          <cell r="A3608" t="str">
            <v>19-03607</v>
          </cell>
          <cell r="B3608" t="str">
            <v>DIST. LEWIS</v>
          </cell>
          <cell r="C3608" t="str">
            <v>A</v>
          </cell>
          <cell r="D3608" t="str">
            <v>NO</v>
          </cell>
          <cell r="E3608" t="str">
            <v>CATCHING FIRE - COLLINS,SUZANE</v>
          </cell>
          <cell r="F3608" t="str">
            <v>LIBRO</v>
          </cell>
          <cell r="G3608">
            <v>520402083</v>
          </cell>
          <cell r="H3608" t="str">
            <v>DIST. LEWIS</v>
          </cell>
          <cell r="I3608">
            <v>10.37</v>
          </cell>
        </row>
        <row r="3609">
          <cell r="A3609" t="str">
            <v>19-03608</v>
          </cell>
          <cell r="B3609" t="str">
            <v>DIST. LEWIS</v>
          </cell>
          <cell r="C3609" t="str">
            <v>A</v>
          </cell>
          <cell r="D3609" t="str">
            <v>NO</v>
          </cell>
          <cell r="E3609" t="str">
            <v>DESPIERTA EL GENIO FINANCIERO DE TU - KIYOSAKI,ROBERT T.</v>
          </cell>
          <cell r="F3609" t="str">
            <v>LIBRO</v>
          </cell>
          <cell r="G3609">
            <v>522609910</v>
          </cell>
          <cell r="H3609" t="str">
            <v>DIST. LEWIS</v>
          </cell>
          <cell r="I3609">
            <v>8.6050000000000004</v>
          </cell>
        </row>
        <row r="3610">
          <cell r="A3610" t="str">
            <v>19-03609</v>
          </cell>
          <cell r="B3610" t="str">
            <v>DIST. LEWIS</v>
          </cell>
          <cell r="C3610" t="str">
            <v>A</v>
          </cell>
          <cell r="D3610" t="str">
            <v>NO</v>
          </cell>
          <cell r="E3610" t="str">
            <v>HABLADOR,EL - VARGAS LLOSA,MARIO</v>
          </cell>
          <cell r="F3610" t="str">
            <v>LIBRO</v>
          </cell>
          <cell r="G3610">
            <v>522203399</v>
          </cell>
          <cell r="H3610" t="str">
            <v>DIST. LEWIS</v>
          </cell>
          <cell r="I3610">
            <v>9.3249999999999993</v>
          </cell>
        </row>
        <row r="3611">
          <cell r="A3611" t="str">
            <v>19-03610</v>
          </cell>
          <cell r="B3611" t="str">
            <v>DIST. LEWIS</v>
          </cell>
          <cell r="C3611" t="str">
            <v>A</v>
          </cell>
          <cell r="D3611" t="str">
            <v>NO</v>
          </cell>
          <cell r="E3611" t="str">
            <v>MAZE RUNNER 3 - LA CURA MORTAL - DASHNER JAMES</v>
          </cell>
          <cell r="F3611" t="str">
            <v>LIBRO</v>
          </cell>
          <cell r="G3611">
            <v>521001982</v>
          </cell>
          <cell r="H3611" t="str">
            <v>H. MANCHA</v>
          </cell>
          <cell r="I3611">
            <v>10.044</v>
          </cell>
        </row>
        <row r="3612">
          <cell r="A3612" t="str">
            <v>19-03611</v>
          </cell>
          <cell r="B3612" t="str">
            <v>DIST. LEWIS</v>
          </cell>
          <cell r="C3612" t="str">
            <v>A</v>
          </cell>
          <cell r="D3612" t="str">
            <v>NO</v>
          </cell>
          <cell r="E3612" t="str">
            <v>OUR ICEBERG IS MELTING - KOTTER, J.</v>
          </cell>
          <cell r="F3612" t="str">
            <v>LIBRO</v>
          </cell>
          <cell r="G3612">
            <v>520404470</v>
          </cell>
          <cell r="H3612" t="str">
            <v>DIST. LEWIS</v>
          </cell>
          <cell r="I3612">
            <v>9.7200000000000006</v>
          </cell>
        </row>
        <row r="3613">
          <cell r="A3613" t="str">
            <v>19-03612</v>
          </cell>
          <cell r="B3613" t="str">
            <v>DIST. LEWIS</v>
          </cell>
          <cell r="C3613" t="str">
            <v>A</v>
          </cell>
          <cell r="D3613" t="str">
            <v>NO</v>
          </cell>
          <cell r="E3613" t="str">
            <v>PASION POR LO IMPOSIBLE,LA - OSHO</v>
          </cell>
          <cell r="F3613" t="str">
            <v>LIBRO</v>
          </cell>
          <cell r="G3613">
            <v>522609956</v>
          </cell>
          <cell r="H3613" t="str">
            <v>DIST. LEWIS</v>
          </cell>
          <cell r="I3613">
            <v>9.7200000000000006</v>
          </cell>
        </row>
        <row r="3614">
          <cell r="A3614" t="str">
            <v>19-03613</v>
          </cell>
          <cell r="B3614" t="str">
            <v>DIST. LEWIS</v>
          </cell>
          <cell r="C3614" t="str">
            <v>A</v>
          </cell>
          <cell r="D3614" t="str">
            <v>NO</v>
          </cell>
          <cell r="E3614" t="str">
            <v>WHY WE WANT YOU TO BE RICH - KIYOSAKI,ROBERT</v>
          </cell>
          <cell r="F3614" t="str">
            <v>LIBRO</v>
          </cell>
          <cell r="G3614">
            <v>520400168</v>
          </cell>
          <cell r="H3614" t="str">
            <v>DIST. LEWIS</v>
          </cell>
          <cell r="I3614">
            <v>5.82</v>
          </cell>
        </row>
        <row r="3615">
          <cell r="A3615" t="str">
            <v>19-03614</v>
          </cell>
          <cell r="B3615" t="str">
            <v>DIST. LEWIS</v>
          </cell>
          <cell r="C3615" t="str">
            <v>A</v>
          </cell>
          <cell r="D3615" t="str">
            <v>NO</v>
          </cell>
          <cell r="E3615" t="str">
            <v>5 HABILIDADES ESENCIAL P/TRATAR CON - CARNEGIE, DALE</v>
          </cell>
          <cell r="F3615" t="str">
            <v>LIBRO</v>
          </cell>
          <cell r="G3615">
            <v>520509163</v>
          </cell>
          <cell r="H3615" t="str">
            <v>DIST. LEWIS</v>
          </cell>
          <cell r="I3615">
            <v>0</v>
          </cell>
        </row>
        <row r="3616">
          <cell r="A3616" t="str">
            <v>19-03615</v>
          </cell>
          <cell r="B3616" t="str">
            <v>DIST. LEWIS</v>
          </cell>
          <cell r="C3616" t="str">
            <v>A</v>
          </cell>
          <cell r="D3616" t="str">
            <v>NO</v>
          </cell>
          <cell r="E3616" t="str">
            <v>CHUNGA/LOCO DE LOS BALCONES/OJOS BO - VARGAS LLOSA,MARIO</v>
          </cell>
          <cell r="F3616" t="str">
            <v>LIBRO</v>
          </cell>
          <cell r="G3616">
            <v>522203401</v>
          </cell>
          <cell r="H3616" t="str">
            <v>DIST. LEWIS</v>
          </cell>
          <cell r="I3616">
            <v>5.82</v>
          </cell>
        </row>
        <row r="3617">
          <cell r="A3617" t="str">
            <v>19-03616</v>
          </cell>
          <cell r="B3617" t="str">
            <v>DIST. LEWIS</v>
          </cell>
          <cell r="C3617" t="str">
            <v>A</v>
          </cell>
          <cell r="D3617" t="str">
            <v>NO</v>
          </cell>
          <cell r="E3617" t="str">
            <v>CONVERSACION EN LA CATEDRAL - VARGAS LLOSA,MARIO</v>
          </cell>
          <cell r="F3617" t="str">
            <v>LIBRO</v>
          </cell>
          <cell r="G3617">
            <v>522203280</v>
          </cell>
          <cell r="H3617" t="str">
            <v>DIST. LEWIS</v>
          </cell>
          <cell r="I3617">
            <v>12.202999999999999</v>
          </cell>
        </row>
        <row r="3618">
          <cell r="A3618" t="str">
            <v>19-03617</v>
          </cell>
          <cell r="B3618" t="str">
            <v>DIST. LEWIS</v>
          </cell>
          <cell r="C3618" t="str">
            <v>A</v>
          </cell>
          <cell r="D3618" t="str">
            <v>NO</v>
          </cell>
          <cell r="E3618" t="str">
            <v>HISTORIA DE MAYTA - VARGAS LLOSA,MARIO</v>
          </cell>
          <cell r="F3618" t="str">
            <v>LIBRO</v>
          </cell>
          <cell r="G3618">
            <v>522203400</v>
          </cell>
          <cell r="H3618" t="str">
            <v>DIST. LEWIS</v>
          </cell>
          <cell r="I3618">
            <v>5.82</v>
          </cell>
        </row>
        <row r="3619">
          <cell r="A3619" t="str">
            <v>19-03618</v>
          </cell>
          <cell r="B3619" t="str">
            <v>DIST. LEWIS</v>
          </cell>
          <cell r="C3619" t="str">
            <v>A</v>
          </cell>
          <cell r="D3619" t="str">
            <v>NO</v>
          </cell>
          <cell r="E3619" t="str">
            <v>JANE EYRE - BRONTE,CHARLOTTE</v>
          </cell>
          <cell r="F3619" t="str">
            <v>LIBRO</v>
          </cell>
          <cell r="G3619">
            <v>520418253</v>
          </cell>
          <cell r="H3619" t="str">
            <v>DIST. LEWIS</v>
          </cell>
          <cell r="I3619">
            <v>7.12</v>
          </cell>
        </row>
        <row r="3620">
          <cell r="A3620" t="str">
            <v>19-03619</v>
          </cell>
          <cell r="B3620" t="str">
            <v>DIST. LEWIS</v>
          </cell>
          <cell r="C3620" t="str">
            <v>A</v>
          </cell>
          <cell r="D3620" t="str">
            <v>NO</v>
          </cell>
          <cell r="E3620" t="str">
            <v>LANDLINE - ROWELL,RAINBOW</v>
          </cell>
          <cell r="F3620" t="str">
            <v>LIBRO</v>
          </cell>
          <cell r="G3620">
            <v>520411074</v>
          </cell>
          <cell r="H3620" t="str">
            <v>DIST. LEWIS</v>
          </cell>
          <cell r="I3620">
            <v>12.34</v>
          </cell>
        </row>
        <row r="3621">
          <cell r="A3621" t="str">
            <v>19-03620</v>
          </cell>
          <cell r="B3621" t="str">
            <v>DIST. LEWIS</v>
          </cell>
          <cell r="C3621" t="str">
            <v>A</v>
          </cell>
          <cell r="D3621" t="str">
            <v>NO</v>
          </cell>
          <cell r="E3621" t="str">
            <v>SANCTUM - AN ASYLUM NOVEL - ROUX,MADELE</v>
          </cell>
          <cell r="F3621" t="str">
            <v>LIBRO</v>
          </cell>
          <cell r="G3621">
            <v>520418451</v>
          </cell>
          <cell r="H3621" t="str">
            <v>DIST. LEWIS</v>
          </cell>
          <cell r="I3621">
            <v>9.43</v>
          </cell>
        </row>
        <row r="3622">
          <cell r="A3622" t="str">
            <v>19-03621</v>
          </cell>
          <cell r="B3622" t="str">
            <v>DIST. LEWIS</v>
          </cell>
          <cell r="C3622" t="str">
            <v>A</v>
          </cell>
          <cell r="D3622" t="str">
            <v>NO</v>
          </cell>
          <cell r="E3622" t="str">
            <v>SERGIO RAMOS, CORAZON, CARACTER Y P - ORTEGO, ENRIQUE</v>
          </cell>
          <cell r="F3622" t="str">
            <v>LIBRO</v>
          </cell>
          <cell r="G3622">
            <v>522601780</v>
          </cell>
          <cell r="H3622" t="str">
            <v>DIST. LEWIS</v>
          </cell>
          <cell r="I3622">
            <v>20.77</v>
          </cell>
        </row>
        <row r="3623">
          <cell r="A3623" t="str">
            <v>19-03622</v>
          </cell>
          <cell r="B3623" t="str">
            <v>DIST. LEWIS</v>
          </cell>
          <cell r="C3623" t="str">
            <v>A</v>
          </cell>
          <cell r="D3623" t="str">
            <v>NO</v>
          </cell>
          <cell r="E3623" t="str">
            <v>STEVE,JOBS.LECCIONES DE LIDERAZGO - ISAACSON,WALTER</v>
          </cell>
          <cell r="F3623" t="str">
            <v>LIBRO</v>
          </cell>
          <cell r="G3623">
            <v>522609843</v>
          </cell>
          <cell r="H3623" t="str">
            <v>DIST. LEWIS</v>
          </cell>
          <cell r="I3623">
            <v>7.77</v>
          </cell>
        </row>
        <row r="3624">
          <cell r="A3624" t="str">
            <v>19-03623</v>
          </cell>
          <cell r="B3624" t="str">
            <v>DIST. LEWIS</v>
          </cell>
          <cell r="C3624" t="str">
            <v>A</v>
          </cell>
          <cell r="D3624" t="str">
            <v>NO</v>
          </cell>
          <cell r="E3624" t="str">
            <v>SUMMER I TURNED PRETTY,THE - HAN,JENNY</v>
          </cell>
          <cell r="F3624" t="str">
            <v>LIBRO</v>
          </cell>
          <cell r="G3624">
            <v>520415545</v>
          </cell>
          <cell r="H3624" t="str">
            <v>DIST. LEWIS</v>
          </cell>
          <cell r="I3624">
            <v>7.14</v>
          </cell>
        </row>
        <row r="3625">
          <cell r="A3625" t="str">
            <v>19-03624</v>
          </cell>
          <cell r="B3625" t="str">
            <v>DIST. LEWIS</v>
          </cell>
          <cell r="C3625" t="str">
            <v>A</v>
          </cell>
          <cell r="D3625" t="str">
            <v>NO</v>
          </cell>
          <cell r="E3625" t="str">
            <v>AMANECER - MEYER,STEPHENIE</v>
          </cell>
          <cell r="F3625" t="str">
            <v>LIBRO</v>
          </cell>
          <cell r="G3625">
            <v>520511663</v>
          </cell>
          <cell r="H3625" t="str">
            <v>DIST. LEWIS</v>
          </cell>
          <cell r="I3625">
            <v>8.6029999999999998</v>
          </cell>
        </row>
        <row r="3626">
          <cell r="A3626" t="str">
            <v>19-03625</v>
          </cell>
          <cell r="B3626" t="str">
            <v>DIST. LEWIS</v>
          </cell>
          <cell r="C3626" t="str">
            <v>A</v>
          </cell>
          <cell r="D3626" t="str">
            <v>NO</v>
          </cell>
          <cell r="E3626" t="str">
            <v>CHICKEN SOUP SOUL THINK POSITIVE FO - CANFIELD,JACK</v>
          </cell>
          <cell r="F3626" t="str">
            <v>LIBRO</v>
          </cell>
          <cell r="G3626">
            <v>520415131</v>
          </cell>
          <cell r="H3626" t="str">
            <v>DIST. LEWIS</v>
          </cell>
          <cell r="I3626">
            <v>0</v>
          </cell>
        </row>
        <row r="3627">
          <cell r="A3627" t="str">
            <v>19-03626</v>
          </cell>
          <cell r="B3627" t="str">
            <v>DIST. LEWIS</v>
          </cell>
          <cell r="C3627" t="str">
            <v>A</v>
          </cell>
          <cell r="D3627" t="str">
            <v>NO</v>
          </cell>
          <cell r="E3627" t="str">
            <v>MOMENTO EN QUE TODO CAMBIO,EL - KENNEDY,DOUGLAS</v>
          </cell>
          <cell r="F3627" t="str">
            <v>LIBRO</v>
          </cell>
          <cell r="G3627">
            <v>520513815</v>
          </cell>
          <cell r="H3627" t="str">
            <v>DIST. LEWIS</v>
          </cell>
          <cell r="I3627">
            <v>14.92</v>
          </cell>
        </row>
        <row r="3628">
          <cell r="A3628" t="str">
            <v>19-03627</v>
          </cell>
          <cell r="B3628" t="str">
            <v>DIST. LEWIS</v>
          </cell>
          <cell r="C3628" t="str">
            <v>A</v>
          </cell>
          <cell r="D3628" t="str">
            <v>NO</v>
          </cell>
          <cell r="E3628" t="str">
            <v>OPRAH - KELLEY,KATTY</v>
          </cell>
          <cell r="F3628" t="str">
            <v>LIBRO</v>
          </cell>
          <cell r="G3628">
            <v>520512385</v>
          </cell>
          <cell r="H3628" t="str">
            <v>DIST. LEWIS</v>
          </cell>
          <cell r="I3628">
            <v>24.67</v>
          </cell>
        </row>
        <row r="3629">
          <cell r="A3629" t="str">
            <v>19-03628</v>
          </cell>
          <cell r="B3629" t="str">
            <v>DIST. LEWIS</v>
          </cell>
          <cell r="C3629" t="str">
            <v>A</v>
          </cell>
          <cell r="D3629" t="str">
            <v>NO</v>
          </cell>
          <cell r="E3629" t="str">
            <v>SENORITA DE TACNA/KATHIE Y EL HIPOP - VARGAS LLOSA,MARIO</v>
          </cell>
          <cell r="F3629" t="str">
            <v>LIBRO</v>
          </cell>
          <cell r="G3629">
            <v>522203402</v>
          </cell>
          <cell r="H3629" t="str">
            <v>DIST. LEWIS</v>
          </cell>
          <cell r="I3629">
            <v>0</v>
          </cell>
        </row>
        <row r="3630">
          <cell r="A3630" t="str">
            <v>19-03629</v>
          </cell>
          <cell r="B3630" t="str">
            <v>DIST. LEWIS</v>
          </cell>
          <cell r="C3630" t="str">
            <v>A</v>
          </cell>
          <cell r="D3630" t="str">
            <v>NO</v>
          </cell>
          <cell r="E3630" t="str">
            <v>20 MINUTE MANAGER ON CREATING BUSIN - HARVARD BUSINESS REV</v>
          </cell>
          <cell r="F3630" t="str">
            <v>LIBRO</v>
          </cell>
          <cell r="G3630">
            <v>520400260</v>
          </cell>
          <cell r="H3630" t="str">
            <v>DIST. LEWIS</v>
          </cell>
          <cell r="I3630">
            <v>9.07</v>
          </cell>
        </row>
        <row r="3631">
          <cell r="A3631" t="str">
            <v>19-03630</v>
          </cell>
          <cell r="B3631" t="str">
            <v>DIST. LEWIS</v>
          </cell>
          <cell r="C3631" t="str">
            <v>A</v>
          </cell>
          <cell r="D3631" t="str">
            <v>NO</v>
          </cell>
          <cell r="E3631" t="str">
            <v>CERRADOR, EL - MI VIDA - COFFEY, WAYNE</v>
          </cell>
          <cell r="F3631" t="str">
            <v>LIBRO</v>
          </cell>
          <cell r="G3631">
            <v>520421278</v>
          </cell>
          <cell r="H3631" t="str">
            <v>DIST. LEWIS</v>
          </cell>
          <cell r="I3631">
            <v>12.97</v>
          </cell>
        </row>
        <row r="3632">
          <cell r="A3632" t="str">
            <v>19-03631</v>
          </cell>
          <cell r="B3632" t="str">
            <v>H. MANCHA</v>
          </cell>
          <cell r="C3632" t="str">
            <v>A</v>
          </cell>
          <cell r="D3632" t="str">
            <v>SI</v>
          </cell>
          <cell r="E3632" t="str">
            <v>CINCUENTA SOMBRAS LIBERADAS - JAMES,E.L.</v>
          </cell>
          <cell r="F3632" t="str">
            <v>LIBRO</v>
          </cell>
          <cell r="G3632">
            <v>522609966</v>
          </cell>
          <cell r="H3632" t="str">
            <v>H. MANCHA</v>
          </cell>
          <cell r="I3632">
            <v>11.483000000000001</v>
          </cell>
        </row>
        <row r="3633">
          <cell r="A3633" t="str">
            <v>19-03632</v>
          </cell>
          <cell r="B3633" t="str">
            <v>DIST. LEWIS</v>
          </cell>
          <cell r="C3633" t="str">
            <v>A</v>
          </cell>
          <cell r="D3633" t="str">
            <v>NO</v>
          </cell>
          <cell r="E3633" t="str">
            <v>DISNEY FROZEN ROYAL SISTERS - DISNEY BOOK</v>
          </cell>
          <cell r="F3633" t="str">
            <v>LIBRO</v>
          </cell>
          <cell r="G3633">
            <v>520421348</v>
          </cell>
          <cell r="H3633" t="str">
            <v>DIST. LEWIS</v>
          </cell>
          <cell r="I3633">
            <v>11.69</v>
          </cell>
        </row>
        <row r="3634">
          <cell r="A3634" t="str">
            <v>19-03633</v>
          </cell>
          <cell r="B3634" t="str">
            <v>DIST. LEWIS</v>
          </cell>
          <cell r="C3634" t="str">
            <v>A</v>
          </cell>
          <cell r="D3634" t="str">
            <v>NO</v>
          </cell>
          <cell r="E3634" t="str">
            <v>MARTE Y VENUS ENAMORADOS - GRAY,JOHN</v>
          </cell>
          <cell r="F3634" t="str">
            <v>LIBRO</v>
          </cell>
          <cell r="G3634">
            <v>522609942</v>
          </cell>
          <cell r="H3634" t="str">
            <v>DIST. LEWIS</v>
          </cell>
          <cell r="I3634">
            <v>9.07</v>
          </cell>
        </row>
        <row r="3635">
          <cell r="A3635" t="str">
            <v>19-03634</v>
          </cell>
          <cell r="B3635" t="str">
            <v>DIST. LEWIS</v>
          </cell>
          <cell r="C3635" t="str">
            <v>A</v>
          </cell>
          <cell r="D3635" t="str">
            <v>NO</v>
          </cell>
          <cell r="E3635" t="str">
            <v>MARTE Y VENUS SALEN JUNTOS - GRAY,JOHN</v>
          </cell>
          <cell r="F3635" t="str">
            <v>LIBRO</v>
          </cell>
          <cell r="G3635">
            <v>522609943</v>
          </cell>
          <cell r="H3635" t="str">
            <v>DIST. LEWIS</v>
          </cell>
          <cell r="I3635">
            <v>10.08</v>
          </cell>
        </row>
        <row r="3636">
          <cell r="A3636" t="str">
            <v>19-03635</v>
          </cell>
          <cell r="B3636" t="str">
            <v>H. MANCHA</v>
          </cell>
          <cell r="C3636" t="str">
            <v>A</v>
          </cell>
          <cell r="D3636" t="str">
            <v>SI</v>
          </cell>
          <cell r="E3636" t="str">
            <v>NO HAY VERANO SIN TI - HAN,JENNY</v>
          </cell>
          <cell r="F3636" t="str">
            <v>LIBRO</v>
          </cell>
          <cell r="G3636">
            <v>520513409</v>
          </cell>
          <cell r="H3636" t="str">
            <v>H. MANCHA</v>
          </cell>
          <cell r="I3636">
            <v>15.803000000000001</v>
          </cell>
        </row>
        <row r="3637">
          <cell r="A3637" t="str">
            <v>19-03636</v>
          </cell>
          <cell r="B3637" t="str">
            <v>DIST. LEWIS</v>
          </cell>
          <cell r="C3637" t="str">
            <v>A</v>
          </cell>
          <cell r="D3637" t="str">
            <v>NO</v>
          </cell>
          <cell r="E3637" t="str">
            <v>POISON PRINCESS - COLE,KRESLEY</v>
          </cell>
          <cell r="F3637" t="str">
            <v>LIBRO</v>
          </cell>
          <cell r="G3637">
            <v>23353</v>
          </cell>
          <cell r="H3637" t="str">
            <v>DIST. LEWIS</v>
          </cell>
          <cell r="I3637">
            <v>7.14</v>
          </cell>
        </row>
        <row r="3638">
          <cell r="A3638" t="str">
            <v>19-03637</v>
          </cell>
          <cell r="B3638" t="str">
            <v>DIST. LEWIS</v>
          </cell>
          <cell r="C3638" t="str">
            <v>A</v>
          </cell>
          <cell r="D3638" t="str">
            <v>NO</v>
          </cell>
          <cell r="E3638" t="str">
            <v>TERMINAL MAN,THE - CRICHTON, MICHAEL</v>
          </cell>
          <cell r="F3638" t="str">
            <v>LIBRO</v>
          </cell>
          <cell r="G3638">
            <v>19127</v>
          </cell>
          <cell r="H3638" t="str">
            <v>DIST. LEWIS</v>
          </cell>
          <cell r="I3638">
            <v>0</v>
          </cell>
        </row>
        <row r="3639">
          <cell r="A3639" t="str">
            <v>19-03638</v>
          </cell>
          <cell r="B3639" t="str">
            <v>DIST. LEWIS</v>
          </cell>
          <cell r="C3639" t="str">
            <v>A</v>
          </cell>
          <cell r="D3639" t="str">
            <v>NO</v>
          </cell>
          <cell r="E3639" t="str">
            <v>VERANO EN QUE ME ENAMORE - HAN,JENNY</v>
          </cell>
          <cell r="F3639" t="str">
            <v>LIBRO</v>
          </cell>
          <cell r="G3639">
            <v>520513408</v>
          </cell>
          <cell r="H3639" t="str">
            <v>DIST. LEWIS</v>
          </cell>
          <cell r="I3639">
            <v>15.804</v>
          </cell>
        </row>
        <row r="3640">
          <cell r="A3640" t="str">
            <v>19-03639</v>
          </cell>
          <cell r="B3640" t="str">
            <v>DIST. LEWIS</v>
          </cell>
          <cell r="C3640" t="str">
            <v>A</v>
          </cell>
          <cell r="D3640" t="str">
            <v>NO</v>
          </cell>
          <cell r="E3640" t="str">
            <v>WHAT I KNOW FOR SURE - WINFREY,OPRAH</v>
          </cell>
          <cell r="F3640" t="str">
            <v>LIBRO</v>
          </cell>
          <cell r="G3640">
            <v>520404485</v>
          </cell>
          <cell r="H3640" t="str">
            <v>DIST. LEWIS</v>
          </cell>
          <cell r="I3640">
            <v>0</v>
          </cell>
        </row>
        <row r="3641">
          <cell r="A3641" t="str">
            <v>19-03640</v>
          </cell>
          <cell r="B3641" t="str">
            <v>DIST. LEWIS</v>
          </cell>
          <cell r="C3641" t="str">
            <v>A</v>
          </cell>
          <cell r="D3641" t="str">
            <v>NO</v>
          </cell>
          <cell r="E3641" t="str">
            <v>20 MINUTE MANAGER - MANAGING PROJEC - HARVARD BUSINESS REV</v>
          </cell>
          <cell r="F3641" t="str">
            <v>LIBRO</v>
          </cell>
          <cell r="G3641">
            <v>520400193</v>
          </cell>
          <cell r="H3641" t="str">
            <v>DIST. LEWIS</v>
          </cell>
          <cell r="I3641">
            <v>9.07</v>
          </cell>
        </row>
        <row r="3642">
          <cell r="A3642" t="str">
            <v>19-03641</v>
          </cell>
          <cell r="B3642" t="str">
            <v>DIST. LEWIS</v>
          </cell>
          <cell r="C3642" t="str">
            <v>A</v>
          </cell>
          <cell r="D3642" t="str">
            <v>NO</v>
          </cell>
          <cell r="E3642" t="str">
            <v>20 MINUTE MANAGER ON RUNNING MEETIN - HARVARD BUSINESS REV</v>
          </cell>
          <cell r="F3642" t="str">
            <v>LIBRO</v>
          </cell>
          <cell r="G3642">
            <v>520400268</v>
          </cell>
          <cell r="H3642" t="str">
            <v>DIST. LEWIS</v>
          </cell>
          <cell r="I3642">
            <v>9.07</v>
          </cell>
        </row>
        <row r="3643">
          <cell r="A3643" t="str">
            <v>19-03642</v>
          </cell>
          <cell r="B3643" t="str">
            <v>DIST. LEWIS</v>
          </cell>
          <cell r="C3643" t="str">
            <v>A</v>
          </cell>
          <cell r="D3643" t="str">
            <v>NO</v>
          </cell>
          <cell r="E3643" t="str">
            <v>CASA DE LOS ESPIRITUS - ALLENDE,ISABEL</v>
          </cell>
          <cell r="F3643" t="str">
            <v>LIBRO</v>
          </cell>
          <cell r="G3643">
            <v>520511065</v>
          </cell>
          <cell r="H3643" t="str">
            <v>DIST. LEWIS</v>
          </cell>
          <cell r="I3643">
            <v>0</v>
          </cell>
        </row>
        <row r="3644">
          <cell r="A3644" t="str">
            <v>19-03643</v>
          </cell>
          <cell r="B3644" t="str">
            <v>DIST. LEWIS</v>
          </cell>
          <cell r="C3644" t="str">
            <v>A</v>
          </cell>
          <cell r="D3644" t="str">
            <v>NO</v>
          </cell>
          <cell r="E3644" t="str">
            <v>CUADRANTE DEL FLUJO DE DINERO,EL - KIYOSAKI,ROBERT T.</v>
          </cell>
          <cell r="F3644" t="str">
            <v>LIBRO</v>
          </cell>
          <cell r="G3644">
            <v>520515973</v>
          </cell>
          <cell r="H3644" t="str">
            <v>DIST. LEWIS</v>
          </cell>
          <cell r="I3644">
            <v>17.88</v>
          </cell>
        </row>
        <row r="3645">
          <cell r="A3645" t="str">
            <v>19-03644</v>
          </cell>
          <cell r="B3645" t="str">
            <v>DIST. LEWIS</v>
          </cell>
          <cell r="C3645" t="str">
            <v>D</v>
          </cell>
          <cell r="D3645" t="str">
            <v>N/A</v>
          </cell>
          <cell r="E3645" t="str">
            <v>DESPIERTA EL GENIO FINANCIERO DE TU - KIYOSAKI,ROBERT T.</v>
          </cell>
          <cell r="F3645" t="str">
            <v>LIBRO</v>
          </cell>
          <cell r="G3645">
            <v>520515974</v>
          </cell>
          <cell r="H3645" t="str">
            <v>DIST. LEWIS</v>
          </cell>
          <cell r="I3645">
            <v>0</v>
          </cell>
        </row>
        <row r="3646">
          <cell r="A3646" t="str">
            <v>19-03645</v>
          </cell>
          <cell r="B3646" t="str">
            <v>DIST. LEWIS</v>
          </cell>
          <cell r="C3646" t="str">
            <v>A</v>
          </cell>
          <cell r="D3646" t="str">
            <v>NO</v>
          </cell>
          <cell r="E3646" t="str">
            <v>ENTRENAMIEMTO PARA HABLAR EN PUBLIC - KLEISER,GRENVILLE</v>
          </cell>
          <cell r="F3646" t="str">
            <v>LIBRO</v>
          </cell>
          <cell r="G3646">
            <v>522605688</v>
          </cell>
          <cell r="H3646" t="str">
            <v>DIST. LEWIS</v>
          </cell>
          <cell r="I3646">
            <v>0</v>
          </cell>
        </row>
        <row r="3647">
          <cell r="A3647" t="str">
            <v>19-03646</v>
          </cell>
          <cell r="B3647" t="str">
            <v>DIST. LEWIS</v>
          </cell>
          <cell r="C3647" t="str">
            <v>A</v>
          </cell>
          <cell r="D3647" t="str">
            <v>NO</v>
          </cell>
          <cell r="E3647" t="str">
            <v>SEVEN SPIRITUAL LAWS OF SUCCESS,THE - CHOPRA,DEEPAK</v>
          </cell>
          <cell r="F3647" t="str">
            <v>LIBRO</v>
          </cell>
          <cell r="G3647">
            <v>520400224</v>
          </cell>
          <cell r="H3647" t="str">
            <v>DIST. LEWIS</v>
          </cell>
          <cell r="I3647">
            <v>11.54</v>
          </cell>
        </row>
        <row r="3648">
          <cell r="A3648" t="str">
            <v>19-03647</v>
          </cell>
          <cell r="B3648" t="str">
            <v>DIST. LEWIS</v>
          </cell>
          <cell r="C3648" t="str">
            <v>A</v>
          </cell>
          <cell r="D3648" t="str">
            <v>NO</v>
          </cell>
          <cell r="E3648" t="str">
            <v>REFLEXIONES PARA VIVIR A PLENITUD - CALA,ISMAEL</v>
          </cell>
          <cell r="F3648" t="str">
            <v>LIBRO</v>
          </cell>
          <cell r="G3648">
            <v>716080</v>
          </cell>
          <cell r="H3648" t="str">
            <v>DIST. LEWIS</v>
          </cell>
          <cell r="I3648">
            <v>0</v>
          </cell>
        </row>
        <row r="3649">
          <cell r="A3649" t="str">
            <v>19-03648</v>
          </cell>
          <cell r="B3649" t="str">
            <v>DIST. LEWIS</v>
          </cell>
          <cell r="C3649" t="str">
            <v>A</v>
          </cell>
          <cell r="D3649" t="str">
            <v>NO</v>
          </cell>
          <cell r="E3649" t="str">
            <v>SCORCH TRIALS,THE - DASHNER,JAMES</v>
          </cell>
          <cell r="F3649" t="str">
            <v>LIBRO</v>
          </cell>
          <cell r="G3649">
            <v>520402391</v>
          </cell>
          <cell r="H3649" t="str">
            <v>DIST. LEWIS</v>
          </cell>
          <cell r="I3649">
            <v>9.09</v>
          </cell>
        </row>
        <row r="3650">
          <cell r="A3650" t="str">
            <v>19-03649</v>
          </cell>
          <cell r="B3650" t="str">
            <v>DIST. LEWIS</v>
          </cell>
          <cell r="C3650" t="str">
            <v>A</v>
          </cell>
          <cell r="D3650" t="str">
            <v>NO</v>
          </cell>
          <cell r="E3650" t="str">
            <v>SILKWORM,THE - GALBRAITH, R.</v>
          </cell>
          <cell r="F3650" t="str">
            <v>LIBRO</v>
          </cell>
          <cell r="G3650">
            <v>520421245</v>
          </cell>
          <cell r="H3650" t="str">
            <v>DIST. LEWIS</v>
          </cell>
          <cell r="I3650">
            <v>16.22</v>
          </cell>
        </row>
        <row r="3651">
          <cell r="A3651" t="str">
            <v>19-03650</v>
          </cell>
          <cell r="B3651" t="str">
            <v>DIST. LEWIS</v>
          </cell>
          <cell r="C3651" t="str">
            <v>A</v>
          </cell>
          <cell r="D3651" t="str">
            <v>NO</v>
          </cell>
          <cell r="E3651" t="str">
            <v>STRAIN,THE - DEL TORO,GUILLERMO</v>
          </cell>
          <cell r="F3651" t="str">
            <v>LIBRO</v>
          </cell>
          <cell r="G3651">
            <v>19126</v>
          </cell>
          <cell r="H3651" t="str">
            <v>DIST. LEWIS</v>
          </cell>
          <cell r="I3651">
            <v>6.47</v>
          </cell>
        </row>
        <row r="3652">
          <cell r="A3652" t="str">
            <v>19-03651</v>
          </cell>
          <cell r="B3652" t="str">
            <v>DIST. LEWIS</v>
          </cell>
          <cell r="C3652" t="str">
            <v>D</v>
          </cell>
          <cell r="D3652" t="str">
            <v>N/A</v>
          </cell>
          <cell r="E3652" t="str">
            <v>AMANECER - MEYER,STEPHENIE</v>
          </cell>
          <cell r="F3652" t="str">
            <v>LIBRO</v>
          </cell>
          <cell r="G3652">
            <v>532600110</v>
          </cell>
          <cell r="H3652" t="str">
            <v>DIST. LEWIS</v>
          </cell>
          <cell r="I3652">
            <v>0</v>
          </cell>
        </row>
        <row r="3653">
          <cell r="A3653" t="str">
            <v>19-03652</v>
          </cell>
          <cell r="B3653" t="str">
            <v>DIST. LEWIS</v>
          </cell>
          <cell r="C3653" t="str">
            <v>A</v>
          </cell>
          <cell r="D3653" t="str">
            <v>NO</v>
          </cell>
          <cell r="E3653" t="str">
            <v>CORONEL NO TIENE QUIEN LE ESCRIBA - GARCIA MARQUEZ,GABRI</v>
          </cell>
          <cell r="F3653" t="str">
            <v>LIBRO</v>
          </cell>
          <cell r="G3653">
            <v>520513390</v>
          </cell>
          <cell r="H3653" t="str">
            <v>DIST. LEWIS</v>
          </cell>
          <cell r="I3653">
            <v>6.444</v>
          </cell>
        </row>
        <row r="3654">
          <cell r="A3654" t="str">
            <v>19-03653</v>
          </cell>
          <cell r="B3654" t="str">
            <v>DIST. LEWIS</v>
          </cell>
          <cell r="C3654" t="str">
            <v>A</v>
          </cell>
          <cell r="D3654" t="str">
            <v>NO</v>
          </cell>
          <cell r="E3654" t="str">
            <v>CUADERNOS DE DON RIGOBERTO,LOS - VARGAS LLOSA,MARIO</v>
          </cell>
          <cell r="F3654" t="str">
            <v>LIBRO</v>
          </cell>
          <cell r="G3654">
            <v>522203281</v>
          </cell>
          <cell r="H3654" t="str">
            <v>DIST. LEWIS</v>
          </cell>
          <cell r="I3654">
            <v>6.47</v>
          </cell>
        </row>
        <row r="3655">
          <cell r="A3655" t="str">
            <v>19-03654</v>
          </cell>
          <cell r="B3655" t="str">
            <v>DIST. LEWIS</v>
          </cell>
          <cell r="C3655" t="str">
            <v>A</v>
          </cell>
          <cell r="D3655" t="str">
            <v>NO</v>
          </cell>
          <cell r="E3655" t="str">
            <v>LO QUE HE APRENDIDO EN LA VIDA - WINFREY,OPRAH</v>
          </cell>
          <cell r="F3655" t="str">
            <v>LIBRO</v>
          </cell>
          <cell r="G3655">
            <v>520515982</v>
          </cell>
          <cell r="H3655" t="str">
            <v>DIST. LEWIS</v>
          </cell>
          <cell r="I3655">
            <v>16.22</v>
          </cell>
        </row>
        <row r="3656">
          <cell r="A3656" t="str">
            <v>19-03655</v>
          </cell>
          <cell r="B3656" t="str">
            <v>DIST. LEWIS</v>
          </cell>
          <cell r="C3656" t="str">
            <v>A</v>
          </cell>
          <cell r="D3656" t="str">
            <v>NO</v>
          </cell>
          <cell r="E3656" t="str">
            <v>HOMBRES SON D/MARTE,LAS MUJ.SON D/V - GRAY,JOHN</v>
          </cell>
          <cell r="F3656" t="str">
            <v>LIBRO</v>
          </cell>
          <cell r="G3656">
            <v>520414185</v>
          </cell>
          <cell r="H3656" t="str">
            <v>DIST. LEWIS</v>
          </cell>
          <cell r="I3656">
            <v>11.04</v>
          </cell>
        </row>
        <row r="3657">
          <cell r="A3657" t="str">
            <v>19-03656</v>
          </cell>
          <cell r="B3657" t="str">
            <v>DIST. LEWIS</v>
          </cell>
          <cell r="C3657" t="str">
            <v>A</v>
          </cell>
          <cell r="D3657" t="str">
            <v>NO</v>
          </cell>
          <cell r="E3657" t="str">
            <v>PENGUINS MEET THE PENGUINS - PENDERGRASS,DAPHNE</v>
          </cell>
          <cell r="F3657" t="str">
            <v>LIBRO</v>
          </cell>
          <cell r="G3657">
            <v>520415529</v>
          </cell>
          <cell r="H3657" t="str">
            <v>DIST. LEWIS</v>
          </cell>
          <cell r="I3657">
            <v>2.93</v>
          </cell>
        </row>
        <row r="3658">
          <cell r="A3658" t="str">
            <v>19-03657</v>
          </cell>
          <cell r="B3658" t="str">
            <v>DIST. LEWIS</v>
          </cell>
          <cell r="C3658" t="str">
            <v>A</v>
          </cell>
          <cell r="D3658" t="str">
            <v>NO</v>
          </cell>
          <cell r="E3658" t="str">
            <v>20 MINUTE MANAGER - MANAGING TIME - HARVARD BUSINESS REV</v>
          </cell>
          <cell r="F3658" t="str">
            <v>LIBRO</v>
          </cell>
          <cell r="G3658">
            <v>520400194</v>
          </cell>
          <cell r="H3658" t="str">
            <v>DIST. LEWIS</v>
          </cell>
          <cell r="I3658">
            <v>9.07</v>
          </cell>
        </row>
        <row r="3659">
          <cell r="A3659" t="str">
            <v>19-03658</v>
          </cell>
          <cell r="B3659" t="str">
            <v>DIST. LEWIS</v>
          </cell>
          <cell r="C3659" t="str">
            <v>A</v>
          </cell>
          <cell r="D3659" t="str">
            <v>NO</v>
          </cell>
          <cell r="E3659" t="str">
            <v>FIFTY SHADES DARKER - JAMES,E L</v>
          </cell>
          <cell r="F3659" t="str">
            <v>LIBRO</v>
          </cell>
          <cell r="G3659">
            <v>520512478</v>
          </cell>
          <cell r="H3659" t="str">
            <v>DIST. LEWIS</v>
          </cell>
          <cell r="I3659">
            <v>10.37</v>
          </cell>
        </row>
        <row r="3660">
          <cell r="A3660" t="str">
            <v>19-03659</v>
          </cell>
          <cell r="B3660" t="str">
            <v>DIST. LEWIS</v>
          </cell>
          <cell r="C3660" t="str">
            <v>A</v>
          </cell>
          <cell r="D3660" t="str">
            <v>NO</v>
          </cell>
          <cell r="E3660" t="str">
            <v>NOCTURNA - DEL TORO,GUILLERMO</v>
          </cell>
          <cell r="F3660" t="str">
            <v>LIBRO</v>
          </cell>
          <cell r="G3660">
            <v>520511689</v>
          </cell>
          <cell r="H3660" t="str">
            <v>DIST. LEWIS</v>
          </cell>
          <cell r="I3660">
            <v>12.32</v>
          </cell>
        </row>
        <row r="3661">
          <cell r="A3661" t="str">
            <v>19-03660</v>
          </cell>
          <cell r="B3661" t="str">
            <v>DIST. LEWIS</v>
          </cell>
          <cell r="C3661" t="str">
            <v>A</v>
          </cell>
          <cell r="D3661" t="str">
            <v>NO</v>
          </cell>
          <cell r="E3661" t="str">
            <v>PETALS ON THE WIND - ANDREWS,V.C.</v>
          </cell>
          <cell r="F3661" t="str">
            <v>LIBRO</v>
          </cell>
          <cell r="G3661">
            <v>23381</v>
          </cell>
          <cell r="H3661" t="str">
            <v>DIST. LEWIS</v>
          </cell>
          <cell r="I3661">
            <v>5.84</v>
          </cell>
        </row>
        <row r="3662">
          <cell r="A3662" t="str">
            <v>19-03661</v>
          </cell>
          <cell r="B3662" t="str">
            <v>DIST. LEWIS</v>
          </cell>
          <cell r="C3662" t="str">
            <v>A</v>
          </cell>
          <cell r="D3662" t="str">
            <v>NO</v>
          </cell>
          <cell r="E3662" t="str">
            <v>PIRATE LATITUDES - CRICHTON,MICHAEL</v>
          </cell>
          <cell r="F3662" t="str">
            <v>LIBRO</v>
          </cell>
          <cell r="G3662">
            <v>19123</v>
          </cell>
          <cell r="H3662" t="str">
            <v>DIST. LEWIS</v>
          </cell>
          <cell r="I3662">
            <v>5.82</v>
          </cell>
        </row>
        <row r="3663">
          <cell r="A3663" t="str">
            <v>19-03662</v>
          </cell>
          <cell r="B3663" t="str">
            <v>DIST. LEWIS</v>
          </cell>
          <cell r="C3663" t="str">
            <v>A</v>
          </cell>
          <cell r="D3663" t="str">
            <v>NO</v>
          </cell>
          <cell r="E3663" t="str">
            <v>ELEANOR Y PARK - ROWELL,RAINBOW</v>
          </cell>
          <cell r="F3663" t="str">
            <v>LIBRO</v>
          </cell>
          <cell r="G3663">
            <v>522609917</v>
          </cell>
          <cell r="H3663" t="str">
            <v>DIST. LEWIS</v>
          </cell>
          <cell r="I3663">
            <v>15.57</v>
          </cell>
        </row>
        <row r="3664">
          <cell r="A3664" t="str">
            <v>19-03663</v>
          </cell>
          <cell r="B3664" t="str">
            <v>DIST. LEWIS</v>
          </cell>
          <cell r="C3664" t="str">
            <v>A</v>
          </cell>
          <cell r="D3664" t="str">
            <v>NO</v>
          </cell>
          <cell r="E3664" t="str">
            <v>GOOGLE BOYS,THE - BRIN,SERGEY/PAGE,LAR</v>
          </cell>
          <cell r="F3664" t="str">
            <v>LIBRO</v>
          </cell>
          <cell r="G3664">
            <v>520400246</v>
          </cell>
          <cell r="H3664" t="str">
            <v>DIST. LEWIS</v>
          </cell>
          <cell r="I3664">
            <v>7.8</v>
          </cell>
        </row>
        <row r="3665">
          <cell r="A3665" t="str">
            <v>19-03664</v>
          </cell>
          <cell r="B3665" t="str">
            <v>DIST. LEWIS</v>
          </cell>
          <cell r="C3665" t="str">
            <v>A</v>
          </cell>
          <cell r="D3665" t="str">
            <v>NO</v>
          </cell>
          <cell r="E3665" t="str">
            <v>COMUNICATE,CAUTIVA Y CONVENCE - VARGAS,GABY</v>
          </cell>
          <cell r="F3665" t="str">
            <v>LIBRO</v>
          </cell>
          <cell r="G3665">
            <v>520515972</v>
          </cell>
          <cell r="H3665" t="str">
            <v>DIST. LEWIS</v>
          </cell>
          <cell r="I3665">
            <v>19.47</v>
          </cell>
        </row>
        <row r="3666">
          <cell r="A3666" t="str">
            <v>19-03665</v>
          </cell>
          <cell r="B3666" t="str">
            <v>DIST. LEWIS</v>
          </cell>
          <cell r="C3666" t="str">
            <v>A</v>
          </cell>
          <cell r="D3666" t="str">
            <v>NO</v>
          </cell>
          <cell r="E3666" t="str">
            <v>LEY DE LA ATRACCION - WALKER ATKINSON,WILL</v>
          </cell>
          <cell r="F3666" t="str">
            <v>LIBRO</v>
          </cell>
          <cell r="G3666">
            <v>540003380</v>
          </cell>
          <cell r="H3666" t="str">
            <v>DIST. LEWIS</v>
          </cell>
          <cell r="I3666">
            <v>5.82</v>
          </cell>
        </row>
        <row r="3667">
          <cell r="A3667" t="str">
            <v>19-03666</v>
          </cell>
          <cell r="B3667" t="str">
            <v>DIST. LEWIS</v>
          </cell>
          <cell r="C3667" t="str">
            <v>A</v>
          </cell>
          <cell r="D3667" t="str">
            <v>NO</v>
          </cell>
          <cell r="E3667" t="str">
            <v>20 MINUTE MANAGER - FINANCE BASICS - HARVARD BUSINESS REV</v>
          </cell>
          <cell r="F3667" t="str">
            <v>LIBRO</v>
          </cell>
          <cell r="G3667">
            <v>520400192</v>
          </cell>
          <cell r="H3667" t="str">
            <v>DIST. LEWIS</v>
          </cell>
          <cell r="I3667">
            <v>9.07</v>
          </cell>
        </row>
        <row r="3668">
          <cell r="A3668" t="str">
            <v>19-03667</v>
          </cell>
          <cell r="B3668" t="str">
            <v>DIST. LEWIS</v>
          </cell>
          <cell r="C3668" t="str">
            <v>A</v>
          </cell>
          <cell r="D3668" t="str">
            <v>NO</v>
          </cell>
          <cell r="E3668" t="str">
            <v>2002 FORMAS DE DECIR "TE QUIERO" - HAYNES,CYNDI</v>
          </cell>
          <cell r="F3668" t="str">
            <v>LIBRO</v>
          </cell>
          <cell r="G3668">
            <v>523000119</v>
          </cell>
          <cell r="H3668" t="str">
            <v>DIST. LEWIS</v>
          </cell>
          <cell r="I3668">
            <v>3.24</v>
          </cell>
        </row>
        <row r="3669">
          <cell r="A3669" t="str">
            <v>19-03668</v>
          </cell>
          <cell r="B3669" t="str">
            <v>DIST. LEWIS</v>
          </cell>
          <cell r="C3669" t="str">
            <v>A</v>
          </cell>
          <cell r="D3669" t="str">
            <v>NO</v>
          </cell>
          <cell r="E3669" t="str">
            <v>FINDING ME - KNIGHT,MICHELLE</v>
          </cell>
          <cell r="F3669" t="str">
            <v>LIBRO</v>
          </cell>
          <cell r="G3669">
            <v>520400209</v>
          </cell>
          <cell r="H3669" t="str">
            <v>DIST. LEWIS</v>
          </cell>
          <cell r="I3669">
            <v>10.37</v>
          </cell>
        </row>
        <row r="3670">
          <cell r="A3670" t="str">
            <v>19-03669</v>
          </cell>
          <cell r="B3670" t="str">
            <v>DIST. LEWIS</v>
          </cell>
          <cell r="C3670" t="str">
            <v>A</v>
          </cell>
          <cell r="D3670" t="str">
            <v>NO</v>
          </cell>
          <cell r="E3670" t="str">
            <v>20 MINUTE MANAGER - PRESENTATIONS - HARVARD BUSINESS REV</v>
          </cell>
          <cell r="F3670" t="str">
            <v>LIBRO</v>
          </cell>
          <cell r="G3670">
            <v>520400195</v>
          </cell>
          <cell r="H3670" t="str">
            <v>DIST. LEWIS</v>
          </cell>
          <cell r="I3670">
            <v>9.07</v>
          </cell>
        </row>
        <row r="3671">
          <cell r="A3671" t="str">
            <v>19-03670</v>
          </cell>
          <cell r="B3671" t="str">
            <v>DIST. LEWIS</v>
          </cell>
          <cell r="C3671" t="str">
            <v>A</v>
          </cell>
          <cell r="D3671" t="str">
            <v>NO</v>
          </cell>
          <cell r="E3671" t="str">
            <v>ENDLESS KNIGHT-THE ARCANA CHRONICLE - COLE,KRESLEY</v>
          </cell>
          <cell r="F3671" t="str">
            <v>LIBRO</v>
          </cell>
          <cell r="G3671">
            <v>520415156</v>
          </cell>
          <cell r="H3671" t="str">
            <v>DIST. LEWIS</v>
          </cell>
          <cell r="I3671">
            <v>7.14</v>
          </cell>
        </row>
        <row r="3672">
          <cell r="A3672" t="str">
            <v>19-03671</v>
          </cell>
          <cell r="B3672" t="str">
            <v>DIST. LEWIS</v>
          </cell>
          <cell r="C3672" t="str">
            <v>A</v>
          </cell>
          <cell r="D3672" t="str">
            <v>NO</v>
          </cell>
          <cell r="E3672" t="str">
            <v>MAGNIFICENT MOLAS - PERRIN, MICHEL</v>
          </cell>
          <cell r="F3672" t="str">
            <v>LIBRO</v>
          </cell>
          <cell r="G3672">
            <v>520512446</v>
          </cell>
          <cell r="H3672" t="str">
            <v>DIST. LEWIS</v>
          </cell>
          <cell r="I3672">
            <v>35.72</v>
          </cell>
        </row>
        <row r="3673">
          <cell r="A3673" t="str">
            <v>19-03672</v>
          </cell>
          <cell r="B3673" t="str">
            <v>DIST. LEWIS</v>
          </cell>
          <cell r="C3673" t="str">
            <v>A</v>
          </cell>
          <cell r="D3673" t="str">
            <v>NO</v>
          </cell>
          <cell r="E3673" t="str">
            <v>TEMPLANZA,LA - DUE#AS,MARIA</v>
          </cell>
          <cell r="F3673" t="str">
            <v>LIBRO</v>
          </cell>
          <cell r="G3673">
            <v>520513345</v>
          </cell>
          <cell r="H3673" t="str">
            <v>DIST. LEWIS</v>
          </cell>
          <cell r="I3673">
            <v>20.77</v>
          </cell>
        </row>
        <row r="3674">
          <cell r="A3674" t="str">
            <v>19-03673</v>
          </cell>
          <cell r="B3674" t="str">
            <v>DIST. LEWIS</v>
          </cell>
          <cell r="C3674" t="str">
            <v>A</v>
          </cell>
          <cell r="D3674" t="str">
            <v>NO</v>
          </cell>
          <cell r="E3674" t="str">
            <v>CINCUENTA SOMBRAS MAS OSCURAS - JAMES,E.L.</v>
          </cell>
          <cell r="F3674" t="str">
            <v>LIBRO</v>
          </cell>
          <cell r="G3674">
            <v>522609967</v>
          </cell>
          <cell r="H3674" t="str">
            <v>DIST. LEWIS</v>
          </cell>
          <cell r="I3674">
            <v>11.483000000000001</v>
          </cell>
        </row>
        <row r="3675">
          <cell r="A3675" t="str">
            <v>19-03674</v>
          </cell>
          <cell r="B3675" t="str">
            <v>DIST. LEWIS</v>
          </cell>
          <cell r="C3675" t="str">
            <v>A</v>
          </cell>
          <cell r="D3675" t="str">
            <v>NO</v>
          </cell>
          <cell r="E3675" t="str">
            <v>GABO SIEMPRE - GAMBOA,SANTIAGO</v>
          </cell>
          <cell r="F3675" t="str">
            <v>LIBRO</v>
          </cell>
          <cell r="G3675">
            <v>522705835</v>
          </cell>
          <cell r="H3675" t="str">
            <v>DIST. LEWIS</v>
          </cell>
          <cell r="I3675">
            <v>20.77</v>
          </cell>
        </row>
        <row r="3676">
          <cell r="A3676" t="str">
            <v>19-03675</v>
          </cell>
          <cell r="B3676" t="str">
            <v>H. MANCHA</v>
          </cell>
          <cell r="C3676" t="str">
            <v>A</v>
          </cell>
          <cell r="D3676" t="str">
            <v>NO</v>
          </cell>
          <cell r="E3676" t="str">
            <v>ONCE MINUTOS - COELHO,PAULO</v>
          </cell>
          <cell r="F3676" t="str">
            <v>LIBRO</v>
          </cell>
          <cell r="G3676">
            <v>520511352</v>
          </cell>
          <cell r="H3676" t="str">
            <v>H. MANCHA</v>
          </cell>
          <cell r="I3676">
            <v>8.6029999999999998</v>
          </cell>
        </row>
        <row r="3677">
          <cell r="A3677" t="str">
            <v>19-03676</v>
          </cell>
          <cell r="B3677" t="str">
            <v>DIST. LEWIS</v>
          </cell>
          <cell r="C3677" t="str">
            <v>A</v>
          </cell>
          <cell r="D3677" t="str">
            <v>NO</v>
          </cell>
          <cell r="E3677" t="str">
            <v>PADRE RICO PADRE POBRE PARA JOVENES - KIYOSAKI ROBERT</v>
          </cell>
          <cell r="F3677" t="str">
            <v>LIBRO</v>
          </cell>
          <cell r="G3677">
            <v>522202262</v>
          </cell>
          <cell r="H3677" t="str">
            <v>DIST. LEWIS</v>
          </cell>
          <cell r="I3677">
            <v>7.8840000000000003</v>
          </cell>
        </row>
        <row r="3678">
          <cell r="A3678" t="str">
            <v>19-03677</v>
          </cell>
          <cell r="B3678" t="str">
            <v>H. MANCHA</v>
          </cell>
          <cell r="C3678" t="str">
            <v>A</v>
          </cell>
          <cell r="D3678" t="str">
            <v>NO</v>
          </cell>
          <cell r="E3678" t="str">
            <v>MANUAL DEL GUERRERO DE LA LUZ - COELHO,PABLO</v>
          </cell>
          <cell r="F3678" t="str">
            <v>LIBRO</v>
          </cell>
          <cell r="G3678">
            <v>520511246</v>
          </cell>
          <cell r="H3678" t="str">
            <v>H. MANCHA</v>
          </cell>
          <cell r="I3678">
            <v>7.883</v>
          </cell>
        </row>
        <row r="3679">
          <cell r="A3679" t="str">
            <v>19-03678</v>
          </cell>
          <cell r="B3679" t="str">
            <v>H. MANCHA</v>
          </cell>
          <cell r="C3679" t="str">
            <v>A</v>
          </cell>
          <cell r="D3679" t="str">
            <v>NO</v>
          </cell>
          <cell r="E3679" t="str">
            <v>ACABA ESTE LIBRO - SMITH,KERI</v>
          </cell>
          <cell r="F3679" t="str">
            <v>LIBRO</v>
          </cell>
          <cell r="G3679">
            <v>520513404</v>
          </cell>
          <cell r="H3679" t="str">
            <v>H. MANCHA</v>
          </cell>
          <cell r="I3679">
            <v>12.923</v>
          </cell>
        </row>
        <row r="3680">
          <cell r="A3680" t="str">
            <v>19-03679</v>
          </cell>
          <cell r="B3680" t="str">
            <v>DIST. LEWIS</v>
          </cell>
          <cell r="C3680" t="str">
            <v>A</v>
          </cell>
          <cell r="D3680" t="str">
            <v>NO</v>
          </cell>
          <cell r="E3680" t="str">
            <v>COMO GANAR AMIGOS EN LA ERA DIGITAL - CARNEGIE,DALE</v>
          </cell>
          <cell r="F3680" t="str">
            <v>LIBRO</v>
          </cell>
          <cell r="G3680">
            <v>520515603</v>
          </cell>
          <cell r="H3680" t="str">
            <v>DIST. LEWIS</v>
          </cell>
          <cell r="I3680">
            <v>14.92</v>
          </cell>
        </row>
        <row r="3681">
          <cell r="A3681" t="str">
            <v>19-03680</v>
          </cell>
          <cell r="B3681" t="str">
            <v>DIST. LEWIS</v>
          </cell>
          <cell r="C3681" t="str">
            <v>A</v>
          </cell>
          <cell r="D3681" t="str">
            <v>NO</v>
          </cell>
          <cell r="E3681" t="str">
            <v>FIX-IT AND FORGET IT - PELLMAN,PHYLLIS</v>
          </cell>
          <cell r="F3681" t="str">
            <v>LIBRO</v>
          </cell>
          <cell r="G3681">
            <v>523000519</v>
          </cell>
          <cell r="H3681" t="str">
            <v>DIST. LEWIS</v>
          </cell>
          <cell r="I3681">
            <v>0</v>
          </cell>
        </row>
        <row r="3682">
          <cell r="A3682" t="str">
            <v>19-03681</v>
          </cell>
          <cell r="B3682" t="str">
            <v>DIST. LEWIS</v>
          </cell>
          <cell r="C3682" t="str">
            <v>A</v>
          </cell>
          <cell r="D3682" t="str">
            <v>NO</v>
          </cell>
          <cell r="E3682" t="str">
            <v>CAMINO FACIL RAPIDO PARA HABLAR EFI - CARNEGIE,DOROTHY</v>
          </cell>
          <cell r="F3682" t="str">
            <v>LIBRO</v>
          </cell>
          <cell r="G3682">
            <v>520501248</v>
          </cell>
          <cell r="H3682" t="str">
            <v>DIST. LEWIS</v>
          </cell>
          <cell r="I3682">
            <v>14.92</v>
          </cell>
        </row>
        <row r="3683">
          <cell r="A3683" t="str">
            <v>19-03682</v>
          </cell>
          <cell r="B3683" t="str">
            <v>DIST. LEWIS</v>
          </cell>
          <cell r="C3683" t="str">
            <v>A</v>
          </cell>
          <cell r="D3683" t="str">
            <v>NO</v>
          </cell>
          <cell r="E3683" t="str">
            <v>PAQUETE PAULO COELHO 12 TITULOS - COELHO,PAULO</v>
          </cell>
          <cell r="F3683" t="str">
            <v>LIBRO</v>
          </cell>
          <cell r="G3683">
            <v>520515985</v>
          </cell>
          <cell r="H3683" t="str">
            <v>DIST. LEWIS</v>
          </cell>
          <cell r="I3683">
            <v>83.82</v>
          </cell>
        </row>
        <row r="3684">
          <cell r="A3684" t="str">
            <v>19-03683</v>
          </cell>
          <cell r="B3684" t="str">
            <v>DIST. LEWIS</v>
          </cell>
          <cell r="C3684" t="str">
            <v>A</v>
          </cell>
          <cell r="D3684" t="str">
            <v>NO</v>
          </cell>
          <cell r="E3684" t="str">
            <v>SCIENTOLOGY:L/FUND.D/PENSAMIENTO(AU - HUBBARD,L.RONALD</v>
          </cell>
          <cell r="F3684" t="str">
            <v>LIBRO</v>
          </cell>
          <cell r="G3684">
            <v>520413040</v>
          </cell>
          <cell r="H3684" t="str">
            <v>DIST. LEWIS</v>
          </cell>
          <cell r="I3684">
            <v>0</v>
          </cell>
        </row>
        <row r="3685">
          <cell r="A3685" t="str">
            <v>19-03684</v>
          </cell>
          <cell r="B3685" t="str">
            <v>DIST. LEWIS</v>
          </cell>
          <cell r="C3685" t="str">
            <v>A</v>
          </cell>
          <cell r="D3685" t="str">
            <v>NO</v>
          </cell>
          <cell r="E3685" t="str">
            <v>CAMINO A LA FELICIDAD,EL - HUBBARD,L.RONALD</v>
          </cell>
          <cell r="F3685" t="str">
            <v>LIBRO</v>
          </cell>
          <cell r="G3685">
            <v>520413010</v>
          </cell>
          <cell r="H3685" t="str">
            <v>DIST. LEWIS</v>
          </cell>
          <cell r="I3685">
            <v>10.73</v>
          </cell>
        </row>
        <row r="3686">
          <cell r="A3686" t="str">
            <v>19-03685</v>
          </cell>
          <cell r="B3686" t="str">
            <v>DIST. LEWIS</v>
          </cell>
          <cell r="C3686" t="str">
            <v>A</v>
          </cell>
          <cell r="D3686" t="str">
            <v>NO</v>
          </cell>
          <cell r="E3686" t="str">
            <v>CIEN ANOS DE SOLEDAD (2015) - GARCIA MARQUEZ,GABRI</v>
          </cell>
          <cell r="F3686" t="str">
            <v>LIBRO</v>
          </cell>
          <cell r="G3686">
            <v>520513391</v>
          </cell>
          <cell r="H3686" t="str">
            <v>DIST. LEWIS</v>
          </cell>
          <cell r="I3686">
            <v>9.7200000000000006</v>
          </cell>
        </row>
        <row r="3687">
          <cell r="A3687" t="str">
            <v>19-03686</v>
          </cell>
          <cell r="B3687" t="str">
            <v>DIST. LEWIS</v>
          </cell>
          <cell r="C3687" t="str">
            <v>A</v>
          </cell>
          <cell r="D3687" t="str">
            <v>NO</v>
          </cell>
          <cell r="E3687" t="str">
            <v>FUGA DEL CHAPO - RIVA P.,RAYMUNDO</v>
          </cell>
          <cell r="F3687" t="str">
            <v>LIBRO</v>
          </cell>
          <cell r="G3687">
            <v>520515994</v>
          </cell>
          <cell r="H3687" t="str">
            <v>DIST. LEWIS</v>
          </cell>
          <cell r="I3687">
            <v>9.07</v>
          </cell>
        </row>
        <row r="3688">
          <cell r="A3688" t="str">
            <v>19-03687</v>
          </cell>
          <cell r="B3688" t="str">
            <v>DIST. LEWIS</v>
          </cell>
          <cell r="C3688" t="str">
            <v>A</v>
          </cell>
          <cell r="D3688" t="str">
            <v>NO</v>
          </cell>
          <cell r="E3688" t="str">
            <v>GREY - JAMES, E L</v>
          </cell>
          <cell r="F3688" t="str">
            <v>LIBRO</v>
          </cell>
          <cell r="G3688">
            <v>520402326</v>
          </cell>
          <cell r="H3688" t="str">
            <v>DIST. LEWIS</v>
          </cell>
          <cell r="I3688">
            <v>0</v>
          </cell>
        </row>
        <row r="3689">
          <cell r="A3689" t="str">
            <v>19-03688</v>
          </cell>
          <cell r="B3689" t="str">
            <v>DIST. LEWIS</v>
          </cell>
          <cell r="C3689" t="str">
            <v>A</v>
          </cell>
          <cell r="D3689" t="str">
            <v>NO</v>
          </cell>
          <cell r="E3689" t="str">
            <v>ALQUIMISTA,EL - COELHO,PAULO</v>
          </cell>
          <cell r="F3689" t="str">
            <v>LIBRO</v>
          </cell>
          <cell r="G3689">
            <v>520511418</v>
          </cell>
          <cell r="H3689" t="str">
            <v>DIST. LEWIS</v>
          </cell>
          <cell r="I3689">
            <v>10.37</v>
          </cell>
        </row>
        <row r="3690">
          <cell r="A3690" t="str">
            <v>19-03689</v>
          </cell>
          <cell r="B3690" t="str">
            <v>DIST. LEWIS</v>
          </cell>
          <cell r="C3690" t="str">
            <v>A</v>
          </cell>
          <cell r="D3690" t="str">
            <v>NO</v>
          </cell>
          <cell r="E3690" t="str">
            <v>PIE DE BRUJA - ANDJUAR,CAROLINA</v>
          </cell>
          <cell r="F3690" t="str">
            <v>LIBRO</v>
          </cell>
          <cell r="G3690">
            <v>522705818</v>
          </cell>
          <cell r="H3690" t="str">
            <v>DIST. LEWIS</v>
          </cell>
          <cell r="I3690">
            <v>12.97</v>
          </cell>
        </row>
        <row r="3691">
          <cell r="A3691" t="str">
            <v>19-03690</v>
          </cell>
          <cell r="B3691" t="str">
            <v>DIST. LEWIS</v>
          </cell>
          <cell r="C3691" t="str">
            <v>A</v>
          </cell>
          <cell r="D3691" t="str">
            <v>NO</v>
          </cell>
          <cell r="E3691" t="str">
            <v>SANTA BIBLIA #0247 BOLS.-ZIPPER-LUJ - STAMPLEY</v>
          </cell>
          <cell r="F3691" t="str">
            <v>LIBRO</v>
          </cell>
          <cell r="G3691">
            <v>540000903</v>
          </cell>
          <cell r="H3691" t="str">
            <v>DIST. LEWIS</v>
          </cell>
          <cell r="I3691">
            <v>16.22</v>
          </cell>
        </row>
        <row r="3692">
          <cell r="A3692" t="str">
            <v>19-03691</v>
          </cell>
          <cell r="B3692" t="str">
            <v>DIST. LEWIS</v>
          </cell>
          <cell r="C3692" t="str">
            <v>A</v>
          </cell>
          <cell r="D3692" t="str">
            <v>NO</v>
          </cell>
          <cell r="E3692" t="str">
            <v>DON QUIJOTE DE LA MANCHA - CERVANTES,MIGUEL DE</v>
          </cell>
          <cell r="F3692" t="str">
            <v>LIBRO</v>
          </cell>
          <cell r="G3692">
            <v>540000856</v>
          </cell>
          <cell r="H3692" t="str">
            <v>DIST. LEWIS</v>
          </cell>
          <cell r="I3692">
            <v>8.7799999999999994</v>
          </cell>
        </row>
        <row r="3693">
          <cell r="A3693" t="str">
            <v>19-03692</v>
          </cell>
          <cell r="B3693" t="str">
            <v>DIST. LEWIS</v>
          </cell>
          <cell r="C3693" t="str">
            <v>A</v>
          </cell>
          <cell r="D3693" t="str">
            <v>NO</v>
          </cell>
          <cell r="E3693" t="str">
            <v>CONFESION DE MICAELA,LA - CURBELO,CECILIA</v>
          </cell>
          <cell r="F3693" t="str">
            <v>LIBRO</v>
          </cell>
          <cell r="G3693">
            <v>530502</v>
          </cell>
          <cell r="H3693" t="str">
            <v>DIST. LEWIS</v>
          </cell>
          <cell r="I3693">
            <v>8.42</v>
          </cell>
        </row>
        <row r="3694">
          <cell r="A3694" t="str">
            <v>19-03693</v>
          </cell>
          <cell r="B3694" t="str">
            <v>DIST. LEWIS</v>
          </cell>
          <cell r="C3694" t="str">
            <v>A</v>
          </cell>
          <cell r="D3694" t="str">
            <v>NO</v>
          </cell>
          <cell r="E3694" t="str">
            <v>GREY - JAMES,E.L.</v>
          </cell>
          <cell r="F3694" t="str">
            <v>LIBRO</v>
          </cell>
          <cell r="G3694">
            <v>522705848</v>
          </cell>
          <cell r="H3694" t="str">
            <v>DIST. LEWIS</v>
          </cell>
          <cell r="I3694">
            <v>14.92</v>
          </cell>
        </row>
        <row r="3695">
          <cell r="A3695" t="str">
            <v>19-03694</v>
          </cell>
          <cell r="B3695" t="str">
            <v>DIST. LEWIS</v>
          </cell>
          <cell r="C3695" t="str">
            <v>A</v>
          </cell>
          <cell r="D3695" t="str">
            <v>NO</v>
          </cell>
          <cell r="E3695" t="str">
            <v>AGENDA 2015 PARA LA MAMA OCUPADISIM - STERMAN,DEMIAN</v>
          </cell>
          <cell r="F3695" t="str">
            <v>LIBRO</v>
          </cell>
          <cell r="G3695">
            <v>530019</v>
          </cell>
          <cell r="H3695" t="str">
            <v>DIST. LEWIS</v>
          </cell>
          <cell r="I3695">
            <v>0</v>
          </cell>
        </row>
        <row r="3696">
          <cell r="A3696" t="str">
            <v>19-03695</v>
          </cell>
          <cell r="B3696" t="str">
            <v>DIST. LEWIS</v>
          </cell>
          <cell r="C3696" t="str">
            <v>A</v>
          </cell>
          <cell r="D3696" t="str">
            <v>NO</v>
          </cell>
          <cell r="E3696" t="str">
            <v>GRIETA BLANCA - MORIATY,JACLYN</v>
          </cell>
          <cell r="F3696" t="str">
            <v>LIBRO</v>
          </cell>
          <cell r="G3696">
            <v>521002072</v>
          </cell>
          <cell r="H3696" t="str">
            <v>DIST. LEWIS</v>
          </cell>
          <cell r="I3696">
            <v>11.67</v>
          </cell>
        </row>
        <row r="3697">
          <cell r="A3697" t="str">
            <v>19-03696</v>
          </cell>
          <cell r="B3697" t="str">
            <v>DIST. LEWIS</v>
          </cell>
          <cell r="C3697" t="str">
            <v>A</v>
          </cell>
          <cell r="D3697" t="str">
            <v>NO</v>
          </cell>
          <cell r="E3697" t="str">
            <v>MUJERES QUE AMARON A TINO HUNTER - VELASQUEZ, ITZEL</v>
          </cell>
          <cell r="F3697" t="str">
            <v>LIBRO</v>
          </cell>
          <cell r="G3697">
            <v>522705813</v>
          </cell>
          <cell r="H3697" t="str">
            <v>DIST. LEWIS</v>
          </cell>
          <cell r="I3697">
            <v>14.27</v>
          </cell>
        </row>
        <row r="3698">
          <cell r="A3698" t="str">
            <v>19-03697</v>
          </cell>
          <cell r="B3698" t="str">
            <v>DIST. LEWIS</v>
          </cell>
          <cell r="C3698" t="str">
            <v>A</v>
          </cell>
          <cell r="D3698" t="str">
            <v>NO</v>
          </cell>
          <cell r="E3698" t="str">
            <v>ABRE TU CORAZON A LOS ANGELES - PAGAN NIEVES,JOYCE A</v>
          </cell>
          <cell r="F3698" t="str">
            <v>LIBRO</v>
          </cell>
          <cell r="G3698">
            <v>523000157</v>
          </cell>
          <cell r="H3698" t="str">
            <v>DIST. LEWIS</v>
          </cell>
          <cell r="I3698">
            <v>7.14</v>
          </cell>
        </row>
        <row r="3699">
          <cell r="A3699" t="str">
            <v>19-03698</v>
          </cell>
          <cell r="B3699" t="str">
            <v>DIST. LEWIS</v>
          </cell>
          <cell r="C3699" t="str">
            <v>A</v>
          </cell>
          <cell r="D3699" t="str">
            <v>NO</v>
          </cell>
          <cell r="E3699" t="str">
            <v>VAMOS A EXPLORAR - FROSS,KITTY</v>
          </cell>
          <cell r="F3699" t="str">
            <v>LIBRO</v>
          </cell>
          <cell r="G3699">
            <v>522202240</v>
          </cell>
          <cell r="H3699" t="str">
            <v>DIST. LEWIS</v>
          </cell>
          <cell r="I3699">
            <v>0</v>
          </cell>
        </row>
        <row r="3700">
          <cell r="A3700" t="str">
            <v>19-03699</v>
          </cell>
          <cell r="B3700" t="str">
            <v>DIST. LEWIS</v>
          </cell>
          <cell r="C3700" t="str">
            <v>A</v>
          </cell>
          <cell r="D3700" t="str">
            <v>NO</v>
          </cell>
          <cell r="E3700" t="str">
            <v>HABIA UNA VEZ - EDITORIAL GENTE NUEV</v>
          </cell>
          <cell r="F3700" t="str">
            <v>LIBRO</v>
          </cell>
          <cell r="G3700">
            <v>540000767</v>
          </cell>
          <cell r="H3700" t="str">
            <v>DIST. LEWIS</v>
          </cell>
          <cell r="I3700">
            <v>6.47</v>
          </cell>
        </row>
        <row r="3701">
          <cell r="A3701" t="str">
            <v>19-03700</v>
          </cell>
          <cell r="B3701" t="str">
            <v>DIST. LEWIS</v>
          </cell>
          <cell r="C3701" t="str">
            <v>A</v>
          </cell>
          <cell r="D3701" t="str">
            <v>NO</v>
          </cell>
          <cell r="E3701" t="str">
            <v>VIVE LA VIDA DE TUS SUENOS - LLORENS,MARTIN</v>
          </cell>
          <cell r="F3701" t="str">
            <v>LIBRO</v>
          </cell>
          <cell r="G3701">
            <v>520416085</v>
          </cell>
          <cell r="H3701" t="str">
            <v>DIST. LEWIS</v>
          </cell>
          <cell r="I3701">
            <v>14.79</v>
          </cell>
        </row>
        <row r="3702">
          <cell r="A3702" t="str">
            <v>19-03701</v>
          </cell>
          <cell r="B3702" t="str">
            <v>DIST. LEWIS</v>
          </cell>
          <cell r="C3702" t="str">
            <v>A</v>
          </cell>
          <cell r="D3702" t="str">
            <v>NO</v>
          </cell>
          <cell r="E3702" t="str">
            <v>OTRA VIDA DE BELEN,LA - CURBELO,CECILIA</v>
          </cell>
          <cell r="F3702" t="str">
            <v>LIBRO</v>
          </cell>
          <cell r="G3702">
            <v>530503</v>
          </cell>
          <cell r="H3702" t="str">
            <v>DIST. LEWIS</v>
          </cell>
          <cell r="I3702">
            <v>8.42</v>
          </cell>
        </row>
        <row r="3703">
          <cell r="A3703" t="str">
            <v>19-03702</v>
          </cell>
          <cell r="B3703" t="str">
            <v>DIST. LEWIS</v>
          </cell>
          <cell r="C3703" t="str">
            <v>A</v>
          </cell>
          <cell r="D3703" t="str">
            <v>NO</v>
          </cell>
          <cell r="E3703" t="str">
            <v>TOCINO DEL CIELO - BRITTON,ROSA MARIA</v>
          </cell>
          <cell r="F3703" t="str">
            <v>LIBRO</v>
          </cell>
          <cell r="G3703">
            <v>520515966</v>
          </cell>
          <cell r="H3703" t="str">
            <v>DIST. LEWIS</v>
          </cell>
          <cell r="I3703">
            <v>16.579999999999998</v>
          </cell>
        </row>
        <row r="3704">
          <cell r="A3704" t="str">
            <v>19-03703</v>
          </cell>
          <cell r="B3704" t="str">
            <v>DIST. LEWIS</v>
          </cell>
          <cell r="C3704" t="str">
            <v>A</v>
          </cell>
          <cell r="D3704" t="str">
            <v>NO</v>
          </cell>
          <cell r="E3704" t="str">
            <v>DIANETICA (LACIENCIA MODERNA D/LSAL - HUBBARD,L.RONALD</v>
          </cell>
          <cell r="F3704" t="str">
            <v>LIBRO</v>
          </cell>
          <cell r="G3704">
            <v>520413011</v>
          </cell>
          <cell r="H3704" t="str">
            <v>DIST. LEWIS</v>
          </cell>
          <cell r="I3704">
            <v>14.27</v>
          </cell>
        </row>
        <row r="3705">
          <cell r="A3705" t="str">
            <v>19-03704</v>
          </cell>
          <cell r="B3705" t="str">
            <v>DIST. LEWIS</v>
          </cell>
          <cell r="C3705" t="str">
            <v>A</v>
          </cell>
          <cell r="D3705" t="str">
            <v>NO</v>
          </cell>
          <cell r="E3705" t="str">
            <v>TU QUINCEANERA - BRIDGER,ALEYSO</v>
          </cell>
          <cell r="F3705" t="str">
            <v>LIBRO</v>
          </cell>
          <cell r="G3705">
            <v>520416132</v>
          </cell>
          <cell r="H3705" t="str">
            <v>DIST. LEWIS</v>
          </cell>
          <cell r="I3705">
            <v>7.77</v>
          </cell>
        </row>
        <row r="3706">
          <cell r="A3706" t="str">
            <v>19-03705</v>
          </cell>
          <cell r="B3706" t="str">
            <v>DIST. LEWIS</v>
          </cell>
          <cell r="C3706" t="str">
            <v>A</v>
          </cell>
          <cell r="D3706" t="str">
            <v>NO</v>
          </cell>
          <cell r="E3706" t="str">
            <v>VIDA PRIVADA DE STALIN, LA - MARCOU LILLY</v>
          </cell>
          <cell r="F3706" t="str">
            <v>LIBRO</v>
          </cell>
          <cell r="G3706">
            <v>520515156</v>
          </cell>
          <cell r="H3706" t="str">
            <v>DIST. LEWIS</v>
          </cell>
          <cell r="I3706">
            <v>7.14</v>
          </cell>
        </row>
        <row r="3707">
          <cell r="A3707" t="str">
            <v>19-03706</v>
          </cell>
          <cell r="B3707" t="str">
            <v>DIST. LEWIS</v>
          </cell>
          <cell r="C3707" t="str">
            <v>A</v>
          </cell>
          <cell r="D3707" t="str">
            <v>NO</v>
          </cell>
          <cell r="E3707" t="str">
            <v>TANTRA, ENERGIA Y EXTASIS - OSHO</v>
          </cell>
          <cell r="F3707" t="str">
            <v>LIBRO</v>
          </cell>
          <cell r="G3707">
            <v>520504257</v>
          </cell>
          <cell r="H3707" t="str">
            <v>DIST. LEWIS</v>
          </cell>
          <cell r="I3707">
            <v>10.73</v>
          </cell>
        </row>
        <row r="3708">
          <cell r="A3708" t="str">
            <v>19-03707</v>
          </cell>
          <cell r="B3708" t="str">
            <v>DIST. LEWIS</v>
          </cell>
          <cell r="C3708" t="str">
            <v>A</v>
          </cell>
          <cell r="D3708" t="str">
            <v>NO</v>
          </cell>
          <cell r="E3708" t="str">
            <v>AIR CLASSICS</v>
          </cell>
          <cell r="F3708" t="str">
            <v>LIBRO</v>
          </cell>
          <cell r="G3708">
            <v>2558</v>
          </cell>
          <cell r="H3708" t="str">
            <v>DIST. LEWIS</v>
          </cell>
          <cell r="I3708">
            <v>7.96</v>
          </cell>
        </row>
        <row r="3709">
          <cell r="A3709" t="str">
            <v>19-03708</v>
          </cell>
          <cell r="B3709" t="str">
            <v>DIST. LEWIS</v>
          </cell>
          <cell r="C3709" t="str">
            <v>A</v>
          </cell>
          <cell r="D3709" t="str">
            <v>SI</v>
          </cell>
          <cell r="E3709" t="str">
            <v>PREVENTION GUIDE</v>
          </cell>
          <cell r="F3709" t="str">
            <v>MAGAZINE</v>
          </cell>
          <cell r="G3709">
            <v>1632</v>
          </cell>
          <cell r="H3709" t="str">
            <v>DIST. LEWIS</v>
          </cell>
          <cell r="I3709">
            <v>4.4000000000000004</v>
          </cell>
        </row>
        <row r="3710">
          <cell r="A3710" t="str">
            <v>19-03709</v>
          </cell>
          <cell r="B3710" t="str">
            <v>DIST. LEWIS</v>
          </cell>
          <cell r="C3710" t="str">
            <v>A</v>
          </cell>
          <cell r="D3710" t="str">
            <v>SI</v>
          </cell>
          <cell r="E3710" t="str">
            <v>SMITHSONIAN</v>
          </cell>
          <cell r="F3710" t="str">
            <v>MAGAZINE</v>
          </cell>
          <cell r="G3710">
            <v>2404</v>
          </cell>
          <cell r="H3710" t="str">
            <v>DIST. LEWIS</v>
          </cell>
          <cell r="I3710">
            <v>6.36</v>
          </cell>
        </row>
        <row r="3711">
          <cell r="A3711" t="str">
            <v>19-03710</v>
          </cell>
          <cell r="B3711" t="str">
            <v>DIST. LEWIS</v>
          </cell>
          <cell r="C3711" t="str">
            <v>A</v>
          </cell>
          <cell r="D3711" t="str">
            <v>SI</v>
          </cell>
          <cell r="E3711" t="str">
            <v>PREVENTION / FIT IN 10</v>
          </cell>
          <cell r="F3711" t="str">
            <v>MAGAZINE</v>
          </cell>
          <cell r="G3711">
            <v>1613</v>
          </cell>
          <cell r="H3711" t="str">
            <v>DIST. LEWIS</v>
          </cell>
          <cell r="I3711">
            <v>9.6</v>
          </cell>
        </row>
        <row r="3712">
          <cell r="A3712" t="str">
            <v>19-03711</v>
          </cell>
          <cell r="B3712" t="str">
            <v>DIST. LEWIS</v>
          </cell>
          <cell r="C3712" t="str">
            <v>A</v>
          </cell>
          <cell r="D3712" t="str">
            <v>SI</v>
          </cell>
          <cell r="E3712" t="str">
            <v>WOMAN'S DAY</v>
          </cell>
          <cell r="F3712" t="str">
            <v>MAGAZINE</v>
          </cell>
          <cell r="G3712">
            <v>8008</v>
          </cell>
          <cell r="H3712" t="str">
            <v>DIST. LEWIS</v>
          </cell>
          <cell r="I3712">
            <v>2.6</v>
          </cell>
        </row>
        <row r="3713">
          <cell r="A3713" t="str">
            <v>19-03712</v>
          </cell>
          <cell r="B3713" t="str">
            <v>SUPER XTRA</v>
          </cell>
          <cell r="C3713" t="str">
            <v>A</v>
          </cell>
          <cell r="D3713" t="str">
            <v>N/A</v>
          </cell>
          <cell r="E3713" t="str">
            <v>PFIZER CHAPSTICK MORA</v>
          </cell>
          <cell r="F3713" t="str">
            <v>LAPIZ LABIAL</v>
          </cell>
          <cell r="G3713">
            <v>512724500</v>
          </cell>
          <cell r="H3713" t="str">
            <v>PFIZER</v>
          </cell>
          <cell r="I3713">
            <v>2.77</v>
          </cell>
        </row>
        <row r="3714">
          <cell r="A3714" t="str">
            <v>19-03713</v>
          </cell>
          <cell r="B3714" t="str">
            <v>DIST. LEWIS</v>
          </cell>
          <cell r="C3714" t="str">
            <v>A</v>
          </cell>
          <cell r="D3714" t="str">
            <v>SI</v>
          </cell>
          <cell r="E3714" t="str">
            <v>SALTWATER SPORTSMAN</v>
          </cell>
          <cell r="F3714" t="str">
            <v>MAGAZINE</v>
          </cell>
          <cell r="G3714">
            <v>71265</v>
          </cell>
          <cell r="H3714" t="str">
            <v>DIST. LEWIS</v>
          </cell>
          <cell r="I3714">
            <v>4.4000000000000004</v>
          </cell>
        </row>
        <row r="3715">
          <cell r="A3715" t="str">
            <v>19-03714</v>
          </cell>
          <cell r="B3715" t="str">
            <v>DIST. LEWIS</v>
          </cell>
          <cell r="C3715" t="str">
            <v>A</v>
          </cell>
          <cell r="D3715" t="str">
            <v>SI</v>
          </cell>
          <cell r="E3715" t="str">
            <v>COUNTRY COLLECT: GREAT BACKYARDS</v>
          </cell>
          <cell r="F3715" t="str">
            <v>MAGAZINE</v>
          </cell>
          <cell r="G3715">
            <v>1509</v>
          </cell>
          <cell r="H3715" t="str">
            <v>DIST. LEWIS</v>
          </cell>
          <cell r="I3715">
            <v>8.8000000000000007</v>
          </cell>
        </row>
        <row r="3716">
          <cell r="A3716" t="str">
            <v>19-03715</v>
          </cell>
          <cell r="B3716" t="str">
            <v>DIST. LEWIS</v>
          </cell>
          <cell r="C3716" t="str">
            <v>A</v>
          </cell>
          <cell r="D3716" t="str">
            <v>SI</v>
          </cell>
          <cell r="E3716" t="str">
            <v>SOPA DE LETRAS</v>
          </cell>
          <cell r="F3716" t="str">
            <v>MATATIEMPO</v>
          </cell>
          <cell r="G3716" t="str">
            <v>PASASOPA</v>
          </cell>
          <cell r="H3716" t="str">
            <v>DIST. LEWIS</v>
          </cell>
          <cell r="I3716">
            <v>2.36</v>
          </cell>
        </row>
        <row r="3717">
          <cell r="A3717" t="str">
            <v>19-03716</v>
          </cell>
          <cell r="B3717" t="str">
            <v>SUPER XTRA</v>
          </cell>
          <cell r="C3717" t="str">
            <v>A</v>
          </cell>
          <cell r="D3717" t="str">
            <v>N/A</v>
          </cell>
          <cell r="E3717" t="str">
            <v>BAYER DORIVAL 60TABSX200MG</v>
          </cell>
          <cell r="F3717" t="str">
            <v>MEDICINA</v>
          </cell>
          <cell r="G3717">
            <v>10006558</v>
          </cell>
          <cell r="H3717" t="str">
            <v>BAYER</v>
          </cell>
          <cell r="I3717">
            <v>2.2000000000000002</v>
          </cell>
        </row>
        <row r="3718">
          <cell r="A3718" t="str">
            <v>19-03717</v>
          </cell>
          <cell r="B3718" t="str">
            <v>SUPER XTRA</v>
          </cell>
          <cell r="C3718" t="str">
            <v>A</v>
          </cell>
          <cell r="D3718" t="str">
            <v>N/A</v>
          </cell>
          <cell r="E3718" t="str">
            <v>BAYER TABCIN GRIPE Y TOS EFERVESCENTE 12TABS</v>
          </cell>
          <cell r="F3718" t="str">
            <v>MEDICINA</v>
          </cell>
          <cell r="G3718">
            <v>10006564</v>
          </cell>
          <cell r="H3718" t="str">
            <v>BAYER</v>
          </cell>
          <cell r="I3718">
            <v>2.5</v>
          </cell>
        </row>
        <row r="3719">
          <cell r="A3719" t="str">
            <v>19-03718</v>
          </cell>
          <cell r="B3719" t="str">
            <v>MOTTA INT.</v>
          </cell>
          <cell r="C3719" t="str">
            <v>A</v>
          </cell>
          <cell r="D3719" t="str">
            <v>NO</v>
          </cell>
          <cell r="E3719" t="str">
            <v>B3834AS00 HASBRO STAR WARS E7 BLACK SERIES FIGURAS 6</v>
          </cell>
          <cell r="F3719" t="str">
            <v>JUGUETES</v>
          </cell>
          <cell r="G3719" t="str">
            <v>IHASB3834AS00</v>
          </cell>
          <cell r="H3719" t="str">
            <v>HASBRO</v>
          </cell>
          <cell r="I3719">
            <v>18.25</v>
          </cell>
        </row>
        <row r="3720">
          <cell r="A3720" t="str">
            <v>19-03719</v>
          </cell>
          <cell r="B3720" t="str">
            <v>MOTTA INT.</v>
          </cell>
          <cell r="C3720" t="str">
            <v>A</v>
          </cell>
          <cell r="D3720" t="str">
            <v>NO</v>
          </cell>
          <cell r="E3720" t="str">
            <v>WB5517 HASBRO PLAY DOH CLASSIC COLOR - SURTIDO</v>
          </cell>
          <cell r="F3720" t="str">
            <v>JUGUETES</v>
          </cell>
          <cell r="G3720" t="str">
            <v>WB5517</v>
          </cell>
          <cell r="H3720" t="str">
            <v>HASBRO</v>
          </cell>
          <cell r="I3720">
            <v>2.33</v>
          </cell>
        </row>
        <row r="3721">
          <cell r="A3721" t="str">
            <v>19-03720</v>
          </cell>
          <cell r="B3721" t="str">
            <v>MOTTA INT.</v>
          </cell>
          <cell r="C3721" t="str">
            <v>A</v>
          </cell>
          <cell r="D3721" t="str">
            <v>NO</v>
          </cell>
          <cell r="E3721" t="str">
            <v>B6660 HASBRO AVENGERS TITAN HERO 12" FIGURE-SURTIDO</v>
          </cell>
          <cell r="F3721" t="str">
            <v>JUGUETES</v>
          </cell>
          <cell r="G3721" t="str">
            <v>IHASB6660</v>
          </cell>
          <cell r="H3721" t="str">
            <v>HASBRO</v>
          </cell>
          <cell r="I3721">
            <v>7.79</v>
          </cell>
        </row>
        <row r="3722">
          <cell r="A3722" t="str">
            <v>19-03721</v>
          </cell>
          <cell r="B3722" t="str">
            <v>MOTTA INT.</v>
          </cell>
          <cell r="C3722" t="str">
            <v>A</v>
          </cell>
          <cell r="D3722" t="str">
            <v>NO</v>
          </cell>
          <cell r="E3722" t="str">
            <v>B6295 HASBRO AVENGERS 3.75" ALL STAR FIGURE-SURTIDO HAWKEYE</v>
          </cell>
          <cell r="F3722" t="str">
            <v>JUGUETES</v>
          </cell>
          <cell r="G3722" t="str">
            <v>IHASB6295</v>
          </cell>
          <cell r="H3722" t="str">
            <v>HASBRO</v>
          </cell>
          <cell r="I3722">
            <v>4.3</v>
          </cell>
        </row>
        <row r="3723">
          <cell r="A3723" t="str">
            <v>19-03722</v>
          </cell>
          <cell r="B3723" t="str">
            <v>MOTTA INT.</v>
          </cell>
          <cell r="C3723" t="str">
            <v>A</v>
          </cell>
          <cell r="D3723" t="str">
            <v>NO</v>
          </cell>
          <cell r="E3723" t="str">
            <v>WB5284 HASBRO DISNEY PRINCESS CLASSIC FASHION DOLL - SURTIDO</v>
          </cell>
          <cell r="F3723" t="str">
            <v>JUGUETES</v>
          </cell>
          <cell r="G3723" t="str">
            <v>WB5284</v>
          </cell>
          <cell r="H3723" t="str">
            <v>HASBRO</v>
          </cell>
          <cell r="I3723">
            <v>9.5</v>
          </cell>
        </row>
        <row r="3724">
          <cell r="A3724" t="str">
            <v>19-03723</v>
          </cell>
          <cell r="B3724" t="str">
            <v>MOTTA INT.</v>
          </cell>
          <cell r="C3724" t="str">
            <v>A</v>
          </cell>
          <cell r="D3724" t="str">
            <v>NO</v>
          </cell>
          <cell r="E3724" t="str">
            <v>B5772 HASBRO AVENGERS TITAN HERO HULK 12"</v>
          </cell>
          <cell r="F3724" t="str">
            <v>JUGUETES</v>
          </cell>
          <cell r="G3724" t="str">
            <v>IHASB5772</v>
          </cell>
          <cell r="H3724" t="str">
            <v>HASBRO</v>
          </cell>
          <cell r="I3724">
            <v>11.54</v>
          </cell>
        </row>
        <row r="3725">
          <cell r="A3725" t="str">
            <v>19-03724</v>
          </cell>
          <cell r="B3725" t="str">
            <v>MOTTA INT.</v>
          </cell>
          <cell r="C3725" t="str">
            <v>A</v>
          </cell>
          <cell r="D3725" t="str">
            <v>NO</v>
          </cell>
          <cell r="E3725" t="str">
            <v>WB6661 HASBRO AVENGERS TITAN HERO 12" FIGURE-SURTIDO</v>
          </cell>
          <cell r="F3725" t="str">
            <v>JUGUETES</v>
          </cell>
          <cell r="G3725" t="str">
            <v>WB6661</v>
          </cell>
          <cell r="H3725" t="str">
            <v>HASBRO</v>
          </cell>
          <cell r="I3725">
            <v>7.79</v>
          </cell>
        </row>
        <row r="3726">
          <cell r="A3726" t="str">
            <v>19-03725</v>
          </cell>
          <cell r="B3726" t="str">
            <v>MOTTA INT.</v>
          </cell>
          <cell r="C3726" t="str">
            <v>A</v>
          </cell>
          <cell r="D3726" t="str">
            <v>NO</v>
          </cell>
          <cell r="E3726" t="str">
            <v>WB5278 HASBRO DISNEY PRINCESS BASIC FASHION DOLL - SURTIDO</v>
          </cell>
          <cell r="F3726" t="str">
            <v>JUGUETES</v>
          </cell>
          <cell r="G3726" t="str">
            <v>WB5278</v>
          </cell>
          <cell r="H3726" t="str">
            <v>HASBRO</v>
          </cell>
          <cell r="I3726">
            <v>4.7</v>
          </cell>
        </row>
        <row r="3727">
          <cell r="A3727" t="str">
            <v>19-03726</v>
          </cell>
          <cell r="B3727" t="str">
            <v>MOTTA INT.</v>
          </cell>
          <cell r="C3727" t="str">
            <v>A</v>
          </cell>
          <cell r="D3727" t="str">
            <v>NO</v>
          </cell>
          <cell r="E3727" t="str">
            <v>B5783 HASBRO CAPTAIN AMERICA CIVIL WAR MISSION GEAR - SURTIDO</v>
          </cell>
          <cell r="F3727" t="str">
            <v>JUGUETES</v>
          </cell>
          <cell r="G3727" t="str">
            <v>IHASB5783</v>
          </cell>
          <cell r="H3727" t="str">
            <v>HASBRO</v>
          </cell>
          <cell r="I3727">
            <v>11.95</v>
          </cell>
        </row>
        <row r="3728">
          <cell r="A3728" t="str">
            <v>19-03727</v>
          </cell>
          <cell r="B3728" t="str">
            <v>MOTTA INT.</v>
          </cell>
          <cell r="C3728" t="str">
            <v>A</v>
          </cell>
          <cell r="D3728" t="str">
            <v>NO</v>
          </cell>
          <cell r="E3728" t="str">
            <v>B5753 HASBRO SPIDERMAN TITAN HERO SERIES</v>
          </cell>
          <cell r="F3728" t="str">
            <v>JUGUETES</v>
          </cell>
          <cell r="G3728" t="str">
            <v>IHASB5753</v>
          </cell>
          <cell r="H3728" t="str">
            <v>HASBRO</v>
          </cell>
          <cell r="I3728">
            <v>8.1</v>
          </cell>
        </row>
        <row r="3729">
          <cell r="A3729" t="str">
            <v>19-03728</v>
          </cell>
          <cell r="B3729" t="str">
            <v>MOTTA INT.</v>
          </cell>
          <cell r="C3729" t="str">
            <v>A</v>
          </cell>
          <cell r="D3729" t="str">
            <v>NO</v>
          </cell>
          <cell r="E3729" t="str">
            <v>B5164 HASBRO FROZEN FASHION DOLL - SURTIDO</v>
          </cell>
          <cell r="F3729" t="str">
            <v>JUGUETES</v>
          </cell>
          <cell r="G3729" t="str">
            <v>IHASB5164</v>
          </cell>
          <cell r="H3729" t="str">
            <v>HASBRO</v>
          </cell>
          <cell r="I3729">
            <v>9.9</v>
          </cell>
        </row>
        <row r="3730">
          <cell r="A3730" t="str">
            <v>19-03729</v>
          </cell>
          <cell r="B3730" t="str">
            <v>MOTTA INT.</v>
          </cell>
          <cell r="C3730" t="str">
            <v>A</v>
          </cell>
          <cell r="D3730" t="str">
            <v>NO</v>
          </cell>
          <cell r="E3730" t="str">
            <v>WB5161 HASBRO FROZEN CLASSIC DOLL - SURTIDO</v>
          </cell>
          <cell r="F3730" t="str">
            <v>JUGUETES</v>
          </cell>
          <cell r="G3730" t="str">
            <v>WB5161</v>
          </cell>
          <cell r="H3730" t="str">
            <v>HASBRO</v>
          </cell>
          <cell r="I3730">
            <v>10.119999999999999</v>
          </cell>
        </row>
        <row r="3731">
          <cell r="A3731" t="str">
            <v>19-03730</v>
          </cell>
          <cell r="B3731" t="str">
            <v>MOTTA INT.</v>
          </cell>
          <cell r="C3731" t="str">
            <v>A</v>
          </cell>
          <cell r="D3731" t="str">
            <v>NO</v>
          </cell>
          <cell r="E3731" t="str">
            <v>B3716AS00 HASBRO STAR WARS E7 CLASS I VEHICULOS C/FIGURAS-VARIADOS</v>
          </cell>
          <cell r="F3731" t="str">
            <v>JUGUETES</v>
          </cell>
          <cell r="G3731" t="str">
            <v>IHASB3716AS00</v>
          </cell>
          <cell r="H3731" t="str">
            <v>HASBRO</v>
          </cell>
          <cell r="I3731">
            <v>18.100000000000001</v>
          </cell>
        </row>
        <row r="3732">
          <cell r="A3732" t="str">
            <v>19-03731</v>
          </cell>
          <cell r="B3732" t="str">
            <v>MOTTA INT.</v>
          </cell>
          <cell r="C3732" t="str">
            <v>D</v>
          </cell>
          <cell r="D3732" t="str">
            <v>N/A</v>
          </cell>
          <cell r="E3732" t="str">
            <v>B3075AS00 HASBRO STAR WARS E7 VALUE HERO VEHICLE</v>
          </cell>
          <cell r="F3732" t="str">
            <v>JUGUETES</v>
          </cell>
          <cell r="G3732" t="str">
            <v>IHASB3075AS00</v>
          </cell>
          <cell r="H3732" t="str">
            <v>HASBRO</v>
          </cell>
          <cell r="I3732">
            <v>8.9</v>
          </cell>
        </row>
        <row r="3733">
          <cell r="A3733" t="str">
            <v>19-03732</v>
          </cell>
          <cell r="B3733" t="str">
            <v>MOTTA INT.</v>
          </cell>
          <cell r="C3733" t="str">
            <v>A</v>
          </cell>
          <cell r="D3733" t="str">
            <v>NO</v>
          </cell>
          <cell r="E3733" t="str">
            <v>WB1686 HASBRO MARVEL BASIC FIGURE 6" - SURTIDO (CAP AMERICA,</v>
          </cell>
          <cell r="F3733" t="str">
            <v>JUGUETES</v>
          </cell>
          <cell r="G3733" t="str">
            <v>WB1686</v>
          </cell>
          <cell r="H3733" t="str">
            <v>HASBRO</v>
          </cell>
          <cell r="I3733">
            <v>3.61</v>
          </cell>
        </row>
        <row r="3734">
          <cell r="A3734" t="str">
            <v>19-03733</v>
          </cell>
          <cell r="B3734" t="str">
            <v>MOTTA INT.</v>
          </cell>
          <cell r="C3734" t="str">
            <v>A</v>
          </cell>
          <cell r="D3734" t="str">
            <v>NO</v>
          </cell>
          <cell r="E3734" t="str">
            <v>A78952210 HASBRO GGM FIGURE 2PK AST</v>
          </cell>
          <cell r="F3734" t="str">
            <v>JUGUETES</v>
          </cell>
          <cell r="G3734" t="str">
            <v>IHASA78952210</v>
          </cell>
          <cell r="H3734" t="str">
            <v>HASBRO</v>
          </cell>
          <cell r="I3734">
            <v>3.95</v>
          </cell>
        </row>
        <row r="3735">
          <cell r="A3735" t="str">
            <v>19-03734</v>
          </cell>
          <cell r="B3735" t="str">
            <v>MOTTA INT.</v>
          </cell>
          <cell r="C3735" t="str">
            <v>A</v>
          </cell>
          <cell r="D3735" t="str">
            <v>NO</v>
          </cell>
          <cell r="E3735" t="str">
            <v>A39962211 HASBRO MY LITTLE PONY EQUESTRIA GIRLS WITH PONY</v>
          </cell>
          <cell r="F3735" t="str">
            <v>JUGUETES</v>
          </cell>
          <cell r="G3735" t="str">
            <v>IHASA39962211</v>
          </cell>
          <cell r="H3735" t="str">
            <v>HASBRO</v>
          </cell>
          <cell r="I3735">
            <v>16.399999999999999</v>
          </cell>
        </row>
        <row r="3736">
          <cell r="A3736" t="str">
            <v>19-03735</v>
          </cell>
          <cell r="B3736" t="str">
            <v>MOTTA INT.</v>
          </cell>
          <cell r="C3736" t="str">
            <v>A</v>
          </cell>
          <cell r="D3736" t="str">
            <v>NO</v>
          </cell>
          <cell r="E3736" t="str">
            <v>WB3223 HASBRO STAR WARS E7 MASKS - SURTIDOS</v>
          </cell>
          <cell r="F3736" t="str">
            <v>JUGUETES</v>
          </cell>
          <cell r="G3736" t="str">
            <v>WB3223</v>
          </cell>
          <cell r="H3736" t="str">
            <v>HASBRO</v>
          </cell>
          <cell r="I3736">
            <v>3.11</v>
          </cell>
        </row>
        <row r="3737">
          <cell r="A3737" t="str">
            <v>19-03736</v>
          </cell>
          <cell r="B3737" t="str">
            <v>MOTTA INT.</v>
          </cell>
          <cell r="C3737" t="str">
            <v>A</v>
          </cell>
          <cell r="D3737" t="str">
            <v>NO</v>
          </cell>
          <cell r="E3737" t="str">
            <v>W27656 HASBRO PLAYSKOOLL MR &amp; MRS POTATO HEAD - SURTIDO</v>
          </cell>
          <cell r="F3737" t="str">
            <v>JUGUETES</v>
          </cell>
          <cell r="G3737" t="str">
            <v>W27656</v>
          </cell>
          <cell r="H3737" t="str">
            <v>HASBRO</v>
          </cell>
          <cell r="I3737">
            <v>7.44</v>
          </cell>
        </row>
        <row r="3738">
          <cell r="A3738" t="str">
            <v>19-03737</v>
          </cell>
          <cell r="B3738" t="str">
            <v>MOTTA INT.</v>
          </cell>
          <cell r="C3738" t="str">
            <v>A</v>
          </cell>
          <cell r="D3738" t="str">
            <v>NO</v>
          </cell>
          <cell r="E3738" t="str">
            <v>B3599 HASBRO MY LITTLE PONY EXPLORE EQUESTRIA PONY FRIENDS</v>
          </cell>
          <cell r="F3738" t="str">
            <v>JUGUETES</v>
          </cell>
          <cell r="G3738" t="str">
            <v>IHASB3599</v>
          </cell>
          <cell r="H3738" t="str">
            <v>HASBRO</v>
          </cell>
          <cell r="I3738">
            <v>3.5</v>
          </cell>
        </row>
        <row r="3739">
          <cell r="A3739" t="str">
            <v>19-03738</v>
          </cell>
          <cell r="B3739" t="str">
            <v>MOTTA INT.</v>
          </cell>
          <cell r="C3739" t="str">
            <v>A</v>
          </cell>
          <cell r="D3739" t="str">
            <v>NO</v>
          </cell>
          <cell r="E3739" t="str">
            <v>B6176 HASBRO CAPTAIN AMERICA CIVIL WAR CAPTAIN AMERICA ELECT.</v>
          </cell>
          <cell r="F3739" t="str">
            <v>JUGUETES</v>
          </cell>
          <cell r="G3739" t="str">
            <v>IHASB6176</v>
          </cell>
          <cell r="H3739" t="str">
            <v>HASBRO</v>
          </cell>
          <cell r="I3739">
            <v>19.3</v>
          </cell>
        </row>
        <row r="3740">
          <cell r="A3740" t="str">
            <v>19-03739</v>
          </cell>
          <cell r="B3740" t="str">
            <v>MOTTA INT.</v>
          </cell>
          <cell r="C3740" t="str">
            <v>A</v>
          </cell>
          <cell r="D3740" t="str">
            <v>NO</v>
          </cell>
          <cell r="E3740" t="str">
            <v>B6177 HASBRO CAPTAIN AMERICA CIVIL WAR IRON MAN ELECTRONIC</v>
          </cell>
          <cell r="F3740" t="str">
            <v>JUGUETES</v>
          </cell>
          <cell r="G3740" t="str">
            <v>IHASB6177</v>
          </cell>
          <cell r="H3740" t="str">
            <v>HASBRO</v>
          </cell>
          <cell r="I3740">
            <v>17.399999999999999</v>
          </cell>
        </row>
        <row r="3741">
          <cell r="A3741" t="str">
            <v>19-03740</v>
          </cell>
          <cell r="B3741" t="str">
            <v>MOTTA INT.</v>
          </cell>
          <cell r="C3741" t="str">
            <v>A</v>
          </cell>
          <cell r="D3741" t="str">
            <v>NO</v>
          </cell>
          <cell r="E3741" t="str">
            <v>WB4903 HASBRO MY LITTLE PONY EG MINIS CHARACTER - SURTIDO</v>
          </cell>
          <cell r="F3741" t="str">
            <v>JUGUETES</v>
          </cell>
          <cell r="G3741" t="str">
            <v>WB4903</v>
          </cell>
          <cell r="H3741" t="str">
            <v>HASBRO</v>
          </cell>
          <cell r="I3741">
            <v>5.84</v>
          </cell>
        </row>
        <row r="3742">
          <cell r="A3742" t="str">
            <v>19-03741</v>
          </cell>
          <cell r="B3742" t="str">
            <v>MOTTA INT.</v>
          </cell>
          <cell r="C3742" t="str">
            <v>A</v>
          </cell>
          <cell r="D3742" t="str">
            <v>NO</v>
          </cell>
          <cell r="E3742" t="str">
            <v>WA8303 HASBRO TRANSFORMERS EPIC SERIES FIGURE - SURTIDO</v>
          </cell>
          <cell r="F3742" t="str">
            <v>JUGUETES</v>
          </cell>
          <cell r="G3742" t="str">
            <v>WA8303</v>
          </cell>
          <cell r="H3742" t="str">
            <v>HASBRO</v>
          </cell>
          <cell r="I3742">
            <v>7.79</v>
          </cell>
        </row>
        <row r="3743">
          <cell r="A3743" t="str">
            <v>19-03742</v>
          </cell>
          <cell r="B3743" t="str">
            <v>MOTTA INT.</v>
          </cell>
          <cell r="C3743" t="str">
            <v>A</v>
          </cell>
          <cell r="D3743" t="str">
            <v>NO</v>
          </cell>
          <cell r="E3743" t="str">
            <v>B5784 HASBRO CAPTAIN AMERICA CIVIL WAR TECH FX MASK</v>
          </cell>
          <cell r="F3743" t="str">
            <v>JUGUETES</v>
          </cell>
          <cell r="G3743" t="str">
            <v>IHASB5784</v>
          </cell>
          <cell r="H3743" t="str">
            <v>HASBRO</v>
          </cell>
          <cell r="I3743">
            <v>18.75</v>
          </cell>
        </row>
        <row r="3744">
          <cell r="A3744" t="str">
            <v>19-03743</v>
          </cell>
          <cell r="B3744" t="str">
            <v>MOTTA INT.</v>
          </cell>
          <cell r="C3744" t="str">
            <v>A</v>
          </cell>
          <cell r="D3744" t="str">
            <v>NO</v>
          </cell>
          <cell r="E3744" t="str">
            <v>B5787 HASBRO CAPTAIN AMERICA CIVIL WAR SCOPE VISION HELMET</v>
          </cell>
          <cell r="F3744" t="str">
            <v>JUGUETES</v>
          </cell>
          <cell r="G3744" t="str">
            <v>IHASB5787</v>
          </cell>
          <cell r="H3744" t="str">
            <v>HASBRO</v>
          </cell>
          <cell r="I3744">
            <v>18.75</v>
          </cell>
        </row>
        <row r="3745">
          <cell r="A3745" t="str">
            <v>19-03744</v>
          </cell>
          <cell r="B3745" t="str">
            <v>MOTTA INT.</v>
          </cell>
          <cell r="C3745" t="str">
            <v>A</v>
          </cell>
          <cell r="D3745" t="str">
            <v>NO</v>
          </cell>
          <cell r="E3745" t="str">
            <v>B1916AS60 HASBRO AVENGERS SUPER HERO MASHERS HULKBUSTER VS HULK</v>
          </cell>
          <cell r="F3745" t="str">
            <v>JUGUETES</v>
          </cell>
          <cell r="G3745" t="str">
            <v>IHASB1916AS60</v>
          </cell>
          <cell r="H3745" t="str">
            <v>HASBRO</v>
          </cell>
          <cell r="I3745">
            <v>29.2</v>
          </cell>
        </row>
        <row r="3746">
          <cell r="A3746" t="str">
            <v>19-03745</v>
          </cell>
          <cell r="B3746" t="str">
            <v>MOTTA INT.</v>
          </cell>
          <cell r="C3746" t="str">
            <v>A</v>
          </cell>
          <cell r="D3746" t="str">
            <v>NO</v>
          </cell>
          <cell r="E3746" t="str">
            <v>B5754 HASBRO SPIDERMAN TITAN HERO SERIES WEB WARRIORS - SURTIDO</v>
          </cell>
          <cell r="F3746" t="str">
            <v>JUGUETES</v>
          </cell>
          <cell r="G3746" t="str">
            <v>IHASB5754</v>
          </cell>
          <cell r="H3746" t="str">
            <v>HASBRO</v>
          </cell>
          <cell r="I3746">
            <v>7.4</v>
          </cell>
        </row>
        <row r="3747">
          <cell r="A3747" t="str">
            <v>19-03746</v>
          </cell>
          <cell r="B3747" t="str">
            <v>MOTTA INT.</v>
          </cell>
          <cell r="C3747" t="str">
            <v>A</v>
          </cell>
          <cell r="D3747" t="str">
            <v>NO</v>
          </cell>
          <cell r="E3747" t="str">
            <v>B5782 HASBRO CAPTAIN AMERICA CIVIL WAR MAGNETIC SHIELD AND</v>
          </cell>
          <cell r="F3747" t="str">
            <v>JUGUETES</v>
          </cell>
          <cell r="G3747" t="str">
            <v>IHASB5782</v>
          </cell>
          <cell r="H3747" t="str">
            <v>HASBRO</v>
          </cell>
          <cell r="I3747">
            <v>10.8</v>
          </cell>
        </row>
        <row r="3748">
          <cell r="A3748" t="str">
            <v>19-03747</v>
          </cell>
          <cell r="B3748" t="str">
            <v>MOTTA INT.</v>
          </cell>
          <cell r="C3748" t="str">
            <v>A</v>
          </cell>
          <cell r="D3748" t="str">
            <v>NO</v>
          </cell>
          <cell r="E3748" t="str">
            <v>B18850770 HASBRO AVENGERS HULKBUSTER ARMOR TITAN HERO</v>
          </cell>
          <cell r="F3748" t="str">
            <v>JUGUETES</v>
          </cell>
          <cell r="G3748" t="str">
            <v>IHASB18850770</v>
          </cell>
          <cell r="H3748" t="str">
            <v>HASBRO</v>
          </cell>
          <cell r="I3748">
            <v>42.55</v>
          </cell>
        </row>
        <row r="3749">
          <cell r="A3749" t="str">
            <v>19-03748</v>
          </cell>
          <cell r="B3749" t="str">
            <v>MOTTA INT.</v>
          </cell>
          <cell r="C3749" t="str">
            <v>A</v>
          </cell>
          <cell r="D3749" t="str">
            <v>NO</v>
          </cell>
          <cell r="E3749" t="str">
            <v>WB0440 HASBRO MARVEL VALUE MASK - SURTIDO</v>
          </cell>
          <cell r="F3749" t="str">
            <v>JUGUETES</v>
          </cell>
          <cell r="G3749" t="str">
            <v>WB0440</v>
          </cell>
          <cell r="H3749" t="str">
            <v>HASBRO</v>
          </cell>
          <cell r="I3749">
            <v>3.75</v>
          </cell>
        </row>
        <row r="3750">
          <cell r="A3750" t="str">
            <v>19-03749</v>
          </cell>
          <cell r="B3750" t="str">
            <v>MOTTA INT.</v>
          </cell>
          <cell r="C3750" t="str">
            <v>A</v>
          </cell>
          <cell r="D3750" t="str">
            <v>NO</v>
          </cell>
          <cell r="E3750" t="str">
            <v>B3672 HASBRO STAR WARS E7 3.75" CLASS II VEHICLES C/FIGURAS</v>
          </cell>
          <cell r="F3750" t="str">
            <v>JUGUETES</v>
          </cell>
          <cell r="G3750" t="str">
            <v>IHASB3672</v>
          </cell>
          <cell r="H3750" t="str">
            <v>HASBRO</v>
          </cell>
          <cell r="I3750">
            <v>23.2</v>
          </cell>
        </row>
        <row r="3751">
          <cell r="A3751" t="str">
            <v>19-03750</v>
          </cell>
          <cell r="B3751" t="str">
            <v>MOTTA INT.</v>
          </cell>
          <cell r="C3751" t="str">
            <v>A</v>
          </cell>
          <cell r="D3751" t="str">
            <v>NO</v>
          </cell>
          <cell r="E3751" t="str">
            <v>B6179 HASBRO CAPTAIN AMERICA CIVIL WAR WAR MACHINE ELECTRONIC</v>
          </cell>
          <cell r="F3751" t="str">
            <v>JUGUETES</v>
          </cell>
          <cell r="G3751" t="str">
            <v>IHASB6179</v>
          </cell>
          <cell r="H3751" t="str">
            <v>HASBRO</v>
          </cell>
          <cell r="I3751">
            <v>17.399999999999999</v>
          </cell>
        </row>
        <row r="3752">
          <cell r="A3752" t="str">
            <v>19-03751</v>
          </cell>
          <cell r="B3752" t="str">
            <v>MOTTA INT.</v>
          </cell>
          <cell r="C3752" t="str">
            <v>A</v>
          </cell>
          <cell r="D3752" t="str">
            <v>NO</v>
          </cell>
          <cell r="E3752" t="str">
            <v>B6178 HASBRO CAPTAIN AMERICA CIVIL WAR FALCON ELECTRONIC</v>
          </cell>
          <cell r="F3752" t="str">
            <v>JUGUETES</v>
          </cell>
          <cell r="G3752" t="str">
            <v>IHASB6178</v>
          </cell>
          <cell r="H3752" t="str">
            <v>HASBRO</v>
          </cell>
          <cell r="I3752">
            <v>19.3</v>
          </cell>
        </row>
        <row r="3753">
          <cell r="A3753" t="str">
            <v>19-03752</v>
          </cell>
          <cell r="B3753" t="str">
            <v>MOTTA INT.</v>
          </cell>
          <cell r="C3753" t="str">
            <v>A</v>
          </cell>
          <cell r="D3753" t="str">
            <v>NO</v>
          </cell>
          <cell r="E3753" t="str">
            <v>B5765 HASBRO SPIDERMAN HERO FX GLOVE</v>
          </cell>
          <cell r="F3753" t="str">
            <v>JUGUETES</v>
          </cell>
          <cell r="G3753" t="str">
            <v>IHASB5765</v>
          </cell>
          <cell r="H3753" t="str">
            <v>HASBRO</v>
          </cell>
          <cell r="I3753">
            <v>8.9</v>
          </cell>
        </row>
        <row r="3754">
          <cell r="A3754" t="str">
            <v>19-03753</v>
          </cell>
          <cell r="B3754" t="str">
            <v>MOTTA INT.</v>
          </cell>
          <cell r="C3754" t="str">
            <v>A</v>
          </cell>
          <cell r="D3754" t="str">
            <v>NO</v>
          </cell>
          <cell r="E3754" t="str">
            <v>WA1204 HASBRO PLAYSKOOL FAVORITES LULLABY GLOWORM - SURTIDO</v>
          </cell>
          <cell r="F3754" t="str">
            <v>JUGUETES</v>
          </cell>
          <cell r="G3754" t="str">
            <v>WA1204</v>
          </cell>
          <cell r="H3754" t="str">
            <v>HASBRO</v>
          </cell>
          <cell r="I3754">
            <v>12.45</v>
          </cell>
        </row>
        <row r="3755">
          <cell r="A3755" t="str">
            <v>19-03754</v>
          </cell>
          <cell r="B3755" t="str">
            <v>MOTTA INT.</v>
          </cell>
          <cell r="C3755" t="str">
            <v>A</v>
          </cell>
          <cell r="D3755" t="str">
            <v>NO</v>
          </cell>
          <cell r="E3755" t="str">
            <v>A34582210 HASBRO PLAY DOH ULTIMATE RAINBOW PACK</v>
          </cell>
          <cell r="F3755" t="str">
            <v>JUGUETES</v>
          </cell>
          <cell r="G3755" t="str">
            <v>IHASA34582210</v>
          </cell>
          <cell r="H3755" t="str">
            <v>HASBRO</v>
          </cell>
          <cell r="I3755">
            <v>3</v>
          </cell>
        </row>
        <row r="3756">
          <cell r="A3756" t="str">
            <v>19-03755</v>
          </cell>
          <cell r="B3756" t="str">
            <v>DIST. LEWIS</v>
          </cell>
          <cell r="C3756" t="str">
            <v>A</v>
          </cell>
          <cell r="D3756" t="str">
            <v>SI</v>
          </cell>
          <cell r="E3756" t="str">
            <v>OUTSIDE / BUYER'S GUIDE</v>
          </cell>
          <cell r="F3756" t="str">
            <v>MAGAZINE</v>
          </cell>
          <cell r="G3756">
            <v>39034</v>
          </cell>
          <cell r="H3756" t="str">
            <v>DIST. LEWIS</v>
          </cell>
          <cell r="I3756">
            <v>50.04</v>
          </cell>
        </row>
        <row r="3757">
          <cell r="A3757" t="str">
            <v>19-03756</v>
          </cell>
          <cell r="B3757" t="str">
            <v>DIST. LEWIS</v>
          </cell>
          <cell r="C3757" t="str">
            <v>A</v>
          </cell>
          <cell r="D3757" t="str">
            <v>SI</v>
          </cell>
          <cell r="E3757" t="str">
            <v>PSYCHOLOGY TODAY</v>
          </cell>
          <cell r="F3757" t="str">
            <v>MAGAZINE</v>
          </cell>
          <cell r="G3757">
            <v>49769</v>
          </cell>
          <cell r="H3757" t="str">
            <v>DIST. LEWIS</v>
          </cell>
          <cell r="I3757">
            <v>4.4000000000000004</v>
          </cell>
        </row>
        <row r="3758">
          <cell r="A3758" t="str">
            <v>19-03757</v>
          </cell>
          <cell r="B3758" t="str">
            <v>DIST. LEWIS</v>
          </cell>
          <cell r="C3758" t="str">
            <v>A</v>
          </cell>
          <cell r="D3758" t="str">
            <v>SI</v>
          </cell>
          <cell r="E3758" t="str">
            <v>ISLANDS</v>
          </cell>
          <cell r="F3758" t="str">
            <v>MAGAZINE</v>
          </cell>
          <cell r="G3758">
            <v>8968</v>
          </cell>
          <cell r="H3758" t="str">
            <v>DIST. LEWIS</v>
          </cell>
          <cell r="I3758">
            <v>16.68</v>
          </cell>
        </row>
        <row r="3759">
          <cell r="A3759" t="str">
            <v>19-03758</v>
          </cell>
          <cell r="B3759" t="str">
            <v>DIST. LEWIS</v>
          </cell>
          <cell r="C3759" t="str">
            <v>A</v>
          </cell>
          <cell r="D3759" t="str">
            <v>SI</v>
          </cell>
          <cell r="E3759" t="str">
            <v>MUSCULAR DEVELOPMENT LATINO MAGAZINE - SEASONAL</v>
          </cell>
          <cell r="F3759" t="str">
            <v>MAGAZINE</v>
          </cell>
          <cell r="G3759">
            <v>42888</v>
          </cell>
          <cell r="H3759" t="str">
            <v>DIST. LEWIS</v>
          </cell>
          <cell r="I3759">
            <v>4.4000000000000004</v>
          </cell>
        </row>
        <row r="3760">
          <cell r="A3760" t="str">
            <v>19-03759</v>
          </cell>
          <cell r="B3760" t="str">
            <v>DIST. LEWIS</v>
          </cell>
          <cell r="C3760" t="str">
            <v>A</v>
          </cell>
          <cell r="D3760" t="str">
            <v>SI</v>
          </cell>
          <cell r="E3760" t="str">
            <v>SCIENTIFIC AMERICAN MIND SPECIAL EDITION</v>
          </cell>
          <cell r="F3760" t="str">
            <v>MAGAZINE</v>
          </cell>
          <cell r="G3760">
            <v>28003</v>
          </cell>
          <cell r="H3760" t="str">
            <v>DIST. LEWIS</v>
          </cell>
          <cell r="I3760">
            <v>8.8000000000000007</v>
          </cell>
        </row>
        <row r="3761">
          <cell r="A3761" t="str">
            <v>19-03760</v>
          </cell>
          <cell r="B3761" t="str">
            <v>WORLD WISHES</v>
          </cell>
          <cell r="C3761" t="str">
            <v>D</v>
          </cell>
          <cell r="D3761" t="str">
            <v>N/A</v>
          </cell>
          <cell r="E3761" t="str">
            <v>75-2409 CRAYOLA COLOR WONDER GLITTER PAPER AND MARKERS DISCONTINUED</v>
          </cell>
          <cell r="F3761" t="str">
            <v>SCHOOL SUPPLIES</v>
          </cell>
          <cell r="G3761" t="str">
            <v>75-2409</v>
          </cell>
          <cell r="H3761" t="str">
            <v>CRAYOLA</v>
          </cell>
          <cell r="I3761">
            <v>6.3609999999999998</v>
          </cell>
        </row>
        <row r="3762">
          <cell r="A3762" t="str">
            <v>19-03761</v>
          </cell>
          <cell r="B3762" t="str">
            <v>WORLD WISHES</v>
          </cell>
          <cell r="C3762" t="str">
            <v>P</v>
          </cell>
          <cell r="D3762" t="str">
            <v>N/A</v>
          </cell>
          <cell r="E3762" t="str">
            <v>52-0031 CRAYOLA 72 CRAYON CASE</v>
          </cell>
          <cell r="F3762" t="str">
            <v>SCHOOL SUPPLIES</v>
          </cell>
          <cell r="G3762" t="str">
            <v>52-0031</v>
          </cell>
          <cell r="H3762" t="str">
            <v>CRAYOLA</v>
          </cell>
          <cell r="I3762">
            <v>15.465</v>
          </cell>
        </row>
        <row r="3763">
          <cell r="A3763" t="str">
            <v>19-03762</v>
          </cell>
          <cell r="B3763" t="str">
            <v>WORLD WISHES</v>
          </cell>
          <cell r="C3763" t="str">
            <v>A</v>
          </cell>
          <cell r="D3763" t="str">
            <v>SI</v>
          </cell>
          <cell r="E3763" t="str">
            <v>58-8148 CRAYOLA 10CT ULTRA CLEAN WASHABLE STAMPERS</v>
          </cell>
          <cell r="F3763" t="str">
            <v>SCHOOL SUPPLIES</v>
          </cell>
          <cell r="G3763" t="str">
            <v>58-8148</v>
          </cell>
          <cell r="H3763" t="str">
            <v>CRAYOLA</v>
          </cell>
          <cell r="I3763">
            <v>2.59</v>
          </cell>
        </row>
        <row r="3764">
          <cell r="A3764" t="str">
            <v>19-03763</v>
          </cell>
          <cell r="B3764" t="str">
            <v>WORLD WISHES</v>
          </cell>
          <cell r="C3764" t="str">
            <v>P</v>
          </cell>
          <cell r="D3764" t="str">
            <v>N/A</v>
          </cell>
          <cell r="E3764" t="str">
            <v>04-2014 CRAYOLA DORY ART KIT</v>
          </cell>
          <cell r="F3764" t="str">
            <v>SCHOOL SUPPLIES</v>
          </cell>
          <cell r="G3764">
            <v>41730</v>
          </cell>
          <cell r="H3764" t="str">
            <v>CRAYOLA</v>
          </cell>
          <cell r="I3764">
            <v>9.49</v>
          </cell>
        </row>
        <row r="3765">
          <cell r="A3765" t="str">
            <v>19-03764</v>
          </cell>
          <cell r="B3765" t="str">
            <v>WORLD WISHES</v>
          </cell>
          <cell r="C3765" t="str">
            <v>P</v>
          </cell>
          <cell r="D3765" t="str">
            <v>N/A</v>
          </cell>
          <cell r="E3765" t="str">
            <v>04-6891 CRAYOLA FINDING DORY TWISTABLE TIN</v>
          </cell>
          <cell r="F3765" t="str">
            <v>SCHOOL SUPPLIES</v>
          </cell>
          <cell r="G3765">
            <v>1823018</v>
          </cell>
          <cell r="H3765" t="str">
            <v>CRAYOLA</v>
          </cell>
          <cell r="I3765">
            <v>9.8000000000000007</v>
          </cell>
        </row>
        <row r="3766">
          <cell r="A3766" t="str">
            <v>19-03765</v>
          </cell>
          <cell r="B3766" t="str">
            <v>WORLD WISHES</v>
          </cell>
          <cell r="C3766" t="str">
            <v>D</v>
          </cell>
          <cell r="D3766" t="str">
            <v>N/A</v>
          </cell>
          <cell r="E3766" t="str">
            <v>04-2555 CRAYOLA INSPIRATION ART SET DISCONTINUED</v>
          </cell>
          <cell r="F3766" t="str">
            <v>SCHOOL SUPPLIES</v>
          </cell>
          <cell r="G3766">
            <v>230926</v>
          </cell>
          <cell r="H3766" t="str">
            <v>CRAYOLA</v>
          </cell>
          <cell r="I3766">
            <v>17.010000000000002</v>
          </cell>
        </row>
        <row r="3767">
          <cell r="A3767" t="str">
            <v>19-03766</v>
          </cell>
          <cell r="B3767" t="str">
            <v>WORLD WISHES</v>
          </cell>
          <cell r="C3767" t="str">
            <v>A</v>
          </cell>
          <cell r="D3767" t="str">
            <v>NO</v>
          </cell>
          <cell r="E3767" t="str">
            <v>68-8100 CRAYOLA 100 COLOR PENCILS LONG</v>
          </cell>
          <cell r="F3767" t="str">
            <v>CRAYONES</v>
          </cell>
          <cell r="G3767" t="str">
            <v>68-8100</v>
          </cell>
          <cell r="H3767" t="str">
            <v>CRAYOLA</v>
          </cell>
          <cell r="I3767">
            <v>12.35</v>
          </cell>
        </row>
        <row r="3768">
          <cell r="A3768" t="str">
            <v>19-03767</v>
          </cell>
          <cell r="B3768" t="str">
            <v>ORKHON GROUP</v>
          </cell>
          <cell r="C3768" t="str">
            <v>A</v>
          </cell>
          <cell r="D3768" t="str">
            <v>N/A</v>
          </cell>
          <cell r="E3768" t="str">
            <v>S1507-02 ALTAMAR SOMBRERO</v>
          </cell>
          <cell r="F3768" t="str">
            <v>SOMBREROS</v>
          </cell>
          <cell r="G3768" t="str">
            <v>A007306</v>
          </cell>
          <cell r="H3768" t="str">
            <v>ALTAMAR</v>
          </cell>
          <cell r="I3768">
            <v>10.433999999999999</v>
          </cell>
        </row>
        <row r="3769">
          <cell r="A3769" t="str">
            <v>19-03768</v>
          </cell>
          <cell r="B3769" t="str">
            <v>ORKHON GROUP</v>
          </cell>
          <cell r="C3769" t="str">
            <v>A</v>
          </cell>
          <cell r="D3769" t="str">
            <v>N/A</v>
          </cell>
          <cell r="E3769" t="str">
            <v>S1507-01 ALTAMAR SOMBRERO</v>
          </cell>
          <cell r="F3769" t="str">
            <v>SOMBREROS</v>
          </cell>
          <cell r="G3769" t="str">
            <v>A007307</v>
          </cell>
          <cell r="H3769" t="str">
            <v>ALTAMAR</v>
          </cell>
          <cell r="I3769">
            <v>8.93</v>
          </cell>
        </row>
        <row r="3770">
          <cell r="A3770" t="str">
            <v>19-03769</v>
          </cell>
          <cell r="B3770" t="str">
            <v>ORKHON GROUP</v>
          </cell>
          <cell r="C3770" t="str">
            <v>A</v>
          </cell>
          <cell r="D3770" t="str">
            <v>N/A</v>
          </cell>
          <cell r="E3770" t="str">
            <v>S1507-03 ALTAMAR SOMBRERO</v>
          </cell>
          <cell r="F3770" t="str">
            <v>SOMBREROS</v>
          </cell>
          <cell r="G3770" t="str">
            <v>A007308</v>
          </cell>
          <cell r="H3770" t="str">
            <v>ALTAMAR</v>
          </cell>
          <cell r="I3770">
            <v>10.433999999999999</v>
          </cell>
        </row>
        <row r="3771">
          <cell r="A3771" t="str">
            <v>19-03770</v>
          </cell>
          <cell r="B3771" t="str">
            <v>ORKHON GROUP</v>
          </cell>
          <cell r="C3771" t="str">
            <v>A</v>
          </cell>
          <cell r="D3771" t="str">
            <v>N/A</v>
          </cell>
          <cell r="E3771" t="str">
            <v>S1507-04 ALTAMAR SOMBRERO ASSORTED COLORS</v>
          </cell>
          <cell r="F3771" t="str">
            <v>SOMBREROS</v>
          </cell>
          <cell r="G3771" t="str">
            <v>A007309</v>
          </cell>
          <cell r="H3771" t="str">
            <v>ALTAMAR</v>
          </cell>
          <cell r="I3771">
            <v>9.9629999999999992</v>
          </cell>
        </row>
        <row r="3772">
          <cell r="A3772" t="str">
            <v>19-03771</v>
          </cell>
          <cell r="B3772" t="str">
            <v>ORKHON GROUP</v>
          </cell>
          <cell r="C3772" t="str">
            <v>A</v>
          </cell>
          <cell r="D3772" t="str">
            <v>N/A</v>
          </cell>
          <cell r="E3772" t="str">
            <v>S1507-06 ALTAMAR SOMBRERO</v>
          </cell>
          <cell r="F3772" t="str">
            <v>SOMBREROS</v>
          </cell>
          <cell r="G3772" t="str">
            <v>A007310</v>
          </cell>
          <cell r="H3772" t="str">
            <v>ALTAMAR</v>
          </cell>
          <cell r="I3772">
            <v>10.433999999999999</v>
          </cell>
        </row>
        <row r="3773">
          <cell r="A3773" t="str">
            <v>19-03772</v>
          </cell>
          <cell r="B3773" t="str">
            <v>ORKHON GROUP</v>
          </cell>
          <cell r="C3773" t="str">
            <v>A</v>
          </cell>
          <cell r="D3773" t="str">
            <v>N/A</v>
          </cell>
          <cell r="E3773" t="str">
            <v>S1507-07 ALTAMAR SOMRERO</v>
          </cell>
          <cell r="F3773" t="str">
            <v>SOMBREROS</v>
          </cell>
          <cell r="G3773" t="str">
            <v>A007311</v>
          </cell>
          <cell r="H3773" t="str">
            <v>ALTAMAR</v>
          </cell>
          <cell r="I3773">
            <v>9.9640000000000004</v>
          </cell>
        </row>
        <row r="3774">
          <cell r="A3774" t="str">
            <v>19-03773</v>
          </cell>
          <cell r="B3774" t="str">
            <v>ORKHON GROUP</v>
          </cell>
          <cell r="C3774" t="str">
            <v>A</v>
          </cell>
          <cell r="D3774" t="str">
            <v>N/A</v>
          </cell>
          <cell r="E3774" t="str">
            <v>S1507-08 ALTAMAR SOMBRERO</v>
          </cell>
          <cell r="F3774" t="str">
            <v>SOMBREROS</v>
          </cell>
          <cell r="G3774" t="str">
            <v>A007312</v>
          </cell>
          <cell r="H3774" t="str">
            <v>ALTAMAR</v>
          </cell>
          <cell r="I3774">
            <v>9.9640000000000004</v>
          </cell>
        </row>
        <row r="3775">
          <cell r="A3775" t="str">
            <v>19-03774</v>
          </cell>
          <cell r="B3775" t="str">
            <v>ORKHON GROUP</v>
          </cell>
          <cell r="C3775" t="str">
            <v>A</v>
          </cell>
          <cell r="D3775" t="str">
            <v>N/A</v>
          </cell>
          <cell r="E3775" t="str">
            <v>S1507-09 ALTAMAR SOMBRERO ASSORTED COLORS</v>
          </cell>
          <cell r="F3775" t="str">
            <v>SOMBREROS</v>
          </cell>
          <cell r="G3775" t="str">
            <v>A007313</v>
          </cell>
          <cell r="H3775" t="str">
            <v>ALTAMAR</v>
          </cell>
          <cell r="I3775">
            <v>9.9629999999999992</v>
          </cell>
        </row>
        <row r="3776">
          <cell r="A3776" t="str">
            <v>19-03775</v>
          </cell>
          <cell r="B3776" t="str">
            <v>ORKHON GROUP</v>
          </cell>
          <cell r="C3776" t="str">
            <v>A</v>
          </cell>
          <cell r="D3776" t="str">
            <v>N/A</v>
          </cell>
          <cell r="E3776" t="str">
            <v>S1507-10 ALTAMAR SOMBRERO ASSORTED COLORS</v>
          </cell>
          <cell r="F3776" t="str">
            <v>SOMBREROS</v>
          </cell>
          <cell r="G3776" t="str">
            <v>A007314</v>
          </cell>
          <cell r="H3776" t="str">
            <v>ALTAMAR</v>
          </cell>
          <cell r="I3776">
            <v>9.9629999999999992</v>
          </cell>
        </row>
        <row r="3777">
          <cell r="A3777" t="str">
            <v>19-03776</v>
          </cell>
          <cell r="B3777" t="str">
            <v>ORKHON GROUP</v>
          </cell>
          <cell r="C3777" t="str">
            <v>A</v>
          </cell>
          <cell r="D3777" t="str">
            <v>N/A</v>
          </cell>
          <cell r="E3777" t="str">
            <v>S1507-11 ALTAMAR SOMBRERO</v>
          </cell>
          <cell r="F3777" t="str">
            <v>SOMBREROS</v>
          </cell>
          <cell r="G3777" t="str">
            <v>A007315</v>
          </cell>
          <cell r="H3777" t="str">
            <v>ALTAMAR</v>
          </cell>
          <cell r="I3777">
            <v>10.433999999999999</v>
          </cell>
        </row>
        <row r="3778">
          <cell r="A3778" t="str">
            <v>19-03777</v>
          </cell>
          <cell r="B3778" t="str">
            <v>ORKHON GROUP</v>
          </cell>
          <cell r="C3778" t="str">
            <v>A</v>
          </cell>
          <cell r="D3778" t="str">
            <v>N/A</v>
          </cell>
          <cell r="E3778" t="str">
            <v>S1507-12 ALTAMAR SOMBRERO</v>
          </cell>
          <cell r="F3778" t="str">
            <v>SOMBREROS</v>
          </cell>
          <cell r="G3778" t="str">
            <v>A007316</v>
          </cell>
          <cell r="H3778" t="str">
            <v>ALTAMAR</v>
          </cell>
          <cell r="I3778">
            <v>9.9640000000000004</v>
          </cell>
        </row>
        <row r="3779">
          <cell r="A3779" t="str">
            <v>19-03778</v>
          </cell>
          <cell r="B3779" t="str">
            <v>ORKHON GROUP</v>
          </cell>
          <cell r="C3779" t="str">
            <v>A</v>
          </cell>
          <cell r="D3779" t="str">
            <v>N/A</v>
          </cell>
          <cell r="E3779" t="str">
            <v>S1507-13 ALTAMAR SOMBRERO ASSORTED COLORS</v>
          </cell>
          <cell r="F3779" t="str">
            <v>SOMBREROS</v>
          </cell>
          <cell r="G3779" t="str">
            <v>A007317</v>
          </cell>
          <cell r="H3779" t="str">
            <v>ALTAMAR</v>
          </cell>
          <cell r="I3779">
            <v>9.9640000000000004</v>
          </cell>
        </row>
        <row r="3780">
          <cell r="A3780" t="str">
            <v>19-03779</v>
          </cell>
          <cell r="B3780" t="str">
            <v>ORKHON GROUP</v>
          </cell>
          <cell r="C3780" t="str">
            <v>A</v>
          </cell>
          <cell r="D3780" t="str">
            <v>N/A</v>
          </cell>
          <cell r="E3780" t="str">
            <v>S1507-28 ALTAMAR SOMBRERO</v>
          </cell>
          <cell r="F3780" t="str">
            <v>SOMBREROS</v>
          </cell>
          <cell r="G3780" t="str">
            <v>A007318</v>
          </cell>
          <cell r="H3780" t="str">
            <v>ALTAMAR</v>
          </cell>
          <cell r="I3780">
            <v>6.016</v>
          </cell>
        </row>
        <row r="3781">
          <cell r="A3781" t="str">
            <v>19-03780</v>
          </cell>
          <cell r="B3781" t="str">
            <v>ORKHON GROUP</v>
          </cell>
          <cell r="C3781" t="str">
            <v>A</v>
          </cell>
          <cell r="D3781" t="str">
            <v>N/A</v>
          </cell>
          <cell r="E3781" t="str">
            <v>S1507-29 ALTAMAR SOMBRERO</v>
          </cell>
          <cell r="F3781" t="str">
            <v>SOMBREROS</v>
          </cell>
          <cell r="G3781" t="str">
            <v>A007319</v>
          </cell>
          <cell r="H3781" t="str">
            <v>ALTAMAR</v>
          </cell>
          <cell r="I3781">
            <v>6.016</v>
          </cell>
        </row>
        <row r="3782">
          <cell r="A3782" t="str">
            <v>19-03781</v>
          </cell>
          <cell r="B3782" t="str">
            <v>ORKHON GROUP</v>
          </cell>
          <cell r="C3782" t="str">
            <v>A</v>
          </cell>
          <cell r="D3782" t="str">
            <v>N/A</v>
          </cell>
          <cell r="E3782" t="str">
            <v>S1507-30 ALTAMAR SOMBRERO</v>
          </cell>
          <cell r="F3782" t="str">
            <v>SOMBREROS</v>
          </cell>
          <cell r="G3782" t="str">
            <v>A007320</v>
          </cell>
          <cell r="H3782" t="str">
            <v>ALTAMAR</v>
          </cell>
          <cell r="I3782">
            <v>6.016</v>
          </cell>
        </row>
        <row r="3783">
          <cell r="A3783" t="str">
            <v>19-03782</v>
          </cell>
          <cell r="B3783" t="str">
            <v>ORKHON GROUP</v>
          </cell>
          <cell r="C3783" t="str">
            <v>A</v>
          </cell>
          <cell r="D3783" t="str">
            <v>N/A</v>
          </cell>
          <cell r="E3783" t="str">
            <v>S1507-31 ALTAMAR SOMBRERO</v>
          </cell>
          <cell r="F3783" t="str">
            <v>SOMBREROS</v>
          </cell>
          <cell r="G3783" t="str">
            <v>A007321</v>
          </cell>
          <cell r="H3783" t="str">
            <v>ALTAMAR</v>
          </cell>
          <cell r="I3783">
            <v>6.016</v>
          </cell>
        </row>
        <row r="3784">
          <cell r="A3784" t="str">
            <v>19-03783</v>
          </cell>
          <cell r="B3784" t="str">
            <v>ORKHON GROUP</v>
          </cell>
          <cell r="C3784" t="str">
            <v>A</v>
          </cell>
          <cell r="D3784" t="str">
            <v>N/A</v>
          </cell>
          <cell r="E3784" t="str">
            <v>S1507-32 ALTAMAR SOMBRERO ASSORTED COLORS</v>
          </cell>
          <cell r="F3784" t="str">
            <v>SOMBREROS</v>
          </cell>
          <cell r="G3784" t="str">
            <v>A007322</v>
          </cell>
          <cell r="H3784" t="str">
            <v>ALTAMAR</v>
          </cell>
          <cell r="I3784">
            <v>6.9560000000000004</v>
          </cell>
        </row>
        <row r="3785">
          <cell r="A3785" t="str">
            <v>19-03784</v>
          </cell>
          <cell r="B3785" t="str">
            <v>ORKHON GROUP</v>
          </cell>
          <cell r="C3785" t="str">
            <v>A</v>
          </cell>
          <cell r="D3785" t="str">
            <v>N/A</v>
          </cell>
          <cell r="E3785" t="str">
            <v>S1507-35 ALTAMAR SOMBRERO</v>
          </cell>
          <cell r="F3785" t="str">
            <v>SOMBREROS</v>
          </cell>
          <cell r="G3785" t="str">
            <v>A007323</v>
          </cell>
          <cell r="H3785" t="str">
            <v>ALTAMAR</v>
          </cell>
          <cell r="I3785">
            <v>6.016</v>
          </cell>
        </row>
        <row r="3786">
          <cell r="A3786" t="str">
            <v>19-03785</v>
          </cell>
          <cell r="B3786" t="str">
            <v>ORKHON GROUP</v>
          </cell>
          <cell r="C3786" t="str">
            <v>A</v>
          </cell>
          <cell r="D3786" t="str">
            <v>N/A</v>
          </cell>
          <cell r="E3786" t="str">
            <v>S1507-36 ALTAMAR SOMBRERO</v>
          </cell>
          <cell r="F3786" t="str">
            <v>SOMBREROS</v>
          </cell>
          <cell r="G3786" t="str">
            <v>A007324</v>
          </cell>
          <cell r="H3786" t="str">
            <v>ALTAMAR</v>
          </cell>
          <cell r="I3786">
            <v>6.016</v>
          </cell>
        </row>
        <row r="3787">
          <cell r="A3787" t="str">
            <v>19-03786</v>
          </cell>
          <cell r="B3787" t="str">
            <v>ORKHON GROUP</v>
          </cell>
          <cell r="C3787" t="str">
            <v>A</v>
          </cell>
          <cell r="D3787" t="str">
            <v>N/A</v>
          </cell>
          <cell r="E3787" t="str">
            <v>S1507-37 ALTAMAR SOMBRERO</v>
          </cell>
          <cell r="F3787" t="str">
            <v>SOMBREROS</v>
          </cell>
          <cell r="G3787" t="str">
            <v>A007325</v>
          </cell>
          <cell r="H3787" t="str">
            <v>ALTAMAR</v>
          </cell>
          <cell r="I3787">
            <v>6.016</v>
          </cell>
        </row>
        <row r="3788">
          <cell r="A3788" t="str">
            <v>19-03787</v>
          </cell>
          <cell r="B3788" t="str">
            <v>ORKHON GROUP</v>
          </cell>
          <cell r="C3788" t="str">
            <v>A</v>
          </cell>
          <cell r="D3788" t="str">
            <v>N/A</v>
          </cell>
          <cell r="E3788" t="str">
            <v>S1507-38 ALTAMAR SOMBRERO</v>
          </cell>
          <cell r="F3788" t="str">
            <v>SOMBREROS</v>
          </cell>
          <cell r="G3788" t="str">
            <v>A007326</v>
          </cell>
          <cell r="H3788" t="str">
            <v>ALTAMAR</v>
          </cell>
          <cell r="I3788">
            <v>6.016</v>
          </cell>
        </row>
        <row r="3789">
          <cell r="A3789" t="str">
            <v>19-03788</v>
          </cell>
          <cell r="B3789" t="str">
            <v>ORKHON GROUP</v>
          </cell>
          <cell r="C3789" t="str">
            <v>A</v>
          </cell>
          <cell r="D3789" t="str">
            <v>N/A</v>
          </cell>
          <cell r="E3789" t="str">
            <v>S1507-14 ALTAMAR SOMBRERO</v>
          </cell>
          <cell r="F3789" t="str">
            <v>SOMBREROS</v>
          </cell>
          <cell r="G3789" t="str">
            <v>A007327</v>
          </cell>
          <cell r="H3789" t="str">
            <v>ALTAMAR</v>
          </cell>
          <cell r="I3789">
            <v>6.9560000000000004</v>
          </cell>
        </row>
        <row r="3790">
          <cell r="A3790" t="str">
            <v>19-03789</v>
          </cell>
          <cell r="B3790" t="str">
            <v>ORKHON GROUP</v>
          </cell>
          <cell r="C3790" t="str">
            <v>A</v>
          </cell>
          <cell r="D3790" t="str">
            <v>N/A</v>
          </cell>
          <cell r="E3790" t="str">
            <v>S1507-16 ALTAMAR SOMBRERO</v>
          </cell>
          <cell r="F3790" t="str">
            <v>SOMBREROS</v>
          </cell>
          <cell r="G3790" t="str">
            <v>A007328</v>
          </cell>
          <cell r="H3790" t="str">
            <v>ALTAMAR</v>
          </cell>
          <cell r="I3790">
            <v>6.9560000000000004</v>
          </cell>
        </row>
        <row r="3791">
          <cell r="A3791" t="str">
            <v>19-03790</v>
          </cell>
          <cell r="B3791" t="str">
            <v>ORKHON GROUP</v>
          </cell>
          <cell r="C3791" t="str">
            <v>A</v>
          </cell>
          <cell r="D3791" t="str">
            <v>N/A</v>
          </cell>
          <cell r="E3791" t="str">
            <v>S1507-17 ALTAMAR SOMBRERO</v>
          </cell>
          <cell r="F3791" t="str">
            <v>SOMBREROS</v>
          </cell>
          <cell r="G3791" t="str">
            <v>A007329</v>
          </cell>
          <cell r="H3791" t="str">
            <v>ALTAMAR</v>
          </cell>
          <cell r="I3791">
            <v>6.9560000000000004</v>
          </cell>
        </row>
        <row r="3792">
          <cell r="A3792" t="str">
            <v>19-03791</v>
          </cell>
          <cell r="B3792" t="str">
            <v>ORKHON GROUP</v>
          </cell>
          <cell r="C3792" t="str">
            <v>A</v>
          </cell>
          <cell r="D3792" t="str">
            <v>N/A</v>
          </cell>
          <cell r="E3792" t="str">
            <v>S1507-18 ALTAMAR SOMBRERO</v>
          </cell>
          <cell r="F3792" t="str">
            <v>SOMBREROS</v>
          </cell>
          <cell r="G3792" t="str">
            <v>A007330</v>
          </cell>
          <cell r="H3792" t="str">
            <v>ALTAMAR</v>
          </cell>
          <cell r="I3792">
            <v>6.9560000000000004</v>
          </cell>
        </row>
        <row r="3793">
          <cell r="A3793" t="str">
            <v>19-03792</v>
          </cell>
          <cell r="B3793" t="str">
            <v>ORKHON GROUP</v>
          </cell>
          <cell r="C3793" t="str">
            <v>A</v>
          </cell>
          <cell r="D3793" t="str">
            <v>N/A</v>
          </cell>
          <cell r="E3793" t="str">
            <v>A1507-160 ALTAMAR PULSERA CLOE ASSORTED COLORS</v>
          </cell>
          <cell r="F3793" t="str">
            <v>PULSERA</v>
          </cell>
          <cell r="G3793" t="str">
            <v>A007331</v>
          </cell>
          <cell r="H3793" t="str">
            <v>ALTAMAR</v>
          </cell>
          <cell r="I3793">
            <v>1.6919999999999999</v>
          </cell>
        </row>
        <row r="3794">
          <cell r="A3794" t="str">
            <v>19-03793</v>
          </cell>
          <cell r="B3794" t="str">
            <v>ORKHON GROUP</v>
          </cell>
          <cell r="C3794" t="str">
            <v>A</v>
          </cell>
          <cell r="D3794" t="str">
            <v>N/A</v>
          </cell>
          <cell r="E3794" t="str">
            <v>A1507-161 ALTAMAR PULSERA CLOE ASSORTED COLORS</v>
          </cell>
          <cell r="F3794" t="str">
            <v>PULSERA</v>
          </cell>
          <cell r="G3794" t="str">
            <v>A007332</v>
          </cell>
          <cell r="H3794" t="str">
            <v>ALTAMAR</v>
          </cell>
          <cell r="I3794">
            <v>1.6919999999999999</v>
          </cell>
        </row>
        <row r="3795">
          <cell r="A3795" t="str">
            <v>19-03794</v>
          </cell>
          <cell r="B3795" t="str">
            <v>ORKHON GROUP</v>
          </cell>
          <cell r="C3795" t="str">
            <v>A</v>
          </cell>
          <cell r="D3795" t="str">
            <v>N/A</v>
          </cell>
          <cell r="E3795" t="str">
            <v>A1507-162 ALTAMAR PULSERA CLOE</v>
          </cell>
          <cell r="F3795" t="str">
            <v>PULSERA</v>
          </cell>
          <cell r="G3795" t="str">
            <v>A007333</v>
          </cell>
          <cell r="H3795" t="str">
            <v>ALTAMAR</v>
          </cell>
          <cell r="I3795">
            <v>1.88</v>
          </cell>
        </row>
        <row r="3796">
          <cell r="A3796" t="str">
            <v>19-03795</v>
          </cell>
          <cell r="B3796" t="str">
            <v>ORKHON GROUP</v>
          </cell>
          <cell r="C3796" t="str">
            <v>A</v>
          </cell>
          <cell r="D3796" t="str">
            <v>N/A</v>
          </cell>
          <cell r="E3796" t="str">
            <v>A1507-163 ALTAMAR PULSERA CLOE ASSORTED COLORS</v>
          </cell>
          <cell r="F3796" t="str">
            <v>PULSERA</v>
          </cell>
          <cell r="G3796" t="str">
            <v>A007334</v>
          </cell>
          <cell r="H3796" t="str">
            <v>ALTAMAR</v>
          </cell>
          <cell r="I3796">
            <v>1.88</v>
          </cell>
        </row>
        <row r="3797">
          <cell r="A3797" t="str">
            <v>19-03796</v>
          </cell>
          <cell r="B3797" t="str">
            <v>ORKHON GROUP</v>
          </cell>
          <cell r="C3797" t="str">
            <v>A</v>
          </cell>
          <cell r="D3797" t="str">
            <v>N/A</v>
          </cell>
          <cell r="E3797" t="str">
            <v>A1507-164 ALTAMAR PULSERA CLOE ASSORTED COLORS</v>
          </cell>
          <cell r="F3797" t="str">
            <v>PULSERA</v>
          </cell>
          <cell r="G3797" t="str">
            <v>A007335</v>
          </cell>
          <cell r="H3797" t="str">
            <v>ALTAMAR</v>
          </cell>
          <cell r="I3797">
            <v>1.88</v>
          </cell>
        </row>
        <row r="3798">
          <cell r="A3798" t="str">
            <v>19-03797</v>
          </cell>
          <cell r="B3798" t="str">
            <v>ORKHON GROUP</v>
          </cell>
          <cell r="C3798" t="str">
            <v>A</v>
          </cell>
          <cell r="D3798" t="str">
            <v>N/A</v>
          </cell>
          <cell r="E3798" t="str">
            <v>A1507-165 ALTAMAR PULSERA CLOE ASSORTED COLORS</v>
          </cell>
          <cell r="F3798" t="str">
            <v>PULSERA</v>
          </cell>
          <cell r="G3798" t="str">
            <v>A007336</v>
          </cell>
          <cell r="H3798" t="str">
            <v>ALTAMAR</v>
          </cell>
          <cell r="I3798">
            <v>1.9750000000000001</v>
          </cell>
        </row>
        <row r="3799">
          <cell r="A3799" t="str">
            <v>19-03798</v>
          </cell>
          <cell r="B3799" t="str">
            <v>ORKHON GROUP</v>
          </cell>
          <cell r="C3799" t="str">
            <v>A</v>
          </cell>
          <cell r="D3799" t="str">
            <v>N/A</v>
          </cell>
          <cell r="E3799" t="str">
            <v>A1507-166 ALTAMAR PULSERA CLOE ASSORTED COLORS</v>
          </cell>
          <cell r="F3799" t="str">
            <v>PULSERA</v>
          </cell>
          <cell r="G3799" t="str">
            <v>A007337</v>
          </cell>
          <cell r="H3799" t="str">
            <v>ALTAMAR</v>
          </cell>
          <cell r="I3799">
            <v>1.9730000000000001</v>
          </cell>
        </row>
        <row r="3800">
          <cell r="A3800" t="str">
            <v>19-03799</v>
          </cell>
          <cell r="B3800" t="str">
            <v>ORKHON GROUP</v>
          </cell>
          <cell r="C3800" t="str">
            <v>A</v>
          </cell>
          <cell r="D3800" t="str">
            <v>N/A</v>
          </cell>
          <cell r="E3800" t="str">
            <v>A1507-167 ALTAMAR PULSERA CLOE ASSORTED COLORS</v>
          </cell>
          <cell r="F3800" t="str">
            <v>PULSERA</v>
          </cell>
          <cell r="G3800" t="str">
            <v>A007338</v>
          </cell>
          <cell r="H3800" t="str">
            <v>ALTAMAR</v>
          </cell>
          <cell r="I3800">
            <v>2.2570000000000001</v>
          </cell>
        </row>
        <row r="3801">
          <cell r="A3801" t="str">
            <v>19-03800</v>
          </cell>
          <cell r="B3801" t="str">
            <v>ORKHON GROUP</v>
          </cell>
          <cell r="C3801" t="str">
            <v>A</v>
          </cell>
          <cell r="D3801" t="str">
            <v>N/A</v>
          </cell>
          <cell r="E3801" t="str">
            <v>A1507-168 ALTAMAR PULSERA CLOE ASSORTED COLORS</v>
          </cell>
          <cell r="F3801" t="str">
            <v>PULSERA</v>
          </cell>
          <cell r="G3801" t="str">
            <v>A007339</v>
          </cell>
          <cell r="H3801" t="str">
            <v>ALTAMAR</v>
          </cell>
          <cell r="I3801">
            <v>2.726</v>
          </cell>
        </row>
        <row r="3802">
          <cell r="A3802" t="str">
            <v>19-03801</v>
          </cell>
          <cell r="B3802" t="str">
            <v>ORKHON GROUP</v>
          </cell>
          <cell r="C3802" t="str">
            <v>A</v>
          </cell>
          <cell r="D3802" t="str">
            <v>N/A</v>
          </cell>
          <cell r="E3802" t="str">
            <v>A1507-169 ALTAMAR PULSERA CLOE ASSORTED COLORS</v>
          </cell>
          <cell r="F3802" t="str">
            <v>PULSERA</v>
          </cell>
          <cell r="G3802" t="str">
            <v>A007340</v>
          </cell>
          <cell r="H3802" t="str">
            <v>ALTAMAR</v>
          </cell>
          <cell r="I3802">
            <v>1.974</v>
          </cell>
        </row>
        <row r="3803">
          <cell r="A3803" t="str">
            <v>19-03802</v>
          </cell>
          <cell r="B3803" t="str">
            <v>ORKHON GROUP</v>
          </cell>
          <cell r="C3803" t="str">
            <v>A</v>
          </cell>
          <cell r="D3803" t="str">
            <v>N/A</v>
          </cell>
          <cell r="E3803" t="str">
            <v>A1507-172 ALTAMAR PULSERA CLOE ASSORTED COLORS</v>
          </cell>
          <cell r="F3803" t="str">
            <v>PULSERA</v>
          </cell>
          <cell r="G3803" t="str">
            <v>A007341</v>
          </cell>
          <cell r="H3803" t="str">
            <v>ALTAMAR</v>
          </cell>
          <cell r="I3803">
            <v>3.29</v>
          </cell>
        </row>
        <row r="3804">
          <cell r="A3804" t="str">
            <v>19-03803</v>
          </cell>
          <cell r="B3804" t="str">
            <v>ORKHON GROUP</v>
          </cell>
          <cell r="C3804" t="str">
            <v>A</v>
          </cell>
          <cell r="D3804" t="str">
            <v>N/A</v>
          </cell>
          <cell r="E3804" t="str">
            <v>A1507-173 ALTAMAR PULSERA CLOE</v>
          </cell>
          <cell r="F3804" t="str">
            <v>PULSERA</v>
          </cell>
          <cell r="G3804" t="str">
            <v>A007342</v>
          </cell>
          <cell r="H3804" t="str">
            <v>ALTAMAR</v>
          </cell>
          <cell r="I3804">
            <v>2.444</v>
          </cell>
        </row>
        <row r="3805">
          <cell r="A3805" t="str">
            <v>19-03804</v>
          </cell>
          <cell r="B3805" t="str">
            <v>ORKHON GROUP</v>
          </cell>
          <cell r="C3805" t="str">
            <v>A</v>
          </cell>
          <cell r="D3805" t="str">
            <v>N/A</v>
          </cell>
          <cell r="E3805" t="str">
            <v>A1507-174 ALTAMAR PULSERA CLOE ASSORTED COLORS</v>
          </cell>
          <cell r="F3805" t="str">
            <v>PULSERA</v>
          </cell>
          <cell r="G3805" t="str">
            <v>A007343</v>
          </cell>
          <cell r="H3805" t="str">
            <v>ALTAMAR</v>
          </cell>
          <cell r="I3805">
            <v>2.0680000000000001</v>
          </cell>
        </row>
        <row r="3806">
          <cell r="A3806" t="str">
            <v>19-03805</v>
          </cell>
          <cell r="B3806" t="str">
            <v>ORKHON GROUP</v>
          </cell>
          <cell r="C3806" t="str">
            <v>A</v>
          </cell>
          <cell r="D3806" t="str">
            <v>N/A</v>
          </cell>
          <cell r="E3806" t="str">
            <v>A1507-175 ALTAMAR PULSERA CLOE ASSORTED COLORS</v>
          </cell>
          <cell r="F3806" t="str">
            <v>PULSERA</v>
          </cell>
          <cell r="G3806" t="str">
            <v>A007344</v>
          </cell>
          <cell r="H3806" t="str">
            <v>ALTAMAR</v>
          </cell>
          <cell r="I3806">
            <v>2.2559999999999998</v>
          </cell>
        </row>
        <row r="3807">
          <cell r="A3807" t="str">
            <v>19-03806</v>
          </cell>
          <cell r="B3807" t="str">
            <v>ORKHON GROUP</v>
          </cell>
          <cell r="C3807" t="str">
            <v>A</v>
          </cell>
          <cell r="D3807" t="str">
            <v>N/A</v>
          </cell>
          <cell r="E3807" t="str">
            <v>A1507-176 ALTAMAR PULSERA CLOE</v>
          </cell>
          <cell r="F3807" t="str">
            <v>PULSERA</v>
          </cell>
          <cell r="G3807" t="str">
            <v>A007345</v>
          </cell>
          <cell r="H3807" t="str">
            <v>ALTAMAR</v>
          </cell>
          <cell r="I3807">
            <v>2.6320000000000001</v>
          </cell>
        </row>
        <row r="3808">
          <cell r="A3808" t="str">
            <v>19-03807</v>
          </cell>
          <cell r="B3808" t="str">
            <v>ORKHON GROUP</v>
          </cell>
          <cell r="C3808" t="str">
            <v>A</v>
          </cell>
          <cell r="D3808" t="str">
            <v>N/A</v>
          </cell>
          <cell r="E3808" t="str">
            <v>A1507-177 ALTAMAR PULSERA CLOE</v>
          </cell>
          <cell r="F3808" t="str">
            <v>PULSERA</v>
          </cell>
          <cell r="G3808" t="str">
            <v>A007346</v>
          </cell>
          <cell r="H3808" t="str">
            <v>ALTAMAR</v>
          </cell>
          <cell r="I3808">
            <v>2.444</v>
          </cell>
        </row>
        <row r="3809">
          <cell r="A3809" t="str">
            <v>19-03808</v>
          </cell>
          <cell r="B3809" t="str">
            <v>ORKHON GROUP</v>
          </cell>
          <cell r="C3809" t="str">
            <v>A</v>
          </cell>
          <cell r="D3809" t="str">
            <v>N/A</v>
          </cell>
          <cell r="E3809" t="str">
            <v>A1507-152 ALTAMAR PULSERA CLOE ASSORTED COLORS</v>
          </cell>
          <cell r="F3809" t="str">
            <v>PULSERA</v>
          </cell>
          <cell r="G3809" t="str">
            <v>A007348</v>
          </cell>
          <cell r="H3809" t="str">
            <v>ALTAMAR</v>
          </cell>
          <cell r="I3809">
            <v>2.5379999999999998</v>
          </cell>
        </row>
        <row r="3810">
          <cell r="A3810" t="str">
            <v>19-03809</v>
          </cell>
          <cell r="B3810" t="str">
            <v>ORKHON GROUP</v>
          </cell>
          <cell r="C3810" t="str">
            <v>A</v>
          </cell>
          <cell r="D3810" t="str">
            <v>N/A</v>
          </cell>
          <cell r="E3810" t="str">
            <v>A1507-159 ALTAMAR PULSERA CLOE ASSORTED COLORS</v>
          </cell>
          <cell r="F3810" t="str">
            <v>PULSERA</v>
          </cell>
          <cell r="G3810" t="str">
            <v>A007351</v>
          </cell>
          <cell r="H3810" t="str">
            <v>ALTAMAR</v>
          </cell>
          <cell r="I3810">
            <v>2.6320000000000001</v>
          </cell>
        </row>
        <row r="3811">
          <cell r="A3811" t="str">
            <v>19-03810</v>
          </cell>
          <cell r="B3811" t="str">
            <v>ORKHON GROUP</v>
          </cell>
          <cell r="C3811" t="str">
            <v>A</v>
          </cell>
          <cell r="D3811" t="str">
            <v>N/A</v>
          </cell>
          <cell r="E3811" t="str">
            <v>A1507-45 ALTAMAR COLLAR</v>
          </cell>
          <cell r="F3811" t="str">
            <v>COLLAR</v>
          </cell>
          <cell r="G3811" t="str">
            <v>A007355</v>
          </cell>
          <cell r="H3811" t="str">
            <v>ALTAMAR</v>
          </cell>
          <cell r="I3811">
            <v>8.3659999999999997</v>
          </cell>
        </row>
        <row r="3812">
          <cell r="A3812" t="str">
            <v>19-03811</v>
          </cell>
          <cell r="B3812" t="str">
            <v>ORKHON GROUP</v>
          </cell>
          <cell r="C3812" t="str">
            <v>A</v>
          </cell>
          <cell r="D3812" t="str">
            <v>N/A</v>
          </cell>
          <cell r="E3812" t="str">
            <v>A1507-46 ALTAMAR COLLAR</v>
          </cell>
          <cell r="F3812" t="str">
            <v>COLLAR</v>
          </cell>
          <cell r="G3812" t="str">
            <v>A007356</v>
          </cell>
          <cell r="H3812" t="str">
            <v>ALTAMAR</v>
          </cell>
          <cell r="I3812">
            <v>8.3659999999999997</v>
          </cell>
        </row>
        <row r="3813">
          <cell r="A3813" t="str">
            <v>19-03812</v>
          </cell>
          <cell r="B3813" t="str">
            <v>ORKHON GROUP</v>
          </cell>
          <cell r="C3813" t="str">
            <v>A</v>
          </cell>
          <cell r="D3813" t="str">
            <v>N/A</v>
          </cell>
          <cell r="E3813" t="str">
            <v>A1507-49 ALTAMAR COLLAR</v>
          </cell>
          <cell r="F3813" t="str">
            <v>COLLAR</v>
          </cell>
          <cell r="G3813" t="str">
            <v>A007357</v>
          </cell>
          <cell r="H3813" t="str">
            <v>ALTAMAR</v>
          </cell>
          <cell r="I3813">
            <v>8.3659999999999997</v>
          </cell>
        </row>
        <row r="3814">
          <cell r="A3814" t="str">
            <v>19-03813</v>
          </cell>
          <cell r="B3814" t="str">
            <v>ORKHON GROUP</v>
          </cell>
          <cell r="C3814" t="str">
            <v>A</v>
          </cell>
          <cell r="D3814" t="str">
            <v>N/A</v>
          </cell>
          <cell r="E3814" t="str">
            <v>A1507-50 ALTAMAR COLLAR</v>
          </cell>
          <cell r="F3814" t="str">
            <v>COLLAR</v>
          </cell>
          <cell r="G3814" t="str">
            <v>A007358</v>
          </cell>
          <cell r="H3814" t="str">
            <v>ALTAMAR</v>
          </cell>
          <cell r="I3814">
            <v>10.715999999999999</v>
          </cell>
        </row>
        <row r="3815">
          <cell r="A3815" t="str">
            <v>19-03814</v>
          </cell>
          <cell r="B3815" t="str">
            <v>ORKHON GROUP</v>
          </cell>
          <cell r="C3815" t="str">
            <v>A</v>
          </cell>
          <cell r="D3815" t="str">
            <v>N/A</v>
          </cell>
          <cell r="E3815" t="str">
            <v>A1507-59 ALTAMAR COLLAR</v>
          </cell>
          <cell r="F3815" t="str">
            <v>COLLAR</v>
          </cell>
          <cell r="G3815" t="str">
            <v>A007364</v>
          </cell>
          <cell r="H3815" t="str">
            <v>ALTAMAR</v>
          </cell>
          <cell r="I3815">
            <v>10.528</v>
          </cell>
        </row>
        <row r="3816">
          <cell r="A3816" t="str">
            <v>19-03815</v>
          </cell>
          <cell r="B3816" t="str">
            <v>ORKHON GROUP</v>
          </cell>
          <cell r="C3816" t="str">
            <v>A</v>
          </cell>
          <cell r="D3816" t="str">
            <v>N/A</v>
          </cell>
          <cell r="E3816" t="str">
            <v>A1507-64 ALTAMAR COLLAR</v>
          </cell>
          <cell r="F3816" t="str">
            <v>COLLAR</v>
          </cell>
          <cell r="G3816" t="str">
            <v>A007366</v>
          </cell>
          <cell r="H3816" t="str">
            <v>ALTAMAR</v>
          </cell>
          <cell r="I3816">
            <v>7.52</v>
          </cell>
        </row>
        <row r="3817">
          <cell r="A3817" t="str">
            <v>19-03816</v>
          </cell>
          <cell r="B3817" t="str">
            <v>ORKHON GROUP</v>
          </cell>
          <cell r="C3817" t="str">
            <v>A</v>
          </cell>
          <cell r="D3817" t="str">
            <v>N/A</v>
          </cell>
          <cell r="E3817" t="str">
            <v>A1507-65 ALTAMAR COLLAR</v>
          </cell>
          <cell r="F3817" t="str">
            <v>COLLAR</v>
          </cell>
          <cell r="G3817" t="str">
            <v>A007367</v>
          </cell>
          <cell r="H3817" t="str">
            <v>ALTAMAR</v>
          </cell>
          <cell r="I3817">
            <v>7.52</v>
          </cell>
        </row>
        <row r="3818">
          <cell r="A3818" t="str">
            <v>19-03817</v>
          </cell>
          <cell r="B3818" t="str">
            <v>ORKHON GROUP</v>
          </cell>
          <cell r="C3818" t="str">
            <v>A</v>
          </cell>
          <cell r="D3818" t="str">
            <v>N/A</v>
          </cell>
          <cell r="E3818" t="str">
            <v>A1507-70 ALTAMAR COLLAR</v>
          </cell>
          <cell r="F3818" t="str">
            <v>COLLAR</v>
          </cell>
          <cell r="G3818" t="str">
            <v>A007370</v>
          </cell>
          <cell r="H3818" t="str">
            <v>ALTAMAR</v>
          </cell>
          <cell r="I3818">
            <v>8.3659999999999997</v>
          </cell>
        </row>
        <row r="3819">
          <cell r="A3819" t="str">
            <v>19-03818</v>
          </cell>
          <cell r="B3819" t="str">
            <v>ORKHON GROUP</v>
          </cell>
          <cell r="C3819" t="str">
            <v>A</v>
          </cell>
          <cell r="D3819" t="str">
            <v>N/A</v>
          </cell>
          <cell r="E3819" t="str">
            <v>A1507-75 ALTAMAR COLLAR</v>
          </cell>
          <cell r="F3819" t="str">
            <v>COLLAR</v>
          </cell>
          <cell r="G3819" t="str">
            <v>A007372</v>
          </cell>
          <cell r="H3819" t="str">
            <v>ALTAMAR</v>
          </cell>
          <cell r="I3819">
            <v>7.99</v>
          </cell>
        </row>
        <row r="3820">
          <cell r="A3820" t="str">
            <v>19-03819</v>
          </cell>
          <cell r="B3820" t="str">
            <v>ORKHON GROUP</v>
          </cell>
          <cell r="C3820" t="str">
            <v>A</v>
          </cell>
          <cell r="D3820" t="str">
            <v>N/A</v>
          </cell>
          <cell r="E3820" t="str">
            <v>A1507-77 ALTAMAR COLLAR</v>
          </cell>
          <cell r="F3820" t="str">
            <v>COLLAR</v>
          </cell>
          <cell r="G3820" t="str">
            <v>A007374</v>
          </cell>
          <cell r="H3820" t="str">
            <v>ALTAMAR</v>
          </cell>
          <cell r="I3820">
            <v>6.96</v>
          </cell>
        </row>
        <row r="3821">
          <cell r="A3821" t="str">
            <v>19-03820</v>
          </cell>
          <cell r="B3821" t="str">
            <v>ORKHON GROUP</v>
          </cell>
          <cell r="C3821" t="str">
            <v>A</v>
          </cell>
          <cell r="D3821" t="str">
            <v>N/A</v>
          </cell>
          <cell r="E3821" t="str">
            <v>A1507-79 ALTAMAR COLLAR</v>
          </cell>
          <cell r="F3821" t="str">
            <v>COLLAR</v>
          </cell>
          <cell r="G3821" t="str">
            <v>A007375</v>
          </cell>
          <cell r="H3821" t="str">
            <v>ALTAMAR</v>
          </cell>
          <cell r="I3821">
            <v>4.9820000000000002</v>
          </cell>
        </row>
        <row r="3822">
          <cell r="A3822" t="str">
            <v>19-03821</v>
          </cell>
          <cell r="B3822" t="str">
            <v>ORKHON GROUP</v>
          </cell>
          <cell r="C3822" t="str">
            <v>A</v>
          </cell>
          <cell r="D3822" t="str">
            <v>N/A</v>
          </cell>
          <cell r="E3822" t="str">
            <v>A1507-81 ALTAMAR COLLAR</v>
          </cell>
          <cell r="F3822" t="str">
            <v>COLLAR</v>
          </cell>
          <cell r="G3822" t="str">
            <v>A007377</v>
          </cell>
          <cell r="H3822" t="str">
            <v>ALTAMAR</v>
          </cell>
          <cell r="I3822">
            <v>9.9640000000000004</v>
          </cell>
        </row>
        <row r="3823">
          <cell r="A3823" t="str">
            <v>19-03822</v>
          </cell>
          <cell r="B3823" t="str">
            <v>ORKHON GROUP</v>
          </cell>
          <cell r="C3823" t="str">
            <v>A</v>
          </cell>
          <cell r="D3823" t="str">
            <v>N/A</v>
          </cell>
          <cell r="E3823" t="str">
            <v>A1507-86 ALTAMAR COLLAR</v>
          </cell>
          <cell r="F3823" t="str">
            <v>COLLAR</v>
          </cell>
          <cell r="G3823" t="str">
            <v>A007379</v>
          </cell>
          <cell r="H3823" t="str">
            <v>ALTAMAR</v>
          </cell>
          <cell r="I3823">
            <v>9.9640000000000004</v>
          </cell>
        </row>
        <row r="3824">
          <cell r="A3824" t="str">
            <v>19-03823</v>
          </cell>
          <cell r="B3824" t="str">
            <v>ORKHON GROUP</v>
          </cell>
          <cell r="C3824" t="str">
            <v>A</v>
          </cell>
          <cell r="D3824" t="str">
            <v>N/A</v>
          </cell>
          <cell r="E3824" t="str">
            <v>A1507-92 ALTAMAR COLLAR</v>
          </cell>
          <cell r="F3824" t="str">
            <v>COLLAR</v>
          </cell>
          <cell r="G3824" t="str">
            <v>A007382</v>
          </cell>
          <cell r="H3824" t="str">
            <v>ALTAMAR</v>
          </cell>
          <cell r="I3824">
            <v>6.9560000000000004</v>
          </cell>
        </row>
        <row r="3825">
          <cell r="A3825" t="str">
            <v>19-03824</v>
          </cell>
          <cell r="B3825" t="str">
            <v>ORKHON GROUP</v>
          </cell>
          <cell r="C3825" t="str">
            <v>A</v>
          </cell>
          <cell r="D3825" t="str">
            <v>N/A</v>
          </cell>
          <cell r="E3825" t="str">
            <v>A1507-93 ALTAMAR PULSERA FASHION</v>
          </cell>
          <cell r="F3825" t="str">
            <v>PULSERA</v>
          </cell>
          <cell r="G3825" t="str">
            <v>A007383</v>
          </cell>
          <cell r="H3825" t="str">
            <v>ALTAMAR</v>
          </cell>
          <cell r="I3825">
            <v>7.52</v>
          </cell>
        </row>
        <row r="3826">
          <cell r="A3826" t="str">
            <v>19-03825</v>
          </cell>
          <cell r="B3826" t="str">
            <v>ORKHON GROUP</v>
          </cell>
          <cell r="C3826" t="str">
            <v>A</v>
          </cell>
          <cell r="D3826" t="str">
            <v>N/A</v>
          </cell>
          <cell r="E3826" t="str">
            <v>A1507-94 ALTAMAR PULSERA FASHION</v>
          </cell>
          <cell r="F3826" t="str">
            <v>PULSERA</v>
          </cell>
          <cell r="G3826" t="str">
            <v>A007384</v>
          </cell>
          <cell r="H3826" t="str">
            <v>ALTAMAR</v>
          </cell>
          <cell r="I3826">
            <v>8.0839999999999996</v>
          </cell>
        </row>
        <row r="3827">
          <cell r="A3827" t="str">
            <v>19-03826</v>
          </cell>
          <cell r="B3827" t="str">
            <v>ORKHON GROUP</v>
          </cell>
          <cell r="C3827" t="str">
            <v>A</v>
          </cell>
          <cell r="D3827" t="str">
            <v>N/A</v>
          </cell>
          <cell r="E3827" t="str">
            <v>A1507-102 ALTAMAR PULSERA FASHION</v>
          </cell>
          <cell r="F3827" t="str">
            <v>PULSERA</v>
          </cell>
          <cell r="G3827" t="str">
            <v>A007385</v>
          </cell>
          <cell r="H3827" t="str">
            <v>ALTAMAR</v>
          </cell>
          <cell r="I3827">
            <v>6.298</v>
          </cell>
        </row>
        <row r="3828">
          <cell r="A3828" t="str">
            <v>19-03827</v>
          </cell>
          <cell r="B3828" t="str">
            <v>ORKHON GROUP</v>
          </cell>
          <cell r="C3828" t="str">
            <v>A</v>
          </cell>
          <cell r="D3828" t="str">
            <v>N/A</v>
          </cell>
          <cell r="E3828" t="str">
            <v>A1507-103 ALTAMAR PULSERA FASHION</v>
          </cell>
          <cell r="F3828" t="str">
            <v>PULSERA</v>
          </cell>
          <cell r="G3828" t="str">
            <v>A007386</v>
          </cell>
          <cell r="H3828" t="str">
            <v>ALTAMAR</v>
          </cell>
          <cell r="I3828">
            <v>6.3920000000000003</v>
          </cell>
        </row>
        <row r="3829">
          <cell r="A3829" t="str">
            <v>19-03828</v>
          </cell>
          <cell r="B3829" t="str">
            <v>ORKHON GROUP</v>
          </cell>
          <cell r="C3829" t="str">
            <v>A</v>
          </cell>
          <cell r="D3829" t="str">
            <v>N/A</v>
          </cell>
          <cell r="E3829" t="str">
            <v>A1507-104 ALTAMAR PULSERA FASHION</v>
          </cell>
          <cell r="F3829" t="str">
            <v>PULSERA</v>
          </cell>
          <cell r="G3829" t="str">
            <v>A007387</v>
          </cell>
          <cell r="H3829" t="str">
            <v>ALTAMAR</v>
          </cell>
          <cell r="I3829">
            <v>6.298</v>
          </cell>
        </row>
        <row r="3830">
          <cell r="A3830" t="str">
            <v>19-03829</v>
          </cell>
          <cell r="B3830" t="str">
            <v>ORKHON GROUP</v>
          </cell>
          <cell r="C3830" t="str">
            <v>A</v>
          </cell>
          <cell r="D3830" t="str">
            <v>N/A</v>
          </cell>
          <cell r="E3830" t="str">
            <v>A1507-106 ALTAMAR PULSERA FASHION ASSORTED COLORS</v>
          </cell>
          <cell r="F3830" t="str">
            <v>PULSERA</v>
          </cell>
          <cell r="G3830" t="str">
            <v>A007388</v>
          </cell>
          <cell r="H3830" t="str">
            <v>ALTAMAR</v>
          </cell>
          <cell r="I3830">
            <v>2.82</v>
          </cell>
        </row>
        <row r="3831">
          <cell r="A3831" t="str">
            <v>19-03830</v>
          </cell>
          <cell r="B3831" t="str">
            <v>ORKHON GROUP</v>
          </cell>
          <cell r="C3831" t="str">
            <v>A</v>
          </cell>
          <cell r="D3831" t="str">
            <v>N/A</v>
          </cell>
          <cell r="E3831" t="str">
            <v>A1507-107 ALTAMAR PULSERA CLOE ASSORTED COLORS</v>
          </cell>
          <cell r="F3831" t="str">
            <v>PULSERA</v>
          </cell>
          <cell r="G3831" t="str">
            <v>A007389</v>
          </cell>
          <cell r="H3831" t="str">
            <v>ALTAMAR</v>
          </cell>
          <cell r="I3831">
            <v>2.444</v>
          </cell>
        </row>
        <row r="3832">
          <cell r="A3832" t="str">
            <v>19-03831</v>
          </cell>
          <cell r="B3832" t="str">
            <v>ORKHON GROUP</v>
          </cell>
          <cell r="C3832" t="str">
            <v>A</v>
          </cell>
          <cell r="D3832" t="str">
            <v>N/A</v>
          </cell>
          <cell r="E3832" t="str">
            <v>A1507-109 ALTAMAR PULSERA CLOE</v>
          </cell>
          <cell r="F3832" t="str">
            <v>PULSERA</v>
          </cell>
          <cell r="G3832" t="str">
            <v>A007390</v>
          </cell>
          <cell r="H3832" t="str">
            <v>ALTAMAR</v>
          </cell>
          <cell r="I3832">
            <v>2.82</v>
          </cell>
        </row>
        <row r="3833">
          <cell r="A3833" t="str">
            <v>19-03832</v>
          </cell>
          <cell r="B3833" t="str">
            <v>ORKHON GROUP</v>
          </cell>
          <cell r="C3833" t="str">
            <v>A</v>
          </cell>
          <cell r="D3833" t="str">
            <v>N/A</v>
          </cell>
          <cell r="E3833" t="str">
            <v>A1507-111 ALTAMAR PULSERA CLOE</v>
          </cell>
          <cell r="F3833" t="str">
            <v>PULSERA</v>
          </cell>
          <cell r="G3833" t="str">
            <v>A007391</v>
          </cell>
          <cell r="H3833" t="str">
            <v>ALTAMAR</v>
          </cell>
          <cell r="I3833">
            <v>2.726</v>
          </cell>
        </row>
        <row r="3834">
          <cell r="A3834" t="str">
            <v>19-03833</v>
          </cell>
          <cell r="B3834" t="str">
            <v>ORKHON GROUP</v>
          </cell>
          <cell r="C3834" t="str">
            <v>A</v>
          </cell>
          <cell r="D3834" t="str">
            <v>N/A</v>
          </cell>
          <cell r="E3834" t="str">
            <v>A1507-112 ALTAMAR PULSERA FASHION</v>
          </cell>
          <cell r="F3834" t="str">
            <v>PULSERA</v>
          </cell>
          <cell r="G3834" t="str">
            <v>A007392</v>
          </cell>
          <cell r="H3834" t="str">
            <v>ALTAMAR</v>
          </cell>
          <cell r="I3834">
            <v>5.64</v>
          </cell>
        </row>
        <row r="3835">
          <cell r="A3835" t="str">
            <v>19-03834</v>
          </cell>
          <cell r="B3835" t="str">
            <v>ORKHON GROUP</v>
          </cell>
          <cell r="C3835" t="str">
            <v>A</v>
          </cell>
          <cell r="D3835" t="str">
            <v>N/A</v>
          </cell>
          <cell r="E3835" t="str">
            <v>A1507-114 ALTAMAR PULSRA FASHION</v>
          </cell>
          <cell r="F3835" t="str">
            <v>PULSERA</v>
          </cell>
          <cell r="G3835" t="str">
            <v>A007393</v>
          </cell>
          <cell r="H3835" t="str">
            <v>ALTAMAR</v>
          </cell>
          <cell r="I3835">
            <v>6.016</v>
          </cell>
        </row>
        <row r="3836">
          <cell r="A3836" t="str">
            <v>19-03835</v>
          </cell>
          <cell r="B3836" t="str">
            <v>ORKHON GROUP</v>
          </cell>
          <cell r="C3836" t="str">
            <v>A</v>
          </cell>
          <cell r="D3836" t="str">
            <v>N/A</v>
          </cell>
          <cell r="E3836" t="str">
            <v>A1507-115 ALTAMAR PULSRA FASHION</v>
          </cell>
          <cell r="F3836" t="str">
            <v>PULSERA</v>
          </cell>
          <cell r="G3836" t="str">
            <v>A007394</v>
          </cell>
          <cell r="H3836" t="str">
            <v>ALTAMAR</v>
          </cell>
          <cell r="I3836">
            <v>5.8280000000000003</v>
          </cell>
        </row>
        <row r="3837">
          <cell r="A3837" t="str">
            <v>19-03836</v>
          </cell>
          <cell r="B3837" t="str">
            <v>ORKHON GROUP</v>
          </cell>
          <cell r="C3837" t="str">
            <v>A</v>
          </cell>
          <cell r="D3837" t="str">
            <v>N/A</v>
          </cell>
          <cell r="E3837" t="str">
            <v>A1507-116 ALTAMAR PULSERA FASHION</v>
          </cell>
          <cell r="F3837" t="str">
            <v>PULSERA</v>
          </cell>
          <cell r="G3837" t="str">
            <v>A007395</v>
          </cell>
          <cell r="H3837" t="str">
            <v>ALTAMAR</v>
          </cell>
          <cell r="I3837">
            <v>7.2380000000000004</v>
          </cell>
        </row>
        <row r="3838">
          <cell r="A3838" t="str">
            <v>19-03837</v>
          </cell>
          <cell r="B3838" t="str">
            <v>ORKHON GROUP</v>
          </cell>
          <cell r="C3838" t="str">
            <v>A</v>
          </cell>
          <cell r="D3838" t="str">
            <v>N/A</v>
          </cell>
          <cell r="E3838" t="str">
            <v>A1507-117 ALTAMAR PULSRA FASHION</v>
          </cell>
          <cell r="F3838" t="str">
            <v>PULSERA</v>
          </cell>
          <cell r="G3838" t="str">
            <v>A007396</v>
          </cell>
          <cell r="H3838" t="str">
            <v>ALTAMAR</v>
          </cell>
          <cell r="I3838">
            <v>3.1960000000000002</v>
          </cell>
        </row>
        <row r="3839">
          <cell r="A3839" t="str">
            <v>19-03838</v>
          </cell>
          <cell r="B3839" t="str">
            <v>ORKHON GROUP</v>
          </cell>
          <cell r="C3839" t="str">
            <v>A</v>
          </cell>
          <cell r="D3839" t="str">
            <v>N/A</v>
          </cell>
          <cell r="E3839" t="str">
            <v>A1507-119 ALTAMAR PULSERA CLOE ASSORTED COLORS</v>
          </cell>
          <cell r="F3839" t="str">
            <v>PULSERA</v>
          </cell>
          <cell r="G3839" t="str">
            <v>A007397</v>
          </cell>
          <cell r="H3839" t="str">
            <v>ALTAMAR</v>
          </cell>
          <cell r="I3839">
            <v>3.3839999999999999</v>
          </cell>
        </row>
        <row r="3840">
          <cell r="A3840" t="str">
            <v>19-03839</v>
          </cell>
          <cell r="B3840" t="str">
            <v>ORKHON GROUP</v>
          </cell>
          <cell r="C3840" t="str">
            <v>A</v>
          </cell>
          <cell r="D3840" t="str">
            <v>N/A</v>
          </cell>
          <cell r="E3840" t="str">
            <v>A1507-120 ALTAMAR ARETES</v>
          </cell>
          <cell r="F3840" t="str">
            <v>PENDIENTE</v>
          </cell>
          <cell r="G3840" t="str">
            <v>A007398</v>
          </cell>
          <cell r="H3840" t="str">
            <v>ALTAMAR</v>
          </cell>
          <cell r="I3840">
            <v>3.8540000000000001</v>
          </cell>
        </row>
        <row r="3841">
          <cell r="A3841" t="str">
            <v>19-03840</v>
          </cell>
          <cell r="B3841" t="str">
            <v>ORKHON GROUP</v>
          </cell>
          <cell r="C3841" t="str">
            <v>A</v>
          </cell>
          <cell r="D3841" t="str">
            <v>N/A</v>
          </cell>
          <cell r="E3841" t="str">
            <v>A1507-121 ALTAMAR ARETES</v>
          </cell>
          <cell r="F3841" t="str">
            <v>PENDIENTE</v>
          </cell>
          <cell r="G3841" t="str">
            <v>A007399</v>
          </cell>
          <cell r="H3841" t="str">
            <v>ALTAMAR</v>
          </cell>
          <cell r="I3841">
            <v>3.948</v>
          </cell>
        </row>
        <row r="3842">
          <cell r="A3842" t="str">
            <v>19-03841</v>
          </cell>
          <cell r="B3842" t="str">
            <v>ORKHON GROUP</v>
          </cell>
          <cell r="C3842" t="str">
            <v>A</v>
          </cell>
          <cell r="D3842" t="str">
            <v>N/A</v>
          </cell>
          <cell r="E3842" t="str">
            <v>A1507-122 ALTAMAR ARETES</v>
          </cell>
          <cell r="F3842" t="str">
            <v>PENDIENTE</v>
          </cell>
          <cell r="G3842" t="str">
            <v>A007400</v>
          </cell>
          <cell r="H3842" t="str">
            <v>ALTAMAR</v>
          </cell>
          <cell r="I3842">
            <v>3.8540000000000001</v>
          </cell>
        </row>
        <row r="3843">
          <cell r="A3843" t="str">
            <v>19-03842</v>
          </cell>
          <cell r="B3843" t="str">
            <v>ORKHON GROUP</v>
          </cell>
          <cell r="C3843" t="str">
            <v>A</v>
          </cell>
          <cell r="D3843" t="str">
            <v>N/A</v>
          </cell>
          <cell r="E3843" t="str">
            <v>A1507-124 ALTAMAR ARETES</v>
          </cell>
          <cell r="F3843" t="str">
            <v>PENDIENTE</v>
          </cell>
          <cell r="G3843" t="str">
            <v>A007401</v>
          </cell>
          <cell r="H3843" t="str">
            <v>ALTAMAR</v>
          </cell>
          <cell r="I3843">
            <v>3.4780000000000002</v>
          </cell>
        </row>
        <row r="3844">
          <cell r="A3844" t="str">
            <v>19-03843</v>
          </cell>
          <cell r="B3844" t="str">
            <v>ORKHON GROUP</v>
          </cell>
          <cell r="C3844" t="str">
            <v>A</v>
          </cell>
          <cell r="D3844" t="str">
            <v>N/A</v>
          </cell>
          <cell r="E3844" t="str">
            <v>A1507-125 ALTAMAR ARETES</v>
          </cell>
          <cell r="F3844" t="str">
            <v>PENDIENTE</v>
          </cell>
          <cell r="G3844" t="str">
            <v>A007402</v>
          </cell>
          <cell r="H3844" t="str">
            <v>ALTAMAR</v>
          </cell>
          <cell r="I3844">
            <v>4.1360000000000001</v>
          </cell>
        </row>
        <row r="3845">
          <cell r="A3845" t="str">
            <v>19-03844</v>
          </cell>
          <cell r="B3845" t="str">
            <v>ORKHON GROUP</v>
          </cell>
          <cell r="C3845" t="str">
            <v>A</v>
          </cell>
          <cell r="D3845" t="str">
            <v>N/A</v>
          </cell>
          <cell r="E3845" t="str">
            <v>A1507-127 ALTAMAR ARETES</v>
          </cell>
          <cell r="F3845" t="str">
            <v>PENDIENTE</v>
          </cell>
          <cell r="G3845" t="str">
            <v>A007403</v>
          </cell>
          <cell r="H3845" t="str">
            <v>ALTAMAR</v>
          </cell>
          <cell r="I3845">
            <v>3.8540000000000001</v>
          </cell>
        </row>
        <row r="3846">
          <cell r="A3846" t="str">
            <v>19-03845</v>
          </cell>
          <cell r="B3846" t="str">
            <v>ORKHON GROUP</v>
          </cell>
          <cell r="C3846" t="str">
            <v>A</v>
          </cell>
          <cell r="D3846" t="str">
            <v>N/A</v>
          </cell>
          <cell r="E3846" t="str">
            <v>A1507-130 ALTAMAR ARETES</v>
          </cell>
          <cell r="F3846" t="str">
            <v>PENDIENTE</v>
          </cell>
          <cell r="G3846" t="str">
            <v>A007404</v>
          </cell>
          <cell r="H3846" t="str">
            <v>ALTAMAR</v>
          </cell>
          <cell r="I3846">
            <v>4.4180000000000001</v>
          </cell>
        </row>
        <row r="3847">
          <cell r="A3847" t="str">
            <v>19-03846</v>
          </cell>
          <cell r="B3847" t="str">
            <v>ORKHON GROUP</v>
          </cell>
          <cell r="C3847" t="str">
            <v>A</v>
          </cell>
          <cell r="D3847" t="str">
            <v>N/A</v>
          </cell>
          <cell r="E3847" t="str">
            <v>A1507-132 ALTAMAR ARETES</v>
          </cell>
          <cell r="F3847" t="str">
            <v>PENDIENTE</v>
          </cell>
          <cell r="G3847" t="str">
            <v>A007405</v>
          </cell>
          <cell r="H3847" t="str">
            <v>ALTAMAR</v>
          </cell>
          <cell r="I3847">
            <v>3.8820000000000001</v>
          </cell>
        </row>
        <row r="3848">
          <cell r="A3848" t="str">
            <v>19-03847</v>
          </cell>
          <cell r="B3848" t="str">
            <v>ORKHON GROUP</v>
          </cell>
          <cell r="C3848" t="str">
            <v>A</v>
          </cell>
          <cell r="D3848" t="str">
            <v>N/A</v>
          </cell>
          <cell r="E3848" t="str">
            <v>A1507-133 ALTAMAR ARETE</v>
          </cell>
          <cell r="F3848" t="str">
            <v>PENDIENTE</v>
          </cell>
          <cell r="G3848" t="str">
            <v>A007406</v>
          </cell>
          <cell r="H3848" t="str">
            <v>ALTAMAR</v>
          </cell>
          <cell r="I3848">
            <v>3.8540000000000001</v>
          </cell>
        </row>
        <row r="3849">
          <cell r="A3849" t="str">
            <v>19-03848</v>
          </cell>
          <cell r="B3849" t="str">
            <v>ORKHON GROUP</v>
          </cell>
          <cell r="C3849" t="str">
            <v>A</v>
          </cell>
          <cell r="D3849" t="str">
            <v>N/A</v>
          </cell>
          <cell r="E3849" t="str">
            <v>A1507-135 ALTAMAR ARETES</v>
          </cell>
          <cell r="F3849" t="str">
            <v>PENDIENTE</v>
          </cell>
          <cell r="G3849" t="str">
            <v>A007407</v>
          </cell>
          <cell r="H3849" t="str">
            <v>ALTAMAR</v>
          </cell>
          <cell r="I3849">
            <v>3.948</v>
          </cell>
        </row>
        <row r="3850">
          <cell r="A3850" t="str">
            <v>19-03849</v>
          </cell>
          <cell r="B3850" t="str">
            <v>ORKHON GROUP</v>
          </cell>
          <cell r="C3850" t="str">
            <v>A</v>
          </cell>
          <cell r="D3850" t="str">
            <v>N/A</v>
          </cell>
          <cell r="E3850" t="str">
            <v>A1507-138 ALTAMAR ARETES</v>
          </cell>
          <cell r="F3850" t="str">
            <v>PENDIENTE</v>
          </cell>
          <cell r="G3850" t="str">
            <v>A007408</v>
          </cell>
          <cell r="H3850" t="str">
            <v>ALTAMAR</v>
          </cell>
          <cell r="I3850">
            <v>4.1360000000000001</v>
          </cell>
        </row>
        <row r="3851">
          <cell r="A3851" t="str">
            <v>19-03850</v>
          </cell>
          <cell r="B3851" t="str">
            <v>ORKHON GROUP</v>
          </cell>
          <cell r="C3851" t="str">
            <v>A</v>
          </cell>
          <cell r="D3851" t="str">
            <v>N/A</v>
          </cell>
          <cell r="E3851" t="str">
            <v>A1507-139 ALTAMAR ARETES</v>
          </cell>
          <cell r="F3851" t="str">
            <v>PENDIENTE</v>
          </cell>
          <cell r="G3851" t="str">
            <v>A007409</v>
          </cell>
          <cell r="H3851" t="str">
            <v>ALTAMAR</v>
          </cell>
          <cell r="I3851">
            <v>4.4180000000000001</v>
          </cell>
        </row>
        <row r="3852">
          <cell r="A3852" t="str">
            <v>19-03851</v>
          </cell>
          <cell r="B3852" t="str">
            <v>ORKHON GROUP</v>
          </cell>
          <cell r="C3852" t="str">
            <v>A</v>
          </cell>
          <cell r="D3852" t="str">
            <v>N/A</v>
          </cell>
          <cell r="E3852" t="str">
            <v>A1507-140 ALTAMAR ARETES</v>
          </cell>
          <cell r="F3852" t="str">
            <v>PENDIENTE</v>
          </cell>
          <cell r="G3852" t="str">
            <v>A007410</v>
          </cell>
          <cell r="H3852" t="str">
            <v>ALTAMAR</v>
          </cell>
          <cell r="I3852">
            <v>3.29</v>
          </cell>
        </row>
        <row r="3853">
          <cell r="A3853" t="str">
            <v>19-03852</v>
          </cell>
          <cell r="B3853" t="str">
            <v>ORKHON GROUP</v>
          </cell>
          <cell r="C3853" t="str">
            <v>A</v>
          </cell>
          <cell r="D3853" t="str">
            <v>N/A</v>
          </cell>
          <cell r="E3853" t="str">
            <v>A1507-141 ALTAMAR ARETES</v>
          </cell>
          <cell r="F3853" t="str">
            <v>PENDIENTE</v>
          </cell>
          <cell r="G3853" t="str">
            <v>A007411</v>
          </cell>
          <cell r="H3853" t="str">
            <v>ALTAMAR</v>
          </cell>
          <cell r="I3853">
            <v>3.3839999999999999</v>
          </cell>
        </row>
        <row r="3854">
          <cell r="A3854" t="str">
            <v>19-03853</v>
          </cell>
          <cell r="B3854" t="str">
            <v>ORKHON GROUP</v>
          </cell>
          <cell r="C3854" t="str">
            <v>A</v>
          </cell>
          <cell r="D3854" t="str">
            <v>N/A</v>
          </cell>
          <cell r="E3854" t="str">
            <v>A1507-142 ALTAMAR ARETES</v>
          </cell>
          <cell r="F3854" t="str">
            <v>PENDIENTE</v>
          </cell>
          <cell r="G3854" t="str">
            <v>A007412</v>
          </cell>
          <cell r="H3854" t="str">
            <v>ALTAMAR</v>
          </cell>
          <cell r="I3854">
            <v>3.29</v>
          </cell>
        </row>
        <row r="3855">
          <cell r="A3855" t="str">
            <v>19-03854</v>
          </cell>
          <cell r="B3855" t="str">
            <v>ORKHON GROUP</v>
          </cell>
          <cell r="C3855" t="str">
            <v>A</v>
          </cell>
          <cell r="D3855" t="str">
            <v>N/A</v>
          </cell>
          <cell r="E3855" t="str">
            <v>A1507-143 ALTAMAR ARETES</v>
          </cell>
          <cell r="F3855" t="str">
            <v>PENDIENTE</v>
          </cell>
          <cell r="G3855" t="str">
            <v>A007413</v>
          </cell>
          <cell r="H3855" t="str">
            <v>ALTAMAR</v>
          </cell>
          <cell r="I3855">
            <v>3.29</v>
          </cell>
        </row>
        <row r="3856">
          <cell r="A3856" t="str">
            <v>19-03855</v>
          </cell>
          <cell r="B3856" t="str">
            <v>ORKHON GROUP</v>
          </cell>
          <cell r="C3856" t="str">
            <v>A</v>
          </cell>
          <cell r="D3856" t="str">
            <v>N/A</v>
          </cell>
          <cell r="E3856" t="str">
            <v>A1507-144 ALTAMAR ARETES</v>
          </cell>
          <cell r="F3856" t="str">
            <v>PENDIENTE</v>
          </cell>
          <cell r="G3856" t="str">
            <v>A007414</v>
          </cell>
          <cell r="H3856" t="str">
            <v>ALTAMAR</v>
          </cell>
          <cell r="I3856">
            <v>3.4780000000000002</v>
          </cell>
        </row>
        <row r="3857">
          <cell r="A3857" t="str">
            <v>19-03856</v>
          </cell>
          <cell r="B3857" t="str">
            <v>ORKHON GROUP</v>
          </cell>
          <cell r="C3857" t="str">
            <v>A</v>
          </cell>
          <cell r="D3857" t="str">
            <v>N/A</v>
          </cell>
          <cell r="E3857" t="str">
            <v>A1507-145 ALTAMAR ARETES</v>
          </cell>
          <cell r="F3857" t="str">
            <v>PENDIENTE</v>
          </cell>
          <cell r="G3857" t="str">
            <v>A007415</v>
          </cell>
          <cell r="H3857" t="str">
            <v>ALTAMAR</v>
          </cell>
          <cell r="I3857">
            <v>2.1619999999999999</v>
          </cell>
        </row>
        <row r="3858">
          <cell r="A3858" t="str">
            <v>19-03857</v>
          </cell>
          <cell r="B3858" t="str">
            <v>ORKHON GROUP</v>
          </cell>
          <cell r="C3858" t="str">
            <v>A</v>
          </cell>
          <cell r="D3858" t="str">
            <v>N/A</v>
          </cell>
          <cell r="E3858" t="str">
            <v>A1507-146 ALTAMAR ARETES</v>
          </cell>
          <cell r="F3858" t="str">
            <v>PENDIENTE</v>
          </cell>
          <cell r="G3858" t="str">
            <v>A007416</v>
          </cell>
          <cell r="H3858" t="str">
            <v>ALTAMAR</v>
          </cell>
          <cell r="I3858">
            <v>3.8540000000000001</v>
          </cell>
        </row>
        <row r="3859">
          <cell r="A3859" t="str">
            <v>19-03858</v>
          </cell>
          <cell r="B3859" t="str">
            <v>ORKHON GROUP</v>
          </cell>
          <cell r="C3859" t="str">
            <v>A</v>
          </cell>
          <cell r="D3859" t="str">
            <v>N/A</v>
          </cell>
          <cell r="E3859" t="str">
            <v>A1507-147 ALTAMAR ARETES</v>
          </cell>
          <cell r="F3859" t="str">
            <v>PENDIENTE</v>
          </cell>
          <cell r="G3859" t="str">
            <v>A007417</v>
          </cell>
          <cell r="H3859" t="str">
            <v>ALTAMAR</v>
          </cell>
          <cell r="I3859">
            <v>3.1019999999999999</v>
          </cell>
        </row>
        <row r="3860">
          <cell r="A3860" t="str">
            <v>19-03859</v>
          </cell>
          <cell r="B3860" t="str">
            <v>ORKHON GROUP</v>
          </cell>
          <cell r="C3860" t="str">
            <v>A</v>
          </cell>
          <cell r="D3860" t="str">
            <v>N/A</v>
          </cell>
          <cell r="E3860" t="str">
            <v>A1507-179 ALTAMAR PULSERA FASHION</v>
          </cell>
          <cell r="F3860" t="str">
            <v>PULSERA</v>
          </cell>
          <cell r="G3860" t="str">
            <v>A007418</v>
          </cell>
          <cell r="H3860" t="str">
            <v>ALTAMAR</v>
          </cell>
          <cell r="I3860">
            <v>10.81</v>
          </cell>
        </row>
        <row r="3861">
          <cell r="A3861" t="str">
            <v>19-03860</v>
          </cell>
          <cell r="B3861" t="str">
            <v>ORKHON GROUP</v>
          </cell>
          <cell r="C3861" t="str">
            <v>A</v>
          </cell>
          <cell r="D3861" t="str">
            <v>N/A</v>
          </cell>
          <cell r="E3861" t="str">
            <v>A1507-183 ALTAMAR PULSERA FASHION</v>
          </cell>
          <cell r="F3861" t="str">
            <v>PULSERA</v>
          </cell>
          <cell r="G3861" t="str">
            <v>A007419</v>
          </cell>
          <cell r="H3861" t="str">
            <v>ALTAMAR</v>
          </cell>
          <cell r="I3861">
            <v>10.151999999999999</v>
          </cell>
        </row>
        <row r="3862">
          <cell r="A3862" t="str">
            <v>19-03861</v>
          </cell>
          <cell r="B3862" t="str">
            <v>ORKHON GROUP</v>
          </cell>
          <cell r="C3862" t="str">
            <v>A</v>
          </cell>
          <cell r="D3862" t="str">
            <v>N/A</v>
          </cell>
          <cell r="E3862" t="str">
            <v>A1507-185 ALTAMAR PULSERA FASHION</v>
          </cell>
          <cell r="F3862" t="str">
            <v>PULSERA</v>
          </cell>
          <cell r="G3862" t="str">
            <v>A007420</v>
          </cell>
          <cell r="H3862" t="str">
            <v>ALTAMAR</v>
          </cell>
          <cell r="I3862">
            <v>10.151999999999999</v>
          </cell>
        </row>
        <row r="3863">
          <cell r="A3863" t="str">
            <v>19-03862</v>
          </cell>
          <cell r="B3863" t="str">
            <v>ORKHON GROUP</v>
          </cell>
          <cell r="C3863" t="str">
            <v>A</v>
          </cell>
          <cell r="D3863" t="str">
            <v>N/A</v>
          </cell>
          <cell r="E3863" t="str">
            <v>A1507-129 ALTAMAR ARETE</v>
          </cell>
          <cell r="F3863" t="str">
            <v>PENDIENTE</v>
          </cell>
          <cell r="G3863" t="str">
            <v>A007479</v>
          </cell>
          <cell r="H3863" t="str">
            <v>ALTAMAR</v>
          </cell>
          <cell r="I3863">
            <v>4.1360000000000001</v>
          </cell>
        </row>
        <row r="3864">
          <cell r="A3864" t="str">
            <v>19-03863</v>
          </cell>
          <cell r="B3864" t="str">
            <v>ORKHON GROUP</v>
          </cell>
          <cell r="C3864" t="str">
            <v>A</v>
          </cell>
          <cell r="D3864" t="str">
            <v>N/A</v>
          </cell>
          <cell r="E3864" t="str">
            <v>A1507-40 ALTAMAR COLLAR</v>
          </cell>
          <cell r="F3864" t="str">
            <v>COLLAR</v>
          </cell>
          <cell r="G3864" t="str">
            <v>A007352</v>
          </cell>
          <cell r="H3864" t="str">
            <v>ALTAMAR</v>
          </cell>
          <cell r="I3864">
            <v>9.9640000000000004</v>
          </cell>
        </row>
        <row r="3865">
          <cell r="A3865" t="str">
            <v>19-03864</v>
          </cell>
          <cell r="B3865" t="str">
            <v>ORKHON GROUP</v>
          </cell>
          <cell r="C3865" t="str">
            <v>A</v>
          </cell>
          <cell r="D3865" t="str">
            <v>N/A</v>
          </cell>
          <cell r="E3865" t="str">
            <v>A1507-42 ALTAMAR COLLAR</v>
          </cell>
          <cell r="F3865" t="str">
            <v>COLLAR</v>
          </cell>
          <cell r="G3865" t="str">
            <v>A007353</v>
          </cell>
          <cell r="H3865" t="str">
            <v>ALTAMAR</v>
          </cell>
          <cell r="I3865">
            <v>8.3659999999999997</v>
          </cell>
        </row>
        <row r="3866">
          <cell r="A3866" t="str">
            <v>19-03865</v>
          </cell>
          <cell r="B3866" t="str">
            <v>ORKHON GROUP</v>
          </cell>
          <cell r="C3866" t="str">
            <v>A</v>
          </cell>
          <cell r="D3866" t="str">
            <v>N/A</v>
          </cell>
          <cell r="E3866" t="str">
            <v>A1507-43 ALTAMAR COLLAR</v>
          </cell>
          <cell r="F3866" t="str">
            <v>COLLAR</v>
          </cell>
          <cell r="G3866" t="str">
            <v>A007354</v>
          </cell>
          <cell r="H3866" t="str">
            <v>ALTAMAR</v>
          </cell>
          <cell r="I3866">
            <v>9.9640000000000004</v>
          </cell>
        </row>
        <row r="3867">
          <cell r="A3867" t="str">
            <v>19-03866</v>
          </cell>
          <cell r="B3867" t="str">
            <v>ORKHON GROUP</v>
          </cell>
          <cell r="C3867" t="str">
            <v>A</v>
          </cell>
          <cell r="D3867" t="str">
            <v>N/A</v>
          </cell>
          <cell r="E3867" t="str">
            <v>A1507-52 ALTAMAR COLLAR</v>
          </cell>
          <cell r="F3867" t="str">
            <v>COLLAR</v>
          </cell>
          <cell r="G3867" t="str">
            <v>A007359</v>
          </cell>
          <cell r="H3867" t="str">
            <v>ALTAMAR</v>
          </cell>
          <cell r="I3867">
            <v>8.8360000000000003</v>
          </cell>
        </row>
        <row r="3868">
          <cell r="A3868" t="str">
            <v>19-03867</v>
          </cell>
          <cell r="B3868" t="str">
            <v>ORKHON GROUP</v>
          </cell>
          <cell r="C3868" t="str">
            <v>A</v>
          </cell>
          <cell r="D3868" t="str">
            <v>N/A</v>
          </cell>
          <cell r="E3868" t="str">
            <v>A1507-53 ALTAMAR COLLAR</v>
          </cell>
          <cell r="F3868" t="str">
            <v>COLLAR</v>
          </cell>
          <cell r="G3868" t="str">
            <v>A007360</v>
          </cell>
          <cell r="H3868" t="str">
            <v>ALTAMAR</v>
          </cell>
          <cell r="I3868">
            <v>7.2380000000000004</v>
          </cell>
        </row>
        <row r="3869">
          <cell r="A3869" t="str">
            <v>19-03868</v>
          </cell>
          <cell r="B3869" t="str">
            <v>ORKHON GROUP</v>
          </cell>
          <cell r="C3869" t="str">
            <v>A</v>
          </cell>
          <cell r="D3869" t="str">
            <v>N/A</v>
          </cell>
          <cell r="E3869" t="str">
            <v>A1507-54 ALTAMAR COLLAR</v>
          </cell>
          <cell r="F3869" t="str">
            <v>COLLAR</v>
          </cell>
          <cell r="G3869" t="str">
            <v>A007361</v>
          </cell>
          <cell r="H3869" t="str">
            <v>ALTAMAR</v>
          </cell>
          <cell r="I3869">
            <v>8.7420000000000009</v>
          </cell>
        </row>
        <row r="3870">
          <cell r="A3870" t="str">
            <v>19-03869</v>
          </cell>
          <cell r="B3870" t="str">
            <v>ORKHON GROUP</v>
          </cell>
          <cell r="C3870" t="str">
            <v>A</v>
          </cell>
          <cell r="D3870" t="str">
            <v>N/A</v>
          </cell>
          <cell r="E3870" t="str">
            <v>A1507-56 ALTAMAR COLLAR</v>
          </cell>
          <cell r="F3870" t="str">
            <v>COLLAR</v>
          </cell>
          <cell r="G3870" t="str">
            <v>A007362</v>
          </cell>
          <cell r="H3870" t="str">
            <v>ALTAMAR</v>
          </cell>
          <cell r="I3870">
            <v>10.528</v>
          </cell>
        </row>
        <row r="3871">
          <cell r="A3871" t="str">
            <v>19-03870</v>
          </cell>
          <cell r="B3871" t="str">
            <v>ORKHON GROUP</v>
          </cell>
          <cell r="C3871" t="str">
            <v>A</v>
          </cell>
          <cell r="D3871" t="str">
            <v>N/A</v>
          </cell>
          <cell r="E3871" t="str">
            <v>A1507-58 ALTAMAR COLLAR</v>
          </cell>
          <cell r="F3871" t="str">
            <v>COLLAR</v>
          </cell>
          <cell r="G3871" t="str">
            <v>A007363</v>
          </cell>
          <cell r="H3871" t="str">
            <v>ALTAMAR</v>
          </cell>
          <cell r="I3871">
            <v>8.8360000000000003</v>
          </cell>
        </row>
        <row r="3872">
          <cell r="A3872" t="str">
            <v>19-03871</v>
          </cell>
          <cell r="B3872" t="str">
            <v>ORKHON GROUP</v>
          </cell>
          <cell r="C3872" t="str">
            <v>A</v>
          </cell>
          <cell r="D3872" t="str">
            <v>N/A</v>
          </cell>
          <cell r="E3872" t="str">
            <v>A1507-62 ALTAMAR COLLAR</v>
          </cell>
          <cell r="F3872" t="str">
            <v>COLLAR</v>
          </cell>
          <cell r="G3872" t="str">
            <v>A007365</v>
          </cell>
          <cell r="H3872" t="str">
            <v>ALTAMAR</v>
          </cell>
          <cell r="I3872">
            <v>7.99</v>
          </cell>
        </row>
        <row r="3873">
          <cell r="A3873" t="str">
            <v>19-03872</v>
          </cell>
          <cell r="B3873" t="str">
            <v>ORKHON GROUP</v>
          </cell>
          <cell r="C3873" t="str">
            <v>A</v>
          </cell>
          <cell r="D3873" t="str">
            <v>N/A</v>
          </cell>
          <cell r="E3873" t="str">
            <v>A1507-67 ALTAMAR COLLAR</v>
          </cell>
          <cell r="F3873" t="str">
            <v>COLLAR</v>
          </cell>
          <cell r="G3873" t="str">
            <v>A007368</v>
          </cell>
          <cell r="H3873" t="str">
            <v>ALTAMAR</v>
          </cell>
          <cell r="I3873">
            <v>8.8360000000000003</v>
          </cell>
        </row>
        <row r="3874">
          <cell r="A3874" t="str">
            <v>19-03873</v>
          </cell>
          <cell r="B3874" t="str">
            <v>ORKHON GROUP</v>
          </cell>
          <cell r="C3874" t="str">
            <v>A</v>
          </cell>
          <cell r="D3874" t="str">
            <v>N/A</v>
          </cell>
          <cell r="E3874" t="str">
            <v>A1507-68 ALTAMAR COLLAR</v>
          </cell>
          <cell r="F3874" t="str">
            <v>COLLAR</v>
          </cell>
          <cell r="G3874" t="str">
            <v>A007369</v>
          </cell>
          <cell r="H3874" t="str">
            <v>ALTAMAR</v>
          </cell>
          <cell r="I3874">
            <v>7.52</v>
          </cell>
        </row>
        <row r="3875">
          <cell r="A3875" t="str">
            <v>19-03874</v>
          </cell>
          <cell r="B3875" t="str">
            <v>ORKHON GROUP</v>
          </cell>
          <cell r="C3875" t="str">
            <v>A</v>
          </cell>
          <cell r="D3875" t="str">
            <v>N/A</v>
          </cell>
          <cell r="E3875" t="str">
            <v>A1507-72 ALTAMAR COLLAR</v>
          </cell>
          <cell r="F3875" t="str">
            <v>COLLAR</v>
          </cell>
          <cell r="G3875" t="str">
            <v>A007371</v>
          </cell>
          <cell r="H3875" t="str">
            <v>ALTAMAR</v>
          </cell>
          <cell r="I3875">
            <v>8.3659999999999997</v>
          </cell>
        </row>
        <row r="3876">
          <cell r="A3876" t="str">
            <v>19-03875</v>
          </cell>
          <cell r="B3876" t="str">
            <v>ORKHON GROUP</v>
          </cell>
          <cell r="C3876" t="str">
            <v>A</v>
          </cell>
          <cell r="D3876" t="str">
            <v>N/A</v>
          </cell>
          <cell r="E3876" t="str">
            <v>A1507-76 ALTAMAR COLLAR</v>
          </cell>
          <cell r="F3876" t="str">
            <v>COLLAR</v>
          </cell>
          <cell r="G3876" t="str">
            <v>A007373</v>
          </cell>
          <cell r="H3876" t="str">
            <v>ALTAMAR</v>
          </cell>
          <cell r="I3876">
            <v>7.52</v>
          </cell>
        </row>
        <row r="3877">
          <cell r="A3877" t="str">
            <v>19-03876</v>
          </cell>
          <cell r="B3877" t="str">
            <v>ORKHON GROUP</v>
          </cell>
          <cell r="C3877" t="str">
            <v>A</v>
          </cell>
          <cell r="D3877" t="str">
            <v>N/A</v>
          </cell>
          <cell r="E3877" t="str">
            <v>A1507-80 ALTAMAR COLLAR</v>
          </cell>
          <cell r="F3877" t="str">
            <v>COLLAR</v>
          </cell>
          <cell r="G3877" t="str">
            <v>A007376</v>
          </cell>
          <cell r="H3877" t="str">
            <v>ALTAMAR</v>
          </cell>
          <cell r="I3877">
            <v>7.99</v>
          </cell>
        </row>
        <row r="3878">
          <cell r="A3878" t="str">
            <v>19-03877</v>
          </cell>
          <cell r="B3878" t="str">
            <v>ORKHON GROUP</v>
          </cell>
          <cell r="C3878" t="str">
            <v>A</v>
          </cell>
          <cell r="D3878" t="str">
            <v>N/A</v>
          </cell>
          <cell r="E3878" t="str">
            <v>A1507-85 ALTAMAR COLLAR</v>
          </cell>
          <cell r="F3878" t="str">
            <v>COLLAR</v>
          </cell>
          <cell r="G3878" t="str">
            <v>A007378</v>
          </cell>
          <cell r="H3878" t="str">
            <v>ALTAMAR</v>
          </cell>
          <cell r="I3878">
            <v>9.9649999999999999</v>
          </cell>
        </row>
        <row r="3879">
          <cell r="A3879" t="str">
            <v>19-03878</v>
          </cell>
          <cell r="B3879" t="str">
            <v>ORKHON GROUP</v>
          </cell>
          <cell r="C3879" t="str">
            <v>A</v>
          </cell>
          <cell r="D3879" t="str">
            <v>N/A</v>
          </cell>
          <cell r="E3879" t="str">
            <v>A1507-88 ALTAMAR COLLAR</v>
          </cell>
          <cell r="F3879" t="str">
            <v>COLLAR</v>
          </cell>
          <cell r="G3879" t="str">
            <v>A007380</v>
          </cell>
          <cell r="H3879" t="str">
            <v>ALTAMAR</v>
          </cell>
          <cell r="I3879">
            <v>10.528</v>
          </cell>
        </row>
        <row r="3880">
          <cell r="A3880" t="str">
            <v>19-03879</v>
          </cell>
          <cell r="B3880" t="str">
            <v>ORKHON GROUP</v>
          </cell>
          <cell r="C3880" t="str">
            <v>A</v>
          </cell>
          <cell r="D3880" t="str">
            <v>N/A</v>
          </cell>
          <cell r="E3880" t="str">
            <v>A1507-91 ALTAMAR COLLAR</v>
          </cell>
          <cell r="F3880" t="str">
            <v>COLLAR</v>
          </cell>
          <cell r="G3880" t="str">
            <v>A007381</v>
          </cell>
          <cell r="H3880" t="str">
            <v>ALTAMAR</v>
          </cell>
          <cell r="I3880">
            <v>6.9560000000000004</v>
          </cell>
        </row>
        <row r="3881">
          <cell r="A3881" t="str">
            <v>19-03880</v>
          </cell>
          <cell r="B3881" t="str">
            <v>DIST. LEWIS</v>
          </cell>
          <cell r="C3881" t="str">
            <v>A</v>
          </cell>
          <cell r="D3881" t="str">
            <v>SI</v>
          </cell>
          <cell r="E3881" t="str">
            <v>LUXE - BIMENSUAL</v>
          </cell>
          <cell r="F3881" t="str">
            <v>MAGAZINE</v>
          </cell>
          <cell r="G3881">
            <v>3352</v>
          </cell>
          <cell r="H3881" t="str">
            <v>DIST. LEWIS</v>
          </cell>
          <cell r="I3881">
            <v>8.8000000000000007</v>
          </cell>
        </row>
        <row r="3882">
          <cell r="A3882" t="str">
            <v>19-03881</v>
          </cell>
          <cell r="B3882" t="str">
            <v>DIST. LEWIS</v>
          </cell>
          <cell r="C3882" t="str">
            <v>A</v>
          </cell>
          <cell r="D3882" t="str">
            <v>SI</v>
          </cell>
          <cell r="E3882" t="str">
            <v>SOUTHERN LADY/S. STYLE</v>
          </cell>
          <cell r="F3882" t="str">
            <v>MAGAZINE</v>
          </cell>
          <cell r="G3882">
            <v>1581</v>
          </cell>
          <cell r="H3882" t="str">
            <v>DIST. LEWIS</v>
          </cell>
          <cell r="I3882">
            <v>8.8000000000000007</v>
          </cell>
        </row>
        <row r="3883">
          <cell r="A3883" t="str">
            <v>19-03882</v>
          </cell>
          <cell r="B3883" t="str">
            <v>DIST. LEWIS</v>
          </cell>
          <cell r="C3883" t="str">
            <v>A</v>
          </cell>
          <cell r="D3883" t="str">
            <v>SI</v>
          </cell>
          <cell r="E3883" t="str">
            <v>COTTAGE STYLE/GARDENING FOR BIRDS</v>
          </cell>
          <cell r="F3883" t="str">
            <v>MAGAZINE</v>
          </cell>
          <cell r="G3883">
            <v>14316</v>
          </cell>
          <cell r="H3883" t="str">
            <v>DIST. LEWIS</v>
          </cell>
          <cell r="I3883">
            <v>8.8000000000000007</v>
          </cell>
        </row>
        <row r="3884">
          <cell r="A3884" t="str">
            <v>19-03883</v>
          </cell>
          <cell r="B3884" t="str">
            <v>DIST. LEWIS</v>
          </cell>
          <cell r="C3884" t="str">
            <v>A</v>
          </cell>
          <cell r="D3884" t="str">
            <v>SI</v>
          </cell>
          <cell r="E3884" t="str">
            <v>NATIONAL GEOGRAPHIC SPECIAL EDITION</v>
          </cell>
          <cell r="F3884" t="str">
            <v>MAGAZINE</v>
          </cell>
          <cell r="G3884">
            <v>36826</v>
          </cell>
          <cell r="H3884" t="str">
            <v>DIST. LEWIS</v>
          </cell>
          <cell r="I3884">
            <v>4.8</v>
          </cell>
        </row>
        <row r="3885">
          <cell r="A3885" t="str">
            <v>19-03884</v>
          </cell>
          <cell r="B3885" t="str">
            <v>DIST. LEWIS</v>
          </cell>
          <cell r="C3885" t="str">
            <v>A</v>
          </cell>
          <cell r="D3885" t="str">
            <v>SI</v>
          </cell>
          <cell r="E3885" t="str">
            <v>TIGER BEAT</v>
          </cell>
          <cell r="F3885" t="str">
            <v>MAGAZINE</v>
          </cell>
          <cell r="G3885">
            <v>47360</v>
          </cell>
          <cell r="H3885" t="str">
            <v>DIST. LEWIS</v>
          </cell>
          <cell r="I3885">
            <v>83.4</v>
          </cell>
        </row>
        <row r="3886">
          <cell r="A3886" t="str">
            <v>19-03885</v>
          </cell>
          <cell r="B3886" t="str">
            <v>DIST. LEWIS</v>
          </cell>
          <cell r="C3886" t="str">
            <v>A</v>
          </cell>
          <cell r="D3886" t="str">
            <v>SI</v>
          </cell>
          <cell r="E3886" t="str">
            <v>ENTREPRENEUR</v>
          </cell>
          <cell r="F3886" t="str">
            <v>MAGAZINE</v>
          </cell>
          <cell r="G3886">
            <v>2542</v>
          </cell>
          <cell r="H3886" t="str">
            <v>DIST. LEWIS</v>
          </cell>
          <cell r="I3886">
            <v>5.56</v>
          </cell>
        </row>
        <row r="3887">
          <cell r="A3887" t="str">
            <v>19-03886</v>
          </cell>
          <cell r="B3887" t="str">
            <v>DIST. LEWIS</v>
          </cell>
          <cell r="C3887" t="str">
            <v>A</v>
          </cell>
          <cell r="D3887" t="str">
            <v>SI</v>
          </cell>
          <cell r="E3887" t="str">
            <v>COUNTRY FRENCH</v>
          </cell>
          <cell r="F3887" t="str">
            <v>MAGAZINE</v>
          </cell>
          <cell r="G3887">
            <v>14319</v>
          </cell>
          <cell r="H3887" t="str">
            <v>DIST. LEWIS</v>
          </cell>
          <cell r="I3887">
            <v>11.96</v>
          </cell>
        </row>
        <row r="3888">
          <cell r="A3888" t="str">
            <v>19-03887</v>
          </cell>
          <cell r="B3888" t="str">
            <v>DIST. LEWIS</v>
          </cell>
          <cell r="C3888" t="str">
            <v>A</v>
          </cell>
          <cell r="D3888" t="str">
            <v>SI</v>
          </cell>
          <cell r="E3888" t="str">
            <v>CONDE NAST TRAVELER</v>
          </cell>
          <cell r="F3888" t="str">
            <v>MAGAZINE</v>
          </cell>
          <cell r="G3888">
            <v>8434</v>
          </cell>
          <cell r="H3888" t="str">
            <v>DIST. LEWIS</v>
          </cell>
          <cell r="I3888">
            <v>6.36</v>
          </cell>
        </row>
        <row r="3889">
          <cell r="A3889" t="str">
            <v>19-03888</v>
          </cell>
          <cell r="B3889" t="str">
            <v>TDL</v>
          </cell>
          <cell r="C3889" t="str">
            <v>A</v>
          </cell>
          <cell r="D3889" t="str">
            <v>NO</v>
          </cell>
          <cell r="E3889" t="str">
            <v>39800-05266 ENERGIZER MAX AA-2 PACK 48X1</v>
          </cell>
          <cell r="F3889" t="str">
            <v>BATTERY</v>
          </cell>
          <cell r="G3889" t="str">
            <v>39800-05266</v>
          </cell>
          <cell r="H3889" t="str">
            <v>ENERGIZER</v>
          </cell>
          <cell r="I3889">
            <v>38.4</v>
          </cell>
        </row>
        <row r="3890">
          <cell r="A3890" t="str">
            <v>19-03889</v>
          </cell>
          <cell r="B3890" t="str">
            <v>TDL</v>
          </cell>
          <cell r="C3890" t="str">
            <v>A</v>
          </cell>
          <cell r="D3890" t="str">
            <v>SI</v>
          </cell>
          <cell r="E3890" t="str">
            <v>39800-01132 ENERGIZER MAX AA-4 PACK 48X1</v>
          </cell>
          <cell r="F3890" t="str">
            <v>BATTERY</v>
          </cell>
          <cell r="G3890" t="str">
            <v>39800-01132</v>
          </cell>
          <cell r="H3890" t="str">
            <v>ENERGIZER</v>
          </cell>
          <cell r="I3890">
            <v>57.6</v>
          </cell>
        </row>
        <row r="3891">
          <cell r="A3891" t="str">
            <v>19-03890</v>
          </cell>
          <cell r="B3891" t="str">
            <v>TDL</v>
          </cell>
          <cell r="C3891" t="str">
            <v>A</v>
          </cell>
          <cell r="D3891" t="str">
            <v>NO</v>
          </cell>
          <cell r="E3891" t="str">
            <v>39800-01400 ENERGIZER MAX AAA-2 PACK 48X1</v>
          </cell>
          <cell r="F3891" t="str">
            <v>BATTERY</v>
          </cell>
          <cell r="G3891" t="str">
            <v>39800-01400</v>
          </cell>
          <cell r="H3891" t="str">
            <v>ENERGIZER</v>
          </cell>
          <cell r="I3891">
            <v>38.4</v>
          </cell>
        </row>
        <row r="3892">
          <cell r="A3892" t="str">
            <v>19-03891</v>
          </cell>
          <cell r="B3892" t="str">
            <v>TDL</v>
          </cell>
          <cell r="C3892" t="str">
            <v>A</v>
          </cell>
          <cell r="D3892" t="str">
            <v>NO</v>
          </cell>
          <cell r="E3892" t="str">
            <v>39800-09909 ENERGIZER MAX AAA-4 PACK 48X1</v>
          </cell>
          <cell r="F3892" t="str">
            <v>BATTERY</v>
          </cell>
          <cell r="G3892" t="str">
            <v>39800-09909</v>
          </cell>
          <cell r="H3892" t="str">
            <v>ENERGIZER</v>
          </cell>
          <cell r="I3892">
            <v>57.6</v>
          </cell>
        </row>
        <row r="3893">
          <cell r="A3893" t="str">
            <v>19-03892</v>
          </cell>
          <cell r="B3893" t="str">
            <v>ORKHON GROUP</v>
          </cell>
          <cell r="C3893" t="str">
            <v>A</v>
          </cell>
          <cell r="D3893" t="str">
            <v>N/A</v>
          </cell>
          <cell r="E3893" t="str">
            <v>C1507-23 ALTAMAR MONEDERO ASSORTED COLORS</v>
          </cell>
          <cell r="F3893" t="str">
            <v>BILLETERA</v>
          </cell>
          <cell r="G3893" t="str">
            <v>A007421</v>
          </cell>
          <cell r="H3893" t="str">
            <v>ALTAMAR</v>
          </cell>
          <cell r="I3893">
            <v>8.4600000000000009</v>
          </cell>
        </row>
        <row r="3894">
          <cell r="A3894" t="str">
            <v>19-03893</v>
          </cell>
          <cell r="B3894" t="str">
            <v>ORKHON GROUP</v>
          </cell>
          <cell r="C3894" t="str">
            <v>A</v>
          </cell>
          <cell r="D3894" t="str">
            <v>N/A</v>
          </cell>
          <cell r="E3894" t="str">
            <v>C1507-25 ALTAMAR MONEDERO ASSORTED COLORS</v>
          </cell>
          <cell r="F3894" t="str">
            <v>BILLETERA</v>
          </cell>
          <cell r="G3894" t="str">
            <v>A007422</v>
          </cell>
          <cell r="H3894" t="str">
            <v>ALTAMAR</v>
          </cell>
          <cell r="I3894">
            <v>8.93</v>
          </cell>
        </row>
        <row r="3895">
          <cell r="A3895" t="str">
            <v>19-03894</v>
          </cell>
          <cell r="B3895" t="str">
            <v>ORKHON GROUP</v>
          </cell>
          <cell r="C3895" t="str">
            <v>A</v>
          </cell>
          <cell r="D3895" t="str">
            <v>N/A</v>
          </cell>
          <cell r="E3895" t="str">
            <v>C1507-26 ALTAMAR MONEDERO ASSORTED COLORS</v>
          </cell>
          <cell r="F3895" t="str">
            <v>BILLETERA</v>
          </cell>
          <cell r="G3895" t="str">
            <v>A007423</v>
          </cell>
          <cell r="H3895" t="str">
            <v>ALTAMAR</v>
          </cell>
          <cell r="I3895">
            <v>9.2129999999999992</v>
          </cell>
        </row>
        <row r="3896">
          <cell r="A3896" t="str">
            <v>19-03895</v>
          </cell>
          <cell r="B3896" t="str">
            <v>ORKHON GROUP</v>
          </cell>
          <cell r="C3896" t="str">
            <v>A</v>
          </cell>
          <cell r="D3896" t="str">
            <v>N/A</v>
          </cell>
          <cell r="E3896" t="str">
            <v>C1507-18 ALTAMAR MONEDERO ASSORTED COLORS</v>
          </cell>
          <cell r="F3896" t="str">
            <v>BILLETERA</v>
          </cell>
          <cell r="G3896" t="str">
            <v>A007425</v>
          </cell>
          <cell r="H3896" t="str">
            <v>ALTAMAR</v>
          </cell>
          <cell r="I3896">
            <v>12.973000000000001</v>
          </cell>
        </row>
        <row r="3897">
          <cell r="A3897" t="str">
            <v>19-03896</v>
          </cell>
          <cell r="B3897" t="str">
            <v>ORKHON GROUP</v>
          </cell>
          <cell r="C3897" t="str">
            <v>A</v>
          </cell>
          <cell r="D3897" t="str">
            <v>N/A</v>
          </cell>
          <cell r="E3897" t="str">
            <v>C1507-27 ALTAMAR BILLETERA ASSORTED COLORS</v>
          </cell>
          <cell r="F3897" t="str">
            <v>BILLETERA</v>
          </cell>
          <cell r="G3897" t="str">
            <v>A007427</v>
          </cell>
          <cell r="H3897" t="str">
            <v>ALTAMAR</v>
          </cell>
          <cell r="I3897">
            <v>13.255000000000001</v>
          </cell>
        </row>
        <row r="3898">
          <cell r="A3898" t="str">
            <v>19-03897</v>
          </cell>
          <cell r="B3898" t="str">
            <v>ORKHON GROUP</v>
          </cell>
          <cell r="C3898" t="str">
            <v>A</v>
          </cell>
          <cell r="D3898" t="str">
            <v>N/A</v>
          </cell>
          <cell r="E3898" t="str">
            <v>C1507-28 ALTAMAR MONEDERO ASSORTED COLORS</v>
          </cell>
          <cell r="F3898" t="str">
            <v>BILLETERA</v>
          </cell>
          <cell r="G3898" t="str">
            <v>A007428</v>
          </cell>
          <cell r="H3898" t="str">
            <v>ALTAMAR</v>
          </cell>
          <cell r="I3898">
            <v>14.382999999999999</v>
          </cell>
        </row>
        <row r="3899">
          <cell r="A3899" t="str">
            <v>19-03898</v>
          </cell>
          <cell r="B3899" t="str">
            <v>ORKHON GROUP</v>
          </cell>
          <cell r="C3899" t="str">
            <v>A</v>
          </cell>
          <cell r="D3899" t="str">
            <v>N/A</v>
          </cell>
          <cell r="E3899" t="str">
            <v>C1507-15 ALTAMAR MONEDERO ASSORTED COLORS</v>
          </cell>
          <cell r="F3899" t="str">
            <v>BILLETERA</v>
          </cell>
          <cell r="G3899" t="str">
            <v>A007429</v>
          </cell>
          <cell r="H3899" t="str">
            <v>ALTAMAR</v>
          </cell>
          <cell r="I3899">
            <v>11.374000000000001</v>
          </cell>
        </row>
        <row r="3900">
          <cell r="A3900" t="str">
            <v>19-03899</v>
          </cell>
          <cell r="B3900" t="str">
            <v>ORKHON GROUP</v>
          </cell>
          <cell r="C3900" t="str">
            <v>A</v>
          </cell>
          <cell r="D3900" t="str">
            <v>N/A</v>
          </cell>
          <cell r="E3900" t="str">
            <v>C1507-16 ALTAMAR MONEDERO ASSORTED COLORS</v>
          </cell>
          <cell r="F3900" t="str">
            <v>BILLETERA</v>
          </cell>
          <cell r="G3900" t="str">
            <v>A007430</v>
          </cell>
          <cell r="H3900" t="str">
            <v>ALTAMAR</v>
          </cell>
          <cell r="I3900">
            <v>7.99</v>
          </cell>
        </row>
        <row r="3901">
          <cell r="A3901" t="str">
            <v>19-03900</v>
          </cell>
          <cell r="B3901" t="str">
            <v>ORKHON GROUP</v>
          </cell>
          <cell r="C3901" t="str">
            <v>A</v>
          </cell>
          <cell r="D3901" t="str">
            <v>N/A</v>
          </cell>
          <cell r="E3901" t="str">
            <v>C1507-17 ALTAMAR MONEDERO ASSORTED COLORS</v>
          </cell>
          <cell r="F3901" t="str">
            <v>BILLETERA</v>
          </cell>
          <cell r="G3901" t="str">
            <v>A007431</v>
          </cell>
          <cell r="H3901" t="str">
            <v>ALTAMAR</v>
          </cell>
          <cell r="I3901">
            <v>9.9640000000000004</v>
          </cell>
        </row>
        <row r="3902">
          <cell r="A3902" t="str">
            <v>19-03901</v>
          </cell>
          <cell r="B3902" t="str">
            <v>DIST. LEWIS</v>
          </cell>
          <cell r="C3902" t="str">
            <v>A</v>
          </cell>
          <cell r="D3902" t="str">
            <v>SI</v>
          </cell>
          <cell r="E3902" t="str">
            <v>FAMILY CIRCLE</v>
          </cell>
          <cell r="F3902" t="str">
            <v>MAGAZINE</v>
          </cell>
          <cell r="G3902">
            <v>14170</v>
          </cell>
          <cell r="H3902" t="str">
            <v>DIST. LEWIS</v>
          </cell>
          <cell r="I3902">
            <v>18.96</v>
          </cell>
        </row>
        <row r="3903">
          <cell r="A3903" t="str">
            <v>19-03902</v>
          </cell>
          <cell r="B3903" t="str">
            <v>SUPER XTRA</v>
          </cell>
          <cell r="C3903" t="str">
            <v>A</v>
          </cell>
          <cell r="D3903" t="str">
            <v>N/A</v>
          </cell>
          <cell r="E3903" t="str">
            <v>HAND SANITIZER ALOE VERA DUO-PACK 1X2OZ</v>
          </cell>
          <cell r="F3903" t="str">
            <v>GEL</v>
          </cell>
          <cell r="H3903" t="str">
            <v>HAND SANITIZER</v>
          </cell>
          <cell r="I3903">
            <v>1.86</v>
          </cell>
        </row>
        <row r="3904">
          <cell r="A3904" t="str">
            <v>19-03903</v>
          </cell>
          <cell r="B3904" t="str">
            <v>SUPER XTRA</v>
          </cell>
          <cell r="C3904" t="str">
            <v>A</v>
          </cell>
          <cell r="D3904" t="str">
            <v>N/A</v>
          </cell>
          <cell r="E3904" t="str">
            <v>BAYER TABCIN ADULT FORMULA MEJORADA 1X12UND</v>
          </cell>
          <cell r="F3904" t="str">
            <v>MEDICINA</v>
          </cell>
          <cell r="H3904" t="str">
            <v>BAYER</v>
          </cell>
          <cell r="I3904">
            <v>3.1</v>
          </cell>
        </row>
        <row r="3905">
          <cell r="A3905" t="str">
            <v>19-03904</v>
          </cell>
          <cell r="B3905" t="str">
            <v>SUPER XTRA</v>
          </cell>
          <cell r="C3905" t="str">
            <v>A</v>
          </cell>
          <cell r="D3905" t="str">
            <v>N/A</v>
          </cell>
          <cell r="E3905" t="str">
            <v>BAYER ALKA SELTZER 1X12TABS</v>
          </cell>
          <cell r="F3905" t="str">
            <v>MEDICINA</v>
          </cell>
          <cell r="H3905" t="str">
            <v>BAYER</v>
          </cell>
          <cell r="I3905">
            <v>2.4900000000000002</v>
          </cell>
        </row>
        <row r="3906">
          <cell r="A3906" t="str">
            <v>19-03905</v>
          </cell>
          <cell r="B3906" t="str">
            <v>SUPER XTRA</v>
          </cell>
          <cell r="C3906" t="str">
            <v>D</v>
          </cell>
          <cell r="D3906" t="str">
            <v>N/A</v>
          </cell>
          <cell r="E3906" t="str">
            <v>LIBRETA DE SANCHO 3X5" DISCONTINUED</v>
          </cell>
          <cell r="F3906" t="str">
            <v>LIBRETA</v>
          </cell>
          <cell r="H3906" t="str">
            <v>SANCHO</v>
          </cell>
          <cell r="I3906">
            <v>0.66</v>
          </cell>
        </row>
        <row r="3907">
          <cell r="A3907" t="str">
            <v>19-03906</v>
          </cell>
          <cell r="B3907" t="str">
            <v>WEFORT LATAM</v>
          </cell>
          <cell r="C3907" t="str">
            <v>A</v>
          </cell>
          <cell r="D3907" t="str">
            <v>SI</v>
          </cell>
          <cell r="E3907" t="str">
            <v>WDGW28 MATTEL DORA THE EXPLORER SMART PHONE</v>
          </cell>
          <cell r="F3907" t="str">
            <v>JUGUETES</v>
          </cell>
          <cell r="G3907" t="str">
            <v>WDGW28</v>
          </cell>
          <cell r="H3907" t="str">
            <v>MATTEL</v>
          </cell>
          <cell r="I3907">
            <v>8.3879999999999999</v>
          </cell>
        </row>
        <row r="3908">
          <cell r="A3908" t="str">
            <v>19-03907</v>
          </cell>
          <cell r="B3908" t="str">
            <v>WEFORT LATAM</v>
          </cell>
          <cell r="C3908" t="str">
            <v>A</v>
          </cell>
          <cell r="D3908" t="str">
            <v>NO</v>
          </cell>
          <cell r="E3908" t="str">
            <v>WDLN32 MATTEL BATMAN VS SUPERMAN 12" MOVIE 2 PACK</v>
          </cell>
          <cell r="F3908" t="str">
            <v>JUGUETES</v>
          </cell>
          <cell r="G3908" t="str">
            <v>WDLN32</v>
          </cell>
          <cell r="H3908" t="str">
            <v>MATTEL</v>
          </cell>
          <cell r="I3908">
            <v>10.8</v>
          </cell>
        </row>
        <row r="3909">
          <cell r="A3909" t="str">
            <v>19-03908</v>
          </cell>
          <cell r="B3909" t="str">
            <v>WEFORT LATAM</v>
          </cell>
          <cell r="C3909" t="str">
            <v>A</v>
          </cell>
          <cell r="D3909" t="str">
            <v>SI</v>
          </cell>
          <cell r="E3909" t="str">
            <v>WCDM61 MATTEL BATMAN 12" FIGURE</v>
          </cell>
          <cell r="F3909" t="str">
            <v>JUGUETES</v>
          </cell>
          <cell r="G3909" t="str">
            <v>WCDM61</v>
          </cell>
          <cell r="H3909" t="str">
            <v>MATTEL</v>
          </cell>
          <cell r="I3909">
            <v>4.5</v>
          </cell>
        </row>
        <row r="3910">
          <cell r="A3910" t="str">
            <v>19-03909</v>
          </cell>
          <cell r="B3910" t="str">
            <v>WEFORT LATAM</v>
          </cell>
          <cell r="C3910" t="str">
            <v>A</v>
          </cell>
          <cell r="D3910" t="str">
            <v>SI</v>
          </cell>
          <cell r="E3910" t="str">
            <v>WT7439 MATTEL BARBIE BRAND ENTRY DOLL ASSORTED</v>
          </cell>
          <cell r="F3910" t="str">
            <v>JUGUETES</v>
          </cell>
          <cell r="G3910" t="str">
            <v>WT7439</v>
          </cell>
          <cell r="H3910" t="str">
            <v>MATTEL</v>
          </cell>
          <cell r="I3910">
            <v>4.5</v>
          </cell>
        </row>
        <row r="3911">
          <cell r="A3911" t="str">
            <v>19-03910</v>
          </cell>
          <cell r="B3911" t="str">
            <v>WEFORT LATAM</v>
          </cell>
          <cell r="C3911" t="str">
            <v>A</v>
          </cell>
          <cell r="D3911" t="str">
            <v>SI</v>
          </cell>
          <cell r="E3911" t="str">
            <v>WK5904 MATTEL HOT WHEELS BASIC CAR 3-PACK ASSORTED</v>
          </cell>
          <cell r="F3911" t="str">
            <v>JUGUETES</v>
          </cell>
          <cell r="G3911" t="str">
            <v>WK5904</v>
          </cell>
          <cell r="H3911" t="str">
            <v>MATTEL</v>
          </cell>
          <cell r="I3911">
            <v>3.5640000000000001</v>
          </cell>
        </row>
        <row r="3912">
          <cell r="A3912" t="str">
            <v>19-03911</v>
          </cell>
          <cell r="B3912" t="str">
            <v>WEFORT LATAM</v>
          </cell>
          <cell r="C3912" t="str">
            <v>A</v>
          </cell>
          <cell r="D3912" t="str">
            <v>SI</v>
          </cell>
          <cell r="E3912" t="str">
            <v>WDJL47 MATTEL HOT WHEELS BATMAN VS SUPERMAN ASSORTED</v>
          </cell>
          <cell r="F3912" t="str">
            <v>JUGUETES</v>
          </cell>
          <cell r="G3912" t="str">
            <v>WDJL47</v>
          </cell>
          <cell r="H3912" t="str">
            <v>MATTEL</v>
          </cell>
          <cell r="I3912">
            <v>1.9079999999999999</v>
          </cell>
        </row>
        <row r="3913">
          <cell r="A3913" t="str">
            <v>19-03912</v>
          </cell>
          <cell r="B3913" t="str">
            <v>WEFORT LATAM</v>
          </cell>
          <cell r="C3913" t="str">
            <v>A</v>
          </cell>
          <cell r="D3913" t="str">
            <v>NO</v>
          </cell>
          <cell r="E3913" t="str">
            <v>WCDL58 MATTEL PUPPY APRENDE CONMIGO</v>
          </cell>
          <cell r="F3913" t="str">
            <v>JUGUETES</v>
          </cell>
          <cell r="G3913" t="str">
            <v>WCDL58</v>
          </cell>
          <cell r="H3913" t="str">
            <v>MATTEL</v>
          </cell>
          <cell r="I3913">
            <v>23.99</v>
          </cell>
        </row>
        <row r="3914">
          <cell r="A3914" t="str">
            <v>19-03913</v>
          </cell>
          <cell r="B3914" t="str">
            <v>WEFORT LATAM</v>
          </cell>
          <cell r="C3914" t="str">
            <v>A</v>
          </cell>
          <cell r="D3914" t="str">
            <v>SI</v>
          </cell>
          <cell r="E3914" t="str">
            <v>WDHM50 MATTEL BARBIE FAIRY ASSORTED</v>
          </cell>
          <cell r="F3914" t="str">
            <v>JUGUETES</v>
          </cell>
          <cell r="G3914" t="str">
            <v>WDHM50</v>
          </cell>
          <cell r="H3914" t="str">
            <v>MATTEL</v>
          </cell>
          <cell r="I3914">
            <v>10.32</v>
          </cell>
        </row>
        <row r="3915">
          <cell r="A3915" t="str">
            <v>19-03914</v>
          </cell>
          <cell r="B3915" t="str">
            <v>WEFORT LATAM</v>
          </cell>
          <cell r="C3915" t="str">
            <v>A</v>
          </cell>
          <cell r="D3915" t="str">
            <v>SI</v>
          </cell>
          <cell r="E3915" t="str">
            <v>WY0506 MATTEL CARS DIECAST 2 PACK ASSORTED</v>
          </cell>
          <cell r="F3915" t="str">
            <v>JUGUETES</v>
          </cell>
          <cell r="G3915" t="str">
            <v>WY0506</v>
          </cell>
          <cell r="H3915" t="str">
            <v>MATTEL</v>
          </cell>
          <cell r="I3915">
            <v>9.24</v>
          </cell>
        </row>
        <row r="3916">
          <cell r="A3916" t="str">
            <v>19-03915</v>
          </cell>
          <cell r="B3916" t="str">
            <v>WEFORT LATAM</v>
          </cell>
          <cell r="C3916" t="str">
            <v>A</v>
          </cell>
          <cell r="D3916" t="str">
            <v>SI</v>
          </cell>
          <cell r="E3916" t="str">
            <v>WH9447 MATTEL LIL SNOOPY</v>
          </cell>
          <cell r="F3916" t="str">
            <v>JUGUETES</v>
          </cell>
          <cell r="G3916" t="str">
            <v>WH9447</v>
          </cell>
          <cell r="H3916" t="str">
            <v>MATTEL</v>
          </cell>
          <cell r="I3916">
            <v>9.5879999999999992</v>
          </cell>
        </row>
        <row r="3917">
          <cell r="A3917" t="str">
            <v>19-03916</v>
          </cell>
          <cell r="B3917" t="str">
            <v>DIST. LEWIS</v>
          </cell>
          <cell r="C3917" t="str">
            <v>A</v>
          </cell>
          <cell r="D3917" t="str">
            <v>SI</v>
          </cell>
          <cell r="E3917" t="str">
            <v>BHG - LADIES HOME JOURNAL</v>
          </cell>
          <cell r="F3917" t="str">
            <v>MAGAZINE</v>
          </cell>
          <cell r="G3917">
            <v>14437</v>
          </cell>
          <cell r="H3917" t="str">
            <v>DIST. LEWIS</v>
          </cell>
          <cell r="I3917">
            <v>5.56</v>
          </cell>
        </row>
        <row r="3918">
          <cell r="A3918" t="str">
            <v>19-03917</v>
          </cell>
          <cell r="B3918" t="str">
            <v>DIST. LEWIS</v>
          </cell>
          <cell r="C3918" t="str">
            <v>A</v>
          </cell>
          <cell r="D3918" t="str">
            <v>SI</v>
          </cell>
          <cell r="E3918" t="str">
            <v>WINE SPECTATOR</v>
          </cell>
          <cell r="F3918" t="str">
            <v>MAGAZINE</v>
          </cell>
          <cell r="G3918">
            <v>1712</v>
          </cell>
          <cell r="H3918" t="str">
            <v>DIST. LEWIS</v>
          </cell>
          <cell r="I3918">
            <v>6.36</v>
          </cell>
        </row>
        <row r="3919">
          <cell r="A3919" t="str">
            <v>19-03918</v>
          </cell>
          <cell r="B3919" t="str">
            <v>FOSTER</v>
          </cell>
          <cell r="C3919" t="str">
            <v>A</v>
          </cell>
          <cell r="D3919" t="str">
            <v>NO</v>
          </cell>
          <cell r="E3919" t="str">
            <v>PDP1500254 FOSTER PELUCHE 10'' C/ BASE DORY</v>
          </cell>
          <cell r="F3919" t="str">
            <v>PLUSH</v>
          </cell>
          <cell r="G3919" t="str">
            <v>PDP1500254</v>
          </cell>
          <cell r="H3919" t="str">
            <v>FOSTER</v>
          </cell>
          <cell r="I3919">
            <v>7.75</v>
          </cell>
        </row>
        <row r="3920">
          <cell r="A3920" t="str">
            <v>19-03919</v>
          </cell>
          <cell r="B3920" t="str">
            <v>FOSTER</v>
          </cell>
          <cell r="C3920" t="str">
            <v>D</v>
          </cell>
          <cell r="D3920" t="str">
            <v>N/A</v>
          </cell>
          <cell r="E3920" t="str">
            <v>PDP1500256 FOSTER PELUCHE 10'' C/ BASE NEMO</v>
          </cell>
          <cell r="F3920" t="str">
            <v>PLUSH</v>
          </cell>
          <cell r="G3920" t="str">
            <v>PDP1500256</v>
          </cell>
          <cell r="H3920" t="str">
            <v>FOSTER</v>
          </cell>
          <cell r="I3920">
            <v>0</v>
          </cell>
        </row>
        <row r="3921">
          <cell r="A3921" t="str">
            <v>19-03920</v>
          </cell>
          <cell r="B3921" t="str">
            <v>FOSTER</v>
          </cell>
          <cell r="C3921" t="str">
            <v>D</v>
          </cell>
          <cell r="D3921" t="str">
            <v>N/A</v>
          </cell>
          <cell r="E3921" t="str">
            <v>PDP1500258 FOSTER PELUCHE 10'' SIN BASE HANK</v>
          </cell>
          <cell r="F3921" t="str">
            <v>PLUSH</v>
          </cell>
          <cell r="G3921" t="str">
            <v>PDP1500258</v>
          </cell>
          <cell r="H3921" t="str">
            <v>FOSTER</v>
          </cell>
          <cell r="I3921">
            <v>0</v>
          </cell>
        </row>
        <row r="3922">
          <cell r="A3922" t="str">
            <v>19-03921</v>
          </cell>
          <cell r="B3922" t="str">
            <v>FOSTER</v>
          </cell>
          <cell r="C3922" t="str">
            <v>D</v>
          </cell>
          <cell r="D3922" t="str">
            <v>N/A</v>
          </cell>
          <cell r="E3922" t="str">
            <v>PDP1500260 FOSTER PELUCHE 10'' C/ BASE BAILEY</v>
          </cell>
          <cell r="F3922" t="str">
            <v>PLUSH</v>
          </cell>
          <cell r="G3922" t="str">
            <v>PDP1500260</v>
          </cell>
          <cell r="H3922" t="str">
            <v>FOSTER</v>
          </cell>
          <cell r="I3922">
            <v>0</v>
          </cell>
        </row>
        <row r="3923">
          <cell r="A3923" t="str">
            <v>19-03922</v>
          </cell>
          <cell r="B3923" t="str">
            <v>FOSTER</v>
          </cell>
          <cell r="C3923" t="str">
            <v>A</v>
          </cell>
          <cell r="D3923" t="str">
            <v>NO</v>
          </cell>
          <cell r="E3923" t="str">
            <v>PDP1500666 FOSTER PELUCHE 10'' C/ BASE BABY OTTER</v>
          </cell>
          <cell r="F3923" t="str">
            <v>PLUSH</v>
          </cell>
          <cell r="G3923" t="str">
            <v>PDP1500666</v>
          </cell>
          <cell r="H3923" t="str">
            <v>FOSTER</v>
          </cell>
          <cell r="I3923">
            <v>7.75</v>
          </cell>
        </row>
        <row r="3924">
          <cell r="A3924" t="str">
            <v>19-03923</v>
          </cell>
          <cell r="B3924" t="str">
            <v>FOSTER</v>
          </cell>
          <cell r="C3924" t="str">
            <v>A</v>
          </cell>
          <cell r="D3924" t="str">
            <v>NO</v>
          </cell>
          <cell r="E3924" t="str">
            <v>17290 FOSTER PELUCHE  10” BIG HEAD MICKEY</v>
          </cell>
          <cell r="F3924" t="str">
            <v>PLUSH</v>
          </cell>
          <cell r="G3924">
            <v>17290</v>
          </cell>
          <cell r="H3924" t="str">
            <v>FOSTER</v>
          </cell>
          <cell r="I3924">
            <v>5.9</v>
          </cell>
        </row>
        <row r="3925">
          <cell r="A3925" t="str">
            <v>19-03924</v>
          </cell>
          <cell r="B3925" t="str">
            <v>FOSTER</v>
          </cell>
          <cell r="C3925" t="str">
            <v>A</v>
          </cell>
          <cell r="D3925" t="str">
            <v>NO</v>
          </cell>
          <cell r="E3925" t="str">
            <v>17291 FOSTER PELUCHE  10” BIG HEAD MINNIE</v>
          </cell>
          <cell r="F3925" t="str">
            <v>PLUSH</v>
          </cell>
          <cell r="G3925">
            <v>17291</v>
          </cell>
          <cell r="H3925" t="str">
            <v>FOSTER</v>
          </cell>
          <cell r="I3925">
            <v>5.9</v>
          </cell>
        </row>
        <row r="3926">
          <cell r="A3926" t="str">
            <v>19-03925</v>
          </cell>
          <cell r="B3926" t="str">
            <v>FOSTER</v>
          </cell>
          <cell r="C3926" t="str">
            <v>A</v>
          </cell>
          <cell r="D3926" t="str">
            <v>NO</v>
          </cell>
          <cell r="E3926" t="str">
            <v>17296 FOSTER PELUCHE  10” BIG HEAD PLUTO</v>
          </cell>
          <cell r="F3926" t="str">
            <v>PLUSH</v>
          </cell>
          <cell r="G3926">
            <v>17296</v>
          </cell>
          <cell r="H3926" t="str">
            <v>FOSTER</v>
          </cell>
          <cell r="I3926">
            <v>5.9</v>
          </cell>
        </row>
        <row r="3927">
          <cell r="A3927" t="str">
            <v>19-03926</v>
          </cell>
          <cell r="B3927" t="str">
            <v>FOSTER</v>
          </cell>
          <cell r="C3927" t="str">
            <v>A</v>
          </cell>
          <cell r="D3927" t="str">
            <v>NO</v>
          </cell>
          <cell r="E3927" t="str">
            <v>17299 FOSTER PELUCHE  10” BIG HEAD DONALD</v>
          </cell>
          <cell r="F3927" t="str">
            <v>PLUSH</v>
          </cell>
          <cell r="G3927">
            <v>17299</v>
          </cell>
          <cell r="H3927" t="str">
            <v>FOSTER</v>
          </cell>
          <cell r="I3927">
            <v>5.9</v>
          </cell>
        </row>
        <row r="3928">
          <cell r="A3928" t="str">
            <v>19-03927</v>
          </cell>
          <cell r="B3928" t="str">
            <v>FOSTER</v>
          </cell>
          <cell r="C3928" t="str">
            <v>A</v>
          </cell>
          <cell r="D3928" t="str">
            <v>NO</v>
          </cell>
          <cell r="E3928" t="str">
            <v>PDP1400460 FOSTER PELUCHE 10'' C/ CAJA JAKE CAPITAN</v>
          </cell>
          <cell r="F3928" t="str">
            <v>PLUSH</v>
          </cell>
          <cell r="G3928" t="str">
            <v>PDP1400460</v>
          </cell>
          <cell r="H3928" t="str">
            <v>FOSTER</v>
          </cell>
          <cell r="I3928">
            <v>8.6</v>
          </cell>
        </row>
        <row r="3929">
          <cell r="A3929" t="str">
            <v>19-03928</v>
          </cell>
          <cell r="B3929" t="str">
            <v>FOSTER</v>
          </cell>
          <cell r="C3929" t="str">
            <v>A</v>
          </cell>
          <cell r="D3929" t="str">
            <v>NO</v>
          </cell>
          <cell r="E3929" t="str">
            <v>PDP1400461 FOSTER PELUCHE 10'' C/ CAJA JAKE</v>
          </cell>
          <cell r="F3929" t="str">
            <v>PLUSH</v>
          </cell>
          <cell r="G3929" t="str">
            <v>PDP1400461</v>
          </cell>
          <cell r="H3929" t="str">
            <v>FOSTER</v>
          </cell>
          <cell r="I3929">
            <v>8.6</v>
          </cell>
        </row>
        <row r="3930">
          <cell r="A3930" t="str">
            <v>19-03929</v>
          </cell>
          <cell r="B3930" t="str">
            <v>FOSTER</v>
          </cell>
          <cell r="C3930" t="str">
            <v>A</v>
          </cell>
          <cell r="D3930" t="str">
            <v>NO</v>
          </cell>
          <cell r="E3930" t="str">
            <v>PDP1400462 FOSTER PELUCHE 10'' C/ CAJA IZZY</v>
          </cell>
          <cell r="F3930" t="str">
            <v>PLUSH</v>
          </cell>
          <cell r="G3930" t="str">
            <v>PDP1400462</v>
          </cell>
          <cell r="H3930" t="str">
            <v>FOSTER</v>
          </cell>
          <cell r="I3930">
            <v>8.6</v>
          </cell>
        </row>
        <row r="3931">
          <cell r="A3931" t="str">
            <v>19-03930</v>
          </cell>
          <cell r="B3931" t="str">
            <v>FOSTER</v>
          </cell>
          <cell r="C3931" t="str">
            <v>A</v>
          </cell>
          <cell r="D3931" t="str">
            <v>NO</v>
          </cell>
          <cell r="E3931" t="str">
            <v>PDP1100545 FOSTER PELUCHE 10'' C/ CAJA SKULLY</v>
          </cell>
          <cell r="F3931" t="str">
            <v>PLUSH</v>
          </cell>
          <cell r="G3931" t="str">
            <v>PDP1100545</v>
          </cell>
          <cell r="H3931" t="str">
            <v>FOSTER</v>
          </cell>
          <cell r="I3931">
            <v>8.6</v>
          </cell>
        </row>
        <row r="3932">
          <cell r="A3932" t="str">
            <v>19-03931</v>
          </cell>
          <cell r="B3932" t="str">
            <v>ORKHON GROUP</v>
          </cell>
          <cell r="C3932" t="str">
            <v>A</v>
          </cell>
          <cell r="D3932" t="str">
            <v>SI</v>
          </cell>
          <cell r="E3932" t="str">
            <v>TW01-A WELL PLUS NATURAL MOSQUITO REPELLENT WRISTBAND</v>
          </cell>
          <cell r="F3932" t="str">
            <v>BRAZALETE</v>
          </cell>
          <cell r="G3932" t="str">
            <v>A007615</v>
          </cell>
          <cell r="H3932" t="str">
            <v>WELL PLUS</v>
          </cell>
          <cell r="I3932">
            <v>1.8919999999999999</v>
          </cell>
        </row>
        <row r="3933">
          <cell r="A3933" t="str">
            <v>19-03932</v>
          </cell>
          <cell r="B3933" t="str">
            <v>ORKHON GROUP</v>
          </cell>
          <cell r="C3933" t="str">
            <v>A</v>
          </cell>
          <cell r="D3933" t="str">
            <v>SI</v>
          </cell>
          <cell r="E3933" t="str">
            <v>TW06-A WELL PLUS SILICONE CARTOON FACE MOSQUITO REPELLENT BRACELET</v>
          </cell>
          <cell r="F3933" t="str">
            <v>BRAZALETE</v>
          </cell>
          <cell r="G3933" t="str">
            <v>A007616</v>
          </cell>
          <cell r="H3933" t="str">
            <v>WELL PLUS</v>
          </cell>
          <cell r="I3933">
            <v>1.738</v>
          </cell>
        </row>
        <row r="3934">
          <cell r="A3934" t="str">
            <v>19-03933</v>
          </cell>
          <cell r="B3934" t="str">
            <v>ORKHON GROUP</v>
          </cell>
          <cell r="C3934" t="str">
            <v>A</v>
          </cell>
          <cell r="D3934" t="str">
            <v>SI</v>
          </cell>
          <cell r="E3934" t="str">
            <v>AMB105 WELL PLUS GLOWING SILICONE MOSQUITO REPELLENT BRACELET</v>
          </cell>
          <cell r="F3934" t="str">
            <v>BRAZALETE</v>
          </cell>
          <cell r="G3934" t="str">
            <v>A007617</v>
          </cell>
          <cell r="H3934" t="str">
            <v>WELL PLUS</v>
          </cell>
          <cell r="I3934">
            <v>0.44</v>
          </cell>
        </row>
        <row r="3935">
          <cell r="A3935" t="str">
            <v>19-03934</v>
          </cell>
          <cell r="B3935" t="str">
            <v>ORKHON GROUP</v>
          </cell>
          <cell r="C3935" t="str">
            <v>A</v>
          </cell>
          <cell r="D3935" t="str">
            <v>SI</v>
          </cell>
          <cell r="E3935" t="str">
            <v>AMB-104 WELL PLUS LEATHER MOSQUITO REPELLENT BRACELET 2PC/PK</v>
          </cell>
          <cell r="F3935" t="str">
            <v>BRAZALETE</v>
          </cell>
          <cell r="G3935" t="str">
            <v>A007618</v>
          </cell>
          <cell r="H3935" t="str">
            <v>WELL PLUS</v>
          </cell>
          <cell r="I3935">
            <v>1.276</v>
          </cell>
        </row>
        <row r="3936">
          <cell r="A3936" t="str">
            <v>19-03935</v>
          </cell>
          <cell r="B3936" t="str">
            <v>ORKHON GROUP</v>
          </cell>
          <cell r="C3936" t="str">
            <v>A</v>
          </cell>
          <cell r="D3936" t="str">
            <v>SI</v>
          </cell>
          <cell r="E3936" t="str">
            <v>MRP001 WELL PLUS MOSQUITO REPELLENT SMILY PATCH COLORS</v>
          </cell>
          <cell r="F3936" t="str">
            <v>LOCION</v>
          </cell>
          <cell r="G3936" t="str">
            <v>A007619</v>
          </cell>
          <cell r="H3936" t="str">
            <v>WELL PLUS</v>
          </cell>
          <cell r="I3936">
            <v>0.13200000000000001</v>
          </cell>
        </row>
        <row r="3937">
          <cell r="A3937" t="str">
            <v>19-03936</v>
          </cell>
          <cell r="B3937" t="str">
            <v>ORKHON GROUP</v>
          </cell>
          <cell r="C3937" t="str">
            <v>A</v>
          </cell>
          <cell r="D3937" t="str">
            <v>SI</v>
          </cell>
          <cell r="E3937" t="str">
            <v>TW-01-1 WELL PLUS NATURAL MOSQUITO REFILL PELLET</v>
          </cell>
          <cell r="F3937" t="str">
            <v>LOCION</v>
          </cell>
          <cell r="G3937" t="str">
            <v>A007620</v>
          </cell>
          <cell r="H3937" t="str">
            <v>WELL PLUS</v>
          </cell>
          <cell r="I3937">
            <v>0.96799999999999997</v>
          </cell>
        </row>
        <row r="3938">
          <cell r="A3938" t="str">
            <v>19-03937</v>
          </cell>
          <cell r="B3938" t="str">
            <v>ORKHON GROUP</v>
          </cell>
          <cell r="C3938" t="str">
            <v>A</v>
          </cell>
          <cell r="D3938" t="str">
            <v>SI</v>
          </cell>
          <cell r="E3938" t="str">
            <v>TW04 WELL PLUS SILICONE SIZE-ADJUSTABLE MOSQUITO REPELLENT BRACELET</v>
          </cell>
          <cell r="F3938" t="str">
            <v>BRAZALETE</v>
          </cell>
          <cell r="G3938" t="str">
            <v>A007621</v>
          </cell>
          <cell r="H3938" t="str">
            <v>WELL PLUS</v>
          </cell>
          <cell r="I3938">
            <v>1.3640000000000001</v>
          </cell>
        </row>
        <row r="3939">
          <cell r="A3939" t="str">
            <v>19-03938</v>
          </cell>
          <cell r="B3939" t="str">
            <v>ORKHON GROUP</v>
          </cell>
          <cell r="C3939" t="str">
            <v>A</v>
          </cell>
          <cell r="D3939" t="str">
            <v>SI</v>
          </cell>
          <cell r="E3939" t="str">
            <v>MRP005 WELL PLUS MOSQUITO REPELLENT SMILY PATCH COLORS</v>
          </cell>
          <cell r="F3939" t="str">
            <v>LOCION</v>
          </cell>
          <cell r="G3939" t="str">
            <v>A007622</v>
          </cell>
          <cell r="H3939" t="str">
            <v>WELL PLUS</v>
          </cell>
          <cell r="I3939">
            <v>1.0780000000000001</v>
          </cell>
        </row>
        <row r="3940">
          <cell r="A3940" t="str">
            <v>19-03939</v>
          </cell>
          <cell r="B3940" t="str">
            <v>ORKHON GROUP</v>
          </cell>
          <cell r="C3940" t="str">
            <v>A</v>
          </cell>
          <cell r="D3940" t="str">
            <v>SI</v>
          </cell>
          <cell r="E3940" t="str">
            <v>AB-01 WELL PLUS AFTER BITE IS PHARMACIST PREFERRED FOR INSTANT RELIEF</v>
          </cell>
          <cell r="F3940" t="str">
            <v>LOCION</v>
          </cell>
          <cell r="G3940" t="str">
            <v>A007623</v>
          </cell>
          <cell r="H3940" t="str">
            <v>WELL PLUS</v>
          </cell>
          <cell r="I3940">
            <v>1.0780000000000001</v>
          </cell>
        </row>
        <row r="3941">
          <cell r="A3941" t="str">
            <v>19-03940</v>
          </cell>
          <cell r="B3941" t="str">
            <v>ORKHON GROUP</v>
          </cell>
          <cell r="C3941" t="str">
            <v>A</v>
          </cell>
          <cell r="D3941" t="str">
            <v>SI</v>
          </cell>
          <cell r="E3941" t="str">
            <v>AB-03 WELL PLUS NATURAL MOSQUITO REPELLENT SPRAY 1X60ML</v>
          </cell>
          <cell r="F3941" t="str">
            <v>LOCION</v>
          </cell>
          <cell r="G3941" t="str">
            <v>A007624</v>
          </cell>
          <cell r="H3941" t="str">
            <v>WELL PLUS</v>
          </cell>
          <cell r="I3941">
            <v>1.518</v>
          </cell>
        </row>
        <row r="3942">
          <cell r="A3942" t="str">
            <v>19-03941</v>
          </cell>
          <cell r="B3942" t="str">
            <v>ORKHON GROUP</v>
          </cell>
          <cell r="C3942" t="str">
            <v>A</v>
          </cell>
          <cell r="D3942" t="str">
            <v>SI</v>
          </cell>
          <cell r="E3942" t="str">
            <v>AMB-115 WELL PLUS EVA MOSQUITO REPELLENT BRACELET</v>
          </cell>
          <cell r="F3942" t="str">
            <v>BRAZALETE</v>
          </cell>
          <cell r="G3942" t="str">
            <v>A007625</v>
          </cell>
          <cell r="H3942" t="str">
            <v>WELL PLUS</v>
          </cell>
          <cell r="I3942">
            <v>0.35199999999999998</v>
          </cell>
        </row>
        <row r="3943">
          <cell r="A3943" t="str">
            <v>19-03942</v>
          </cell>
          <cell r="B3943" t="str">
            <v>H. MANCHA</v>
          </cell>
          <cell r="C3943" t="str">
            <v>A</v>
          </cell>
          <cell r="D3943" t="str">
            <v>NO</v>
          </cell>
          <cell r="E3943" t="str">
            <v>1492 EL NACIMIENTO DE LA MODERNIDAD</v>
          </cell>
          <cell r="F3943" t="str">
            <v>LIBRO</v>
          </cell>
          <cell r="G3943">
            <v>9788499088822</v>
          </cell>
          <cell r="H3943" t="str">
            <v>H. MANCHA</v>
          </cell>
          <cell r="I3943">
            <v>0</v>
          </cell>
        </row>
        <row r="3944">
          <cell r="A3944" t="str">
            <v>19-03943</v>
          </cell>
          <cell r="B3944" t="str">
            <v>H. MANCHA</v>
          </cell>
          <cell r="C3944" t="str">
            <v>A</v>
          </cell>
          <cell r="D3944" t="str">
            <v>NO</v>
          </cell>
          <cell r="E3944" t="str">
            <v>1984 ED ESCOLAR</v>
          </cell>
          <cell r="F3944" t="str">
            <v>LIBRO</v>
          </cell>
          <cell r="G3944">
            <v>9788490328248</v>
          </cell>
          <cell r="H3944" t="str">
            <v>H. MANCHA</v>
          </cell>
          <cell r="I3944">
            <v>9.3249999999999993</v>
          </cell>
        </row>
        <row r="3945">
          <cell r="A3945" t="str">
            <v>19-03944</v>
          </cell>
          <cell r="B3945" t="str">
            <v>H. MANCHA</v>
          </cell>
          <cell r="C3945" t="str">
            <v>A</v>
          </cell>
          <cell r="D3945" t="str">
            <v>NO</v>
          </cell>
          <cell r="E3945" t="str">
            <v>A PRIMERA VISTA</v>
          </cell>
          <cell r="F3945" t="str">
            <v>LIBRO</v>
          </cell>
          <cell r="G3945">
            <v>9788415729822</v>
          </cell>
          <cell r="H3945" t="str">
            <v>H. MANCHA</v>
          </cell>
          <cell r="I3945">
            <v>0</v>
          </cell>
        </row>
        <row r="3946">
          <cell r="A3946" t="str">
            <v>19-03945</v>
          </cell>
          <cell r="B3946" t="str">
            <v>H. MANCHA</v>
          </cell>
          <cell r="C3946" t="str">
            <v>A</v>
          </cell>
          <cell r="D3946" t="str">
            <v>SI</v>
          </cell>
          <cell r="E3946" t="str">
            <v>AGUA PARA ELEFANTE</v>
          </cell>
          <cell r="F3946" t="str">
            <v>LIBRO</v>
          </cell>
          <cell r="G3946">
            <v>9788466331982</v>
          </cell>
          <cell r="H3946" t="str">
            <v>H. MANCHA</v>
          </cell>
          <cell r="I3946">
            <v>8.6029999999999998</v>
          </cell>
        </row>
        <row r="3947">
          <cell r="A3947" t="str">
            <v>19-03946</v>
          </cell>
          <cell r="B3947" t="str">
            <v>H. MANCHA</v>
          </cell>
          <cell r="C3947" t="str">
            <v>A</v>
          </cell>
          <cell r="D3947" t="str">
            <v>NO</v>
          </cell>
          <cell r="E3947" t="str">
            <v>ARTE ANTIESTRES LETRAS 1</v>
          </cell>
          <cell r="F3947" t="str">
            <v>LIBRO</v>
          </cell>
          <cell r="G3947">
            <v>9788401015762</v>
          </cell>
          <cell r="H3947" t="str">
            <v>H. MANCHA</v>
          </cell>
          <cell r="I3947">
            <v>12.202999999999999</v>
          </cell>
        </row>
        <row r="3948">
          <cell r="A3948" t="str">
            <v>19-03947</v>
          </cell>
          <cell r="B3948" t="str">
            <v>H. MANCHA</v>
          </cell>
          <cell r="C3948" t="str">
            <v>A</v>
          </cell>
          <cell r="D3948" t="str">
            <v>SI</v>
          </cell>
          <cell r="E3948" t="str">
            <v>BAILANDO CON EL DIABLO</v>
          </cell>
          <cell r="F3948" t="str">
            <v>LIBRO</v>
          </cell>
          <cell r="G3948">
            <v>9788499085685</v>
          </cell>
          <cell r="H3948" t="str">
            <v>H. MANCHA</v>
          </cell>
          <cell r="I3948">
            <v>8.6029999999999998</v>
          </cell>
        </row>
        <row r="3949">
          <cell r="A3949" t="str">
            <v>19-03948</v>
          </cell>
          <cell r="B3949" t="str">
            <v>H. MANCHA</v>
          </cell>
          <cell r="C3949" t="str">
            <v>A</v>
          </cell>
          <cell r="D3949" t="str">
            <v>SI</v>
          </cell>
          <cell r="E3949" t="str">
            <v>BESO DE LA NOCHE EL</v>
          </cell>
          <cell r="F3949" t="str">
            <v>LIBRO</v>
          </cell>
          <cell r="G3949">
            <v>9788499085678</v>
          </cell>
          <cell r="H3949" t="str">
            <v>H. MANCHA</v>
          </cell>
          <cell r="I3949">
            <v>8.6029999999999998</v>
          </cell>
        </row>
        <row r="3950">
          <cell r="A3950" t="str">
            <v>19-03949</v>
          </cell>
          <cell r="B3950" t="str">
            <v>H. MANCHA</v>
          </cell>
          <cell r="C3950" t="str">
            <v>A</v>
          </cell>
          <cell r="D3950" t="str">
            <v>NO</v>
          </cell>
          <cell r="E3950" t="str">
            <v>BIBLIA DE BARRO, LA</v>
          </cell>
          <cell r="F3950" t="str">
            <v>LIBRO</v>
          </cell>
          <cell r="G3950">
            <v>9788497938891</v>
          </cell>
          <cell r="H3950" t="str">
            <v>H. MANCHA</v>
          </cell>
          <cell r="I3950">
            <v>0</v>
          </cell>
        </row>
        <row r="3951">
          <cell r="A3951" t="str">
            <v>19-03950</v>
          </cell>
          <cell r="B3951" t="str">
            <v>H. MANCHA</v>
          </cell>
          <cell r="C3951" t="str">
            <v>A</v>
          </cell>
          <cell r="D3951" t="str">
            <v>SI</v>
          </cell>
          <cell r="E3951" t="str">
            <v>BODEGA, LA</v>
          </cell>
          <cell r="F3951" t="str">
            <v>LIBRO</v>
          </cell>
          <cell r="G3951">
            <v>9788496940666</v>
          </cell>
          <cell r="H3951" t="str">
            <v>H. MANCHA</v>
          </cell>
          <cell r="I3951">
            <v>9.3230000000000004</v>
          </cell>
        </row>
        <row r="3952">
          <cell r="A3952" t="str">
            <v>19-03951</v>
          </cell>
          <cell r="B3952" t="str">
            <v>H. MANCHA</v>
          </cell>
          <cell r="C3952" t="str">
            <v>A</v>
          </cell>
          <cell r="D3952" t="str">
            <v>SI</v>
          </cell>
          <cell r="E3952" t="str">
            <v>CAIDA DE LOS GIGANTES, LA</v>
          </cell>
          <cell r="F3952" t="str">
            <v>LIBRO</v>
          </cell>
          <cell r="G3952">
            <v>9788499899800</v>
          </cell>
          <cell r="H3952" t="str">
            <v>H. MANCHA</v>
          </cell>
          <cell r="I3952">
            <v>10.765000000000001</v>
          </cell>
        </row>
        <row r="3953">
          <cell r="A3953" t="str">
            <v>19-03952</v>
          </cell>
          <cell r="B3953" t="str">
            <v>H. MANCHA</v>
          </cell>
          <cell r="C3953" t="str">
            <v>A</v>
          </cell>
          <cell r="D3953" t="str">
            <v>NO</v>
          </cell>
          <cell r="E3953" t="str">
            <v>CAMINO DE LA ESPIRITUALI</v>
          </cell>
          <cell r="F3953" t="str">
            <v>LIBRO</v>
          </cell>
          <cell r="G3953">
            <v>9788499087009</v>
          </cell>
          <cell r="H3953" t="str">
            <v>H. MANCHA</v>
          </cell>
          <cell r="I3953">
            <v>8.6029999999999998</v>
          </cell>
        </row>
        <row r="3954">
          <cell r="A3954" t="str">
            <v>19-03953</v>
          </cell>
          <cell r="B3954" t="str">
            <v>H. MANCHA</v>
          </cell>
          <cell r="C3954" t="str">
            <v>A</v>
          </cell>
          <cell r="D3954" t="str">
            <v>SI</v>
          </cell>
          <cell r="E3954" t="str">
            <v>CARTAS A UN JOVEN NOVELI</v>
          </cell>
          <cell r="F3954" t="str">
            <v>LIBRO</v>
          </cell>
          <cell r="G3954">
            <v>9788490626207</v>
          </cell>
          <cell r="H3954" t="str">
            <v>H. MANCHA</v>
          </cell>
          <cell r="I3954">
            <v>9.3249999999999993</v>
          </cell>
        </row>
        <row r="3955">
          <cell r="A3955" t="str">
            <v>19-03954</v>
          </cell>
          <cell r="B3955" t="str">
            <v>H. MANCHA</v>
          </cell>
          <cell r="C3955" t="str">
            <v>A</v>
          </cell>
          <cell r="D3955" t="str">
            <v>SI</v>
          </cell>
          <cell r="E3955" t="str">
            <v>CASA DE RIVERTON</v>
          </cell>
          <cell r="F3955" t="str">
            <v>LIBRO</v>
          </cell>
          <cell r="G3955">
            <v>9788466331050</v>
          </cell>
          <cell r="H3955" t="str">
            <v>H. MANCHA</v>
          </cell>
          <cell r="I3955">
            <v>10.042999999999999</v>
          </cell>
        </row>
        <row r="3956">
          <cell r="A3956" t="str">
            <v>19-03955</v>
          </cell>
          <cell r="B3956" t="str">
            <v>H. MANCHA</v>
          </cell>
          <cell r="C3956" t="str">
            <v>A</v>
          </cell>
          <cell r="D3956" t="str">
            <v>SI</v>
          </cell>
          <cell r="E3956" t="str">
            <v>CAVERNA, LA</v>
          </cell>
          <cell r="F3956" t="str">
            <v>LIBRO</v>
          </cell>
          <cell r="G3956">
            <v>9788490628744</v>
          </cell>
          <cell r="H3956" t="str">
            <v>H. MANCHA</v>
          </cell>
          <cell r="I3956">
            <v>8.6050000000000004</v>
          </cell>
        </row>
        <row r="3957">
          <cell r="A3957" t="str">
            <v>19-03956</v>
          </cell>
          <cell r="B3957" t="str">
            <v>H. MANCHA</v>
          </cell>
          <cell r="C3957" t="str">
            <v>A</v>
          </cell>
          <cell r="D3957" t="str">
            <v>SI</v>
          </cell>
          <cell r="E3957" t="str">
            <v>CELL</v>
          </cell>
          <cell r="F3957" t="str">
            <v>LIBRO</v>
          </cell>
          <cell r="G3957">
            <v>9788483465219</v>
          </cell>
          <cell r="H3957" t="str">
            <v>H. MANCHA</v>
          </cell>
          <cell r="I3957">
            <v>9.3239999999999998</v>
          </cell>
        </row>
        <row r="3958">
          <cell r="A3958" t="str">
            <v>19-03957</v>
          </cell>
          <cell r="B3958" t="str">
            <v>H. MANCHA</v>
          </cell>
          <cell r="C3958" t="str">
            <v>A</v>
          </cell>
          <cell r="D3958" t="str">
            <v>NO</v>
          </cell>
          <cell r="E3958" t="str">
            <v>CEMENTERIO DE PRAGA, EL</v>
          </cell>
          <cell r="F3958" t="str">
            <v>LIBRO</v>
          </cell>
          <cell r="G3958">
            <v>9788499899817</v>
          </cell>
          <cell r="H3958" t="str">
            <v>H. MANCHA</v>
          </cell>
          <cell r="I3958">
            <v>0</v>
          </cell>
        </row>
        <row r="3959">
          <cell r="A3959" t="str">
            <v>19-03958</v>
          </cell>
          <cell r="B3959" t="str">
            <v>H. MANCHA</v>
          </cell>
          <cell r="C3959" t="str">
            <v>A</v>
          </cell>
          <cell r="D3959" t="str">
            <v>SI</v>
          </cell>
          <cell r="E3959" t="str">
            <v>CHAMAN DBOLSILLO</v>
          </cell>
          <cell r="F3959" t="str">
            <v>LIBRO</v>
          </cell>
          <cell r="G3959">
            <v>9788496940017</v>
          </cell>
          <cell r="H3959" t="str">
            <v>H. MANCHA</v>
          </cell>
          <cell r="I3959">
            <v>9.3249999999999993</v>
          </cell>
        </row>
        <row r="3960">
          <cell r="A3960" t="str">
            <v>19-03959</v>
          </cell>
          <cell r="B3960" t="str">
            <v>H. MANCHA</v>
          </cell>
          <cell r="C3960" t="str">
            <v>A</v>
          </cell>
          <cell r="D3960" t="str">
            <v>SI</v>
          </cell>
          <cell r="E3960" t="str">
            <v>CIUDAD DE LOS PERROS</v>
          </cell>
          <cell r="F3960" t="str">
            <v>LIBRO</v>
          </cell>
          <cell r="G3960">
            <v>9788490625934</v>
          </cell>
          <cell r="H3960" t="str">
            <v>H. MANCHA</v>
          </cell>
          <cell r="I3960">
            <v>8.6050000000000004</v>
          </cell>
        </row>
        <row r="3961">
          <cell r="A3961" t="str">
            <v>19-03960</v>
          </cell>
          <cell r="B3961" t="str">
            <v>H. MANCHA</v>
          </cell>
          <cell r="C3961" t="str">
            <v>A</v>
          </cell>
          <cell r="D3961" t="str">
            <v>SI</v>
          </cell>
          <cell r="E3961" t="str">
            <v>CLARABOYA</v>
          </cell>
          <cell r="F3961" t="str">
            <v>LIBRO</v>
          </cell>
          <cell r="G3961">
            <v>9788490628812</v>
          </cell>
          <cell r="H3961" t="str">
            <v>H. MANCHA</v>
          </cell>
          <cell r="I3961">
            <v>8.6029999999999998</v>
          </cell>
        </row>
        <row r="3962">
          <cell r="A3962" t="str">
            <v>19-03961</v>
          </cell>
          <cell r="B3962" t="str">
            <v>H. MANCHA</v>
          </cell>
          <cell r="C3962" t="str">
            <v>A</v>
          </cell>
          <cell r="D3962" t="str">
            <v>NO</v>
          </cell>
          <cell r="E3962" t="str">
            <v>COME REZA AMA BOLSILLO</v>
          </cell>
          <cell r="F3962" t="str">
            <v>LIBRO</v>
          </cell>
          <cell r="G3962">
            <v>9788466330343</v>
          </cell>
          <cell r="H3962" t="str">
            <v>H. MANCHA</v>
          </cell>
          <cell r="I3962">
            <v>9.3239999999999998</v>
          </cell>
        </row>
        <row r="3963">
          <cell r="A3963" t="str">
            <v>19-03962</v>
          </cell>
          <cell r="B3963" t="str">
            <v>H. MANCHA</v>
          </cell>
          <cell r="C3963" t="str">
            <v>A</v>
          </cell>
          <cell r="D3963" t="str">
            <v>SI</v>
          </cell>
          <cell r="E3963" t="str">
            <v>CONFESIONES DE UN JOVEN</v>
          </cell>
          <cell r="F3963" t="str">
            <v>LIBRO</v>
          </cell>
          <cell r="G3963">
            <v>9788490326800</v>
          </cell>
          <cell r="H3963" t="str">
            <v>H. MANCHA</v>
          </cell>
          <cell r="I3963">
            <v>9.3249999999999993</v>
          </cell>
        </row>
        <row r="3964">
          <cell r="A3964" t="str">
            <v>19-03963</v>
          </cell>
          <cell r="B3964" t="str">
            <v>H. MANCHA</v>
          </cell>
          <cell r="C3964" t="str">
            <v>A</v>
          </cell>
          <cell r="D3964" t="str">
            <v>SI</v>
          </cell>
          <cell r="E3964" t="str">
            <v>CONVERSACIONES CON DIOS</v>
          </cell>
          <cell r="F3964" t="str">
            <v>LIBRO</v>
          </cell>
          <cell r="G3964">
            <v>9788499897806</v>
          </cell>
          <cell r="H3964" t="str">
            <v>H. MANCHA</v>
          </cell>
          <cell r="I3964">
            <v>8.6050000000000004</v>
          </cell>
        </row>
        <row r="3965">
          <cell r="A3965" t="str">
            <v>19-03964</v>
          </cell>
          <cell r="B3965" t="str">
            <v>H. MANCHA</v>
          </cell>
          <cell r="C3965" t="str">
            <v>A</v>
          </cell>
          <cell r="D3965" t="str">
            <v>SI</v>
          </cell>
          <cell r="E3965" t="str">
            <v>CREPUSCULO 1 - BOLSILLO</v>
          </cell>
          <cell r="F3965" t="str">
            <v>LIBRO</v>
          </cell>
          <cell r="G3965">
            <v>9788466332965</v>
          </cell>
          <cell r="H3965" t="str">
            <v>H. MANCHA</v>
          </cell>
          <cell r="I3965">
            <v>8.6029999999999998</v>
          </cell>
        </row>
        <row r="3966">
          <cell r="A3966" t="str">
            <v>19-03965</v>
          </cell>
          <cell r="B3966" t="str">
            <v>H. MANCHA</v>
          </cell>
          <cell r="C3966" t="str">
            <v>A</v>
          </cell>
          <cell r="D3966" t="str">
            <v>NO</v>
          </cell>
          <cell r="E3966" t="str">
            <v>CRIMEN Y CASTIGO</v>
          </cell>
          <cell r="F3966" t="str">
            <v>LIBRO</v>
          </cell>
          <cell r="G3966">
            <v>9788491050063</v>
          </cell>
          <cell r="H3966" t="str">
            <v>H. MANCHA</v>
          </cell>
          <cell r="I3966">
            <v>0</v>
          </cell>
        </row>
        <row r="3967">
          <cell r="A3967" t="str">
            <v>19-03966</v>
          </cell>
          <cell r="B3967" t="str">
            <v>H. MANCHA</v>
          </cell>
          <cell r="C3967" t="str">
            <v>A</v>
          </cell>
          <cell r="D3967" t="str">
            <v>NO</v>
          </cell>
          <cell r="E3967" t="str">
            <v>CUADRANTE DEL FLUJO DE D</v>
          </cell>
          <cell r="F3967" t="str">
            <v>LIBRO</v>
          </cell>
          <cell r="G3967">
            <v>9788466332101</v>
          </cell>
          <cell r="H3967" t="str">
            <v>H. MANCHA</v>
          </cell>
          <cell r="I3967">
            <v>0</v>
          </cell>
        </row>
        <row r="3968">
          <cell r="A3968" t="str">
            <v>19-03967</v>
          </cell>
          <cell r="B3968" t="str">
            <v>H. MANCHA</v>
          </cell>
          <cell r="C3968" t="str">
            <v>A</v>
          </cell>
          <cell r="D3968" t="str">
            <v>NO</v>
          </cell>
          <cell r="E3968" t="str">
            <v>DIARIO DE UNA SUMISA</v>
          </cell>
          <cell r="F3968" t="str">
            <v>LIBRO</v>
          </cell>
          <cell r="G3968">
            <v>9788490327333</v>
          </cell>
          <cell r="H3968" t="str">
            <v>H. MANCHA</v>
          </cell>
          <cell r="I3968">
            <v>7.165</v>
          </cell>
        </row>
        <row r="3969">
          <cell r="A3969" t="str">
            <v>19-03968</v>
          </cell>
          <cell r="B3969" t="str">
            <v>H. MANCHA</v>
          </cell>
          <cell r="C3969" t="str">
            <v>A</v>
          </cell>
          <cell r="D3969" t="str">
            <v>NO</v>
          </cell>
          <cell r="E3969" t="str">
            <v>DIME QUIEN SOY</v>
          </cell>
          <cell r="F3969" t="str">
            <v>LIBRO</v>
          </cell>
          <cell r="G3969">
            <v>9788490322222</v>
          </cell>
          <cell r="H3969" t="str">
            <v>H. MANCHA</v>
          </cell>
          <cell r="I3969">
            <v>9.3230000000000004</v>
          </cell>
        </row>
        <row r="3970">
          <cell r="A3970" t="str">
            <v>19-03969</v>
          </cell>
          <cell r="B3970" t="str">
            <v>H. MANCHA</v>
          </cell>
          <cell r="C3970" t="str">
            <v>A</v>
          </cell>
          <cell r="D3970" t="str">
            <v>SI</v>
          </cell>
          <cell r="E3970" t="str">
            <v>DON QUIJOTE MANCHA CONMEMORATIVO</v>
          </cell>
          <cell r="F3970" t="str">
            <v>LIBRO</v>
          </cell>
          <cell r="G3970">
            <v>9788420412146</v>
          </cell>
          <cell r="H3970" t="str">
            <v>H. MANCHA</v>
          </cell>
          <cell r="I3970">
            <v>12.923</v>
          </cell>
        </row>
        <row r="3971">
          <cell r="A3971" t="str">
            <v>19-03970</v>
          </cell>
          <cell r="B3971" t="str">
            <v>H. MANCHA</v>
          </cell>
          <cell r="C3971" t="str">
            <v>A</v>
          </cell>
          <cell r="D3971" t="str">
            <v>SI</v>
          </cell>
          <cell r="E3971" t="str">
            <v>ECHO PARK</v>
          </cell>
          <cell r="F3971" t="str">
            <v>LIBRO</v>
          </cell>
          <cell r="G3971">
            <v>9788415729662</v>
          </cell>
          <cell r="H3971" t="str">
            <v>H. MANCHA</v>
          </cell>
          <cell r="I3971">
            <v>6.4429999999999996</v>
          </cell>
        </row>
        <row r="3972">
          <cell r="A3972" t="str">
            <v>19-03971</v>
          </cell>
          <cell r="B3972" t="str">
            <v>H. MANCHA</v>
          </cell>
          <cell r="C3972" t="str">
            <v>A</v>
          </cell>
          <cell r="D3972" t="str">
            <v>SI</v>
          </cell>
          <cell r="E3972" t="str">
            <v>ENSAYO SOBRE LA CEGUERA</v>
          </cell>
          <cell r="F3972" t="str">
            <v>LIBRO</v>
          </cell>
          <cell r="G3972">
            <v>9788490628720</v>
          </cell>
          <cell r="H3972" t="str">
            <v>H. MANCHA</v>
          </cell>
          <cell r="I3972">
            <v>9.3239999999999998</v>
          </cell>
        </row>
        <row r="3973">
          <cell r="A3973" t="str">
            <v>19-03972</v>
          </cell>
          <cell r="B3973" t="str">
            <v>H. MANCHA</v>
          </cell>
          <cell r="C3973" t="str">
            <v>A</v>
          </cell>
          <cell r="D3973" t="str">
            <v>SI</v>
          </cell>
          <cell r="E3973" t="str">
            <v>HERMANDAD DE LA SABANA S</v>
          </cell>
          <cell r="F3973" t="str">
            <v>LIBRO</v>
          </cell>
          <cell r="G3973">
            <v>9788497935272</v>
          </cell>
          <cell r="H3973" t="str">
            <v>H. MANCHA</v>
          </cell>
          <cell r="I3973">
            <v>8.6029999999999998</v>
          </cell>
        </row>
        <row r="3974">
          <cell r="A3974" t="str">
            <v>19-03973</v>
          </cell>
          <cell r="B3974" t="str">
            <v>H. MANCHA</v>
          </cell>
          <cell r="C3974" t="str">
            <v>A</v>
          </cell>
          <cell r="D3974" t="str">
            <v>SI</v>
          </cell>
          <cell r="E3974" t="str">
            <v>ISLA BAJO EL MAR, LA</v>
          </cell>
          <cell r="F3974" t="str">
            <v>LIBRO</v>
          </cell>
          <cell r="G3974">
            <v>9788490623701</v>
          </cell>
          <cell r="H3974" t="str">
            <v>H. MANCHA</v>
          </cell>
          <cell r="I3974">
            <v>9.3249999999999993</v>
          </cell>
        </row>
        <row r="3975">
          <cell r="A3975" t="str">
            <v>19-03974</v>
          </cell>
          <cell r="B3975" t="str">
            <v>H. MANCHA</v>
          </cell>
          <cell r="C3975" t="str">
            <v>A</v>
          </cell>
          <cell r="D3975" t="str">
            <v>NO</v>
          </cell>
          <cell r="E3975" t="str">
            <v>JARDIN OLVIDADO, EL</v>
          </cell>
          <cell r="F3975" t="str">
            <v>LIBRO</v>
          </cell>
          <cell r="G3975">
            <v>9788466331043</v>
          </cell>
          <cell r="H3975" t="str">
            <v>H. MANCHA</v>
          </cell>
          <cell r="I3975">
            <v>10.045</v>
          </cell>
        </row>
        <row r="3976">
          <cell r="A3976" t="str">
            <v>19-03975</v>
          </cell>
          <cell r="B3976" t="str">
            <v>H. MANCHA</v>
          </cell>
          <cell r="C3976" t="str">
            <v>A</v>
          </cell>
          <cell r="D3976" t="str">
            <v>SI</v>
          </cell>
          <cell r="E3976" t="str">
            <v>JUEGO DEL DINERO</v>
          </cell>
          <cell r="F3976" t="str">
            <v>LIBRO</v>
          </cell>
          <cell r="G3976">
            <v>9788466332095</v>
          </cell>
          <cell r="H3976" t="str">
            <v>H. MANCHA</v>
          </cell>
          <cell r="I3976">
            <v>7.88</v>
          </cell>
        </row>
        <row r="3977">
          <cell r="A3977" t="str">
            <v>19-03976</v>
          </cell>
          <cell r="B3977" t="str">
            <v>H. MANCHA</v>
          </cell>
          <cell r="C3977" t="str">
            <v>A</v>
          </cell>
          <cell r="D3977" t="str">
            <v>SI</v>
          </cell>
          <cell r="E3977" t="str">
            <v>MANO DE FATIMA, LA</v>
          </cell>
          <cell r="F3977" t="str">
            <v>LIBRO</v>
          </cell>
          <cell r="G3977">
            <v>9788499893747</v>
          </cell>
          <cell r="H3977" t="str">
            <v>H. MANCHA</v>
          </cell>
          <cell r="I3977">
            <v>9.3239999999999998</v>
          </cell>
        </row>
        <row r="3978">
          <cell r="A3978" t="str">
            <v>19-03977</v>
          </cell>
          <cell r="B3978" t="str">
            <v>H. MANCHA</v>
          </cell>
          <cell r="C3978" t="str">
            <v>A</v>
          </cell>
          <cell r="D3978" t="str">
            <v>SI</v>
          </cell>
          <cell r="E3978" t="str">
            <v>ODISEA</v>
          </cell>
          <cell r="F3978" t="str">
            <v>LIBRO</v>
          </cell>
          <cell r="G3978">
            <v>9788491050803</v>
          </cell>
          <cell r="H3978" t="str">
            <v>H. MANCHA</v>
          </cell>
          <cell r="I3978">
            <v>9.3230000000000004</v>
          </cell>
        </row>
        <row r="3979">
          <cell r="A3979" t="str">
            <v>19-03978</v>
          </cell>
          <cell r="B3979" t="str">
            <v>H. MANCHA</v>
          </cell>
          <cell r="C3979" t="str">
            <v>A</v>
          </cell>
          <cell r="D3979" t="str">
            <v>SI</v>
          </cell>
          <cell r="E3979" t="str">
            <v>ORGULLO Y PREJUICIO</v>
          </cell>
          <cell r="F3979" t="str">
            <v>LIBRO</v>
          </cell>
          <cell r="G3979">
            <v>9788491050018</v>
          </cell>
          <cell r="H3979" t="str">
            <v>H. MANCHA</v>
          </cell>
          <cell r="I3979">
            <v>10.042999999999999</v>
          </cell>
        </row>
        <row r="3980">
          <cell r="A3980" t="str">
            <v>19-03979</v>
          </cell>
          <cell r="B3980" t="str">
            <v>H. MANCHA</v>
          </cell>
          <cell r="C3980" t="str">
            <v>A</v>
          </cell>
          <cell r="D3980" t="str">
            <v>SI</v>
          </cell>
          <cell r="E3980" t="str">
            <v>PAULA - LA SUMA DE LOS DIAS - ISABEL ALLENDE</v>
          </cell>
          <cell r="F3980" t="str">
            <v>LIBRO</v>
          </cell>
          <cell r="G3980">
            <v>9788490625729</v>
          </cell>
          <cell r="H3980" t="str">
            <v>H. MANCHA</v>
          </cell>
          <cell r="I3980">
            <v>13.643000000000001</v>
          </cell>
        </row>
        <row r="3981">
          <cell r="A3981" t="str">
            <v>19-03980</v>
          </cell>
          <cell r="B3981" t="str">
            <v>H. MANCHA</v>
          </cell>
          <cell r="C3981" t="str">
            <v>A</v>
          </cell>
          <cell r="D3981" t="str">
            <v>SI</v>
          </cell>
          <cell r="E3981" t="str">
            <v>PERSUASION</v>
          </cell>
          <cell r="F3981" t="str">
            <v>LIBRO</v>
          </cell>
          <cell r="G3981">
            <v>9788491050032</v>
          </cell>
          <cell r="H3981" t="str">
            <v>H. MANCHA</v>
          </cell>
          <cell r="I3981">
            <v>9.3230000000000004</v>
          </cell>
        </row>
        <row r="3982">
          <cell r="A3982" t="str">
            <v>19-03981</v>
          </cell>
          <cell r="B3982" t="str">
            <v>H. MANCHA</v>
          </cell>
          <cell r="C3982" t="str">
            <v>A</v>
          </cell>
          <cell r="D3982" t="str">
            <v>SI</v>
          </cell>
          <cell r="E3982" t="str">
            <v>QUERIDO JOHN</v>
          </cell>
          <cell r="F3982" t="str">
            <v>LIBRO</v>
          </cell>
          <cell r="G3982">
            <v>9788415729730</v>
          </cell>
          <cell r="H3982" t="str">
            <v>H. MANCHA</v>
          </cell>
          <cell r="I3982">
            <v>8.6050000000000004</v>
          </cell>
        </row>
        <row r="3983">
          <cell r="A3983" t="str">
            <v>19-03982</v>
          </cell>
          <cell r="B3983" t="str">
            <v>H. MANCHA</v>
          </cell>
          <cell r="C3983" t="str">
            <v>A</v>
          </cell>
          <cell r="D3983" t="str">
            <v>NO</v>
          </cell>
          <cell r="E3983" t="str">
            <v>REINA DESCALZA, LA DEBOLSILLO</v>
          </cell>
          <cell r="F3983" t="str">
            <v>LIBRO</v>
          </cell>
          <cell r="G3983">
            <v>9788490624029</v>
          </cell>
          <cell r="H3983" t="str">
            <v>H. MANCHA</v>
          </cell>
          <cell r="I3983">
            <v>0</v>
          </cell>
        </row>
        <row r="3984">
          <cell r="A3984" t="str">
            <v>19-03983</v>
          </cell>
          <cell r="B3984" t="str">
            <v>H. MANCHA</v>
          </cell>
          <cell r="C3984" t="str">
            <v>A</v>
          </cell>
          <cell r="D3984" t="str">
            <v>NO</v>
          </cell>
          <cell r="E3984" t="str">
            <v>SANGRE DE LOS INOCENTES</v>
          </cell>
          <cell r="F3984" t="str">
            <v>LIBRO</v>
          </cell>
          <cell r="G3984">
            <v>9788483465240</v>
          </cell>
          <cell r="H3984" t="str">
            <v>H. MANCHA</v>
          </cell>
          <cell r="I3984">
            <v>9.3239999999999998</v>
          </cell>
        </row>
        <row r="3985">
          <cell r="A3985" t="str">
            <v>19-03984</v>
          </cell>
          <cell r="B3985" t="str">
            <v>H. MANCHA</v>
          </cell>
          <cell r="C3985" t="str">
            <v>A</v>
          </cell>
          <cell r="D3985" t="str">
            <v>NO</v>
          </cell>
          <cell r="E3985" t="str">
            <v>SOCIO, EL</v>
          </cell>
          <cell r="F3985" t="str">
            <v>LIBRO</v>
          </cell>
          <cell r="G3985">
            <v>9788483468784</v>
          </cell>
          <cell r="H3985" t="str">
            <v>H. MANCHA</v>
          </cell>
          <cell r="I3985">
            <v>9.3249999999999993</v>
          </cell>
        </row>
        <row r="3986">
          <cell r="A3986" t="str">
            <v>19-03985</v>
          </cell>
          <cell r="B3986" t="str">
            <v>H. MANCHA</v>
          </cell>
          <cell r="C3986" t="str">
            <v>A</v>
          </cell>
          <cell r="D3986" t="str">
            <v>SI</v>
          </cell>
          <cell r="E3986" t="str">
            <v>SOLO UNA NOCHE 1 DESCONOCIDO</v>
          </cell>
          <cell r="F3986" t="str">
            <v>LIBRO</v>
          </cell>
          <cell r="G3986">
            <v>9788466330299</v>
          </cell>
          <cell r="H3986" t="str">
            <v>H. MANCHA</v>
          </cell>
          <cell r="I3986">
            <v>7.1639999999999997</v>
          </cell>
        </row>
        <row r="3987">
          <cell r="A3987" t="str">
            <v>19-03986</v>
          </cell>
          <cell r="B3987" t="str">
            <v>H. MANCHA</v>
          </cell>
          <cell r="C3987" t="str">
            <v>A</v>
          </cell>
          <cell r="D3987" t="str">
            <v>SI</v>
          </cell>
          <cell r="E3987" t="str">
            <v>SOLO UNA NOCHE 2 EXPUESTA</v>
          </cell>
          <cell r="F3987" t="str">
            <v>LIBRO</v>
          </cell>
          <cell r="G3987">
            <v>9788466330305</v>
          </cell>
          <cell r="H3987" t="str">
            <v>H. MANCHA</v>
          </cell>
          <cell r="I3987">
            <v>7.1639999999999997</v>
          </cell>
        </row>
        <row r="3988">
          <cell r="A3988" t="str">
            <v>19-03987</v>
          </cell>
          <cell r="B3988" t="str">
            <v>H. MANCHA</v>
          </cell>
          <cell r="C3988" t="str">
            <v>A</v>
          </cell>
          <cell r="D3988" t="str">
            <v>NO</v>
          </cell>
          <cell r="E3988" t="str">
            <v>SOLO UNA NOCHE 3 CONTRATO BLINDADO</v>
          </cell>
          <cell r="F3988" t="str">
            <v>LIBRO</v>
          </cell>
          <cell r="G3988">
            <v>9788466330312</v>
          </cell>
          <cell r="H3988" t="str">
            <v>H. MANCHA</v>
          </cell>
          <cell r="I3988">
            <v>7.1639999999999997</v>
          </cell>
        </row>
        <row r="3989">
          <cell r="A3989" t="str">
            <v>19-03988</v>
          </cell>
          <cell r="B3989" t="str">
            <v>H. MANCHA</v>
          </cell>
          <cell r="C3989" t="str">
            <v>A</v>
          </cell>
          <cell r="D3989" t="str">
            <v>NO</v>
          </cell>
          <cell r="E3989" t="str">
            <v>TEMOR DE UN HOMBRE SABIO</v>
          </cell>
          <cell r="F3989" t="str">
            <v>LIBRO</v>
          </cell>
          <cell r="G3989">
            <v>9788499899619</v>
          </cell>
          <cell r="H3989" t="str">
            <v>H. MANCHA</v>
          </cell>
          <cell r="I3989">
            <v>10.765000000000001</v>
          </cell>
        </row>
        <row r="3990">
          <cell r="A3990" t="str">
            <v>19-03989</v>
          </cell>
          <cell r="B3990" t="str">
            <v>H. MANCHA</v>
          </cell>
          <cell r="C3990" t="str">
            <v>A</v>
          </cell>
          <cell r="D3990" t="str">
            <v>NO</v>
          </cell>
          <cell r="E3990" t="str">
            <v>TRILOGIA DESATAME 1 DESATAME</v>
          </cell>
          <cell r="F3990" t="str">
            <v>LIBRO</v>
          </cell>
          <cell r="G3990">
            <v>9788490328217</v>
          </cell>
          <cell r="H3990" t="str">
            <v>H. MANCHA</v>
          </cell>
          <cell r="I3990">
            <v>7.1630000000000003</v>
          </cell>
        </row>
        <row r="3991">
          <cell r="A3991" t="str">
            <v>19-03990</v>
          </cell>
          <cell r="B3991" t="str">
            <v>H. MANCHA</v>
          </cell>
          <cell r="C3991" t="str">
            <v>A</v>
          </cell>
          <cell r="D3991" t="str">
            <v>SI</v>
          </cell>
          <cell r="E3991" t="str">
            <v>TRILOGIA DESATAME 2 POSEEME</v>
          </cell>
          <cell r="F3991" t="str">
            <v>LIBRO</v>
          </cell>
          <cell r="G3991">
            <v>9788490329399</v>
          </cell>
          <cell r="H3991" t="str">
            <v>H. MANCHA</v>
          </cell>
          <cell r="I3991">
            <v>6.44</v>
          </cell>
        </row>
        <row r="3992">
          <cell r="A3992" t="str">
            <v>19-03991</v>
          </cell>
          <cell r="B3992" t="str">
            <v>H. MANCHA</v>
          </cell>
          <cell r="C3992" t="str">
            <v>A</v>
          </cell>
          <cell r="D3992" t="str">
            <v>NO</v>
          </cell>
          <cell r="E3992" t="str">
            <v>TRILOGIA DESATAME 3 AMAMAME</v>
          </cell>
          <cell r="F3992" t="str">
            <v>LIBRO</v>
          </cell>
          <cell r="G3992">
            <v>9788490328682</v>
          </cell>
          <cell r="H3992" t="str">
            <v>H. MANCHA</v>
          </cell>
          <cell r="I3992">
            <v>6.4429999999999996</v>
          </cell>
        </row>
        <row r="3993">
          <cell r="A3993" t="str">
            <v>19-03992</v>
          </cell>
          <cell r="B3993" t="str">
            <v>H. MANCHA</v>
          </cell>
          <cell r="C3993" t="str">
            <v>A</v>
          </cell>
          <cell r="D3993" t="str">
            <v>NO</v>
          </cell>
          <cell r="E3993" t="str">
            <v>ULTIMA CANCION</v>
          </cell>
          <cell r="F3993" t="str">
            <v>LIBRO</v>
          </cell>
          <cell r="G3993">
            <v>9788415729747</v>
          </cell>
          <cell r="H3993" t="str">
            <v>H. MANCHA</v>
          </cell>
          <cell r="I3993">
            <v>0</v>
          </cell>
        </row>
        <row r="3994">
          <cell r="A3994" t="str">
            <v>19-03993</v>
          </cell>
          <cell r="B3994" t="str">
            <v>H. MANCHA</v>
          </cell>
          <cell r="C3994" t="str">
            <v>A</v>
          </cell>
          <cell r="D3994" t="str">
            <v>SI</v>
          </cell>
          <cell r="E3994" t="str">
            <v>UN AMANTE DE ENSUENO</v>
          </cell>
          <cell r="F3994" t="str">
            <v>LIBRO</v>
          </cell>
          <cell r="G3994">
            <v>9788499081199</v>
          </cell>
          <cell r="H3994" t="str">
            <v>H. MANCHA</v>
          </cell>
          <cell r="I3994">
            <v>8.6050000000000004</v>
          </cell>
        </row>
        <row r="3995">
          <cell r="A3995" t="str">
            <v>19-03994</v>
          </cell>
          <cell r="B3995" t="str">
            <v>H. MANCHA</v>
          </cell>
          <cell r="C3995" t="str">
            <v>A</v>
          </cell>
          <cell r="D3995" t="str">
            <v>NO</v>
          </cell>
          <cell r="E3995" t="str">
            <v>UN PASEO PARA RECORDAR</v>
          </cell>
          <cell r="F3995" t="str">
            <v>LIBRO</v>
          </cell>
          <cell r="G3995">
            <v>9788492833900</v>
          </cell>
          <cell r="H3995" t="str">
            <v>H. MANCHA</v>
          </cell>
          <cell r="I3995">
            <v>0</v>
          </cell>
        </row>
        <row r="3996">
          <cell r="A3996" t="str">
            <v>19-03995</v>
          </cell>
          <cell r="B3996" t="str">
            <v>H. MANCHA</v>
          </cell>
          <cell r="C3996" t="str">
            <v>A</v>
          </cell>
          <cell r="D3996" t="str">
            <v>NO</v>
          </cell>
          <cell r="E3996" t="str">
            <v>UNIVERSO EN UN SOLO ATOMO - DALAI LAMA</v>
          </cell>
          <cell r="F3996" t="str">
            <v>LIBRO</v>
          </cell>
          <cell r="G3996">
            <v>9788483462928</v>
          </cell>
          <cell r="H3996" t="str">
            <v>H. MANCHA</v>
          </cell>
          <cell r="I3996">
            <v>0</v>
          </cell>
        </row>
        <row r="3997">
          <cell r="A3997" t="str">
            <v>19-03996</v>
          </cell>
          <cell r="B3997" t="str">
            <v>H. MANCHA</v>
          </cell>
          <cell r="C3997" t="str">
            <v>A</v>
          </cell>
          <cell r="D3997" t="str">
            <v>NO</v>
          </cell>
          <cell r="E3997" t="str">
            <v>VERDAD SOBRE EL CASO HARRY QUEBERT - JOEL DICKER</v>
          </cell>
          <cell r="F3997" t="str">
            <v>LIBRO</v>
          </cell>
          <cell r="G3997">
            <v>9788466332286</v>
          </cell>
          <cell r="H3997" t="str">
            <v>H. MANCHA</v>
          </cell>
          <cell r="I3997">
            <v>0</v>
          </cell>
        </row>
        <row r="3998">
          <cell r="A3998" t="str">
            <v>19-03997</v>
          </cell>
          <cell r="B3998" t="str">
            <v>H. MANCHA</v>
          </cell>
          <cell r="C3998" t="str">
            <v>A</v>
          </cell>
          <cell r="D3998" t="str">
            <v>SI</v>
          </cell>
          <cell r="E3998" t="str">
            <v>7 HABITOS DE LA GENTE ALTAMENTE EFECTIVA - STEPHEN COVEY</v>
          </cell>
          <cell r="F3998" t="str">
            <v>LIBRO</v>
          </cell>
          <cell r="G3998">
            <v>9786079377069</v>
          </cell>
          <cell r="H3998" t="str">
            <v>H. MANCHA</v>
          </cell>
          <cell r="I3998">
            <v>17.963000000000001</v>
          </cell>
        </row>
        <row r="3999">
          <cell r="A3999" t="str">
            <v>19-03998</v>
          </cell>
          <cell r="B3999" t="str">
            <v>H. MANCHA</v>
          </cell>
          <cell r="C3999" t="str">
            <v>A</v>
          </cell>
          <cell r="D3999" t="str">
            <v>SI</v>
          </cell>
          <cell r="E3999" t="str">
            <v>A TRES METROS SOBRE EL CIELO - FEDERICO MOCCIA</v>
          </cell>
          <cell r="F3999" t="str">
            <v>LIBRO</v>
          </cell>
          <cell r="G3999">
            <v>9788408110491</v>
          </cell>
          <cell r="H3999" t="str">
            <v>H. MANCHA</v>
          </cell>
          <cell r="I3999">
            <v>7.1639999999999997</v>
          </cell>
        </row>
        <row r="4000">
          <cell r="A4000" t="str">
            <v>19-03999</v>
          </cell>
          <cell r="B4000" t="str">
            <v>H. MANCHA</v>
          </cell>
          <cell r="C4000" t="str">
            <v>A</v>
          </cell>
          <cell r="D4000" t="str">
            <v>NO</v>
          </cell>
          <cell r="E4000" t="str">
            <v>AMATE Y SANA TU VIDA - LOUISE HAY</v>
          </cell>
          <cell r="F4000" t="str">
            <v>LIBRO</v>
          </cell>
          <cell r="G4000">
            <v>9789681323936</v>
          </cell>
          <cell r="H4000" t="str">
            <v>H. MANCHA</v>
          </cell>
          <cell r="I4000">
            <v>10.044</v>
          </cell>
        </row>
        <row r="4001">
          <cell r="A4001" t="str">
            <v>19-04000</v>
          </cell>
          <cell r="B4001" t="str">
            <v>H. MANCHA</v>
          </cell>
          <cell r="C4001" t="str">
            <v>A</v>
          </cell>
          <cell r="D4001" t="str">
            <v>SI</v>
          </cell>
          <cell r="E4001" t="str">
            <v>ANGELES Y DEMONIOS - DAN BROWN</v>
          </cell>
          <cell r="F4001" t="str">
            <v>LIBRO</v>
          </cell>
          <cell r="G4001">
            <v>9788408099239</v>
          </cell>
          <cell r="H4001" t="str">
            <v>H. MANCHA</v>
          </cell>
          <cell r="I4001">
            <v>11.484</v>
          </cell>
        </row>
        <row r="4002">
          <cell r="A4002" t="str">
            <v>19-04001</v>
          </cell>
          <cell r="B4002" t="str">
            <v>H. MANCHA</v>
          </cell>
          <cell r="C4002" t="str">
            <v>A</v>
          </cell>
          <cell r="D4002" t="str">
            <v>SI</v>
          </cell>
          <cell r="E4002" t="str">
            <v>BUEN LECTOR SE HACE NO NACE - FELIPE GARRIDO</v>
          </cell>
          <cell r="F4002" t="str">
            <v>LIBRO</v>
          </cell>
          <cell r="G4002">
            <v>9786079377519</v>
          </cell>
          <cell r="H4002" t="str">
            <v>H. MANCHA</v>
          </cell>
          <cell r="I4002">
            <v>10.763</v>
          </cell>
        </row>
        <row r="4003">
          <cell r="A4003" t="str">
            <v>19-04002</v>
          </cell>
          <cell r="B4003" t="str">
            <v>H. MANCHA</v>
          </cell>
          <cell r="C4003" t="str">
            <v>A</v>
          </cell>
          <cell r="D4003" t="str">
            <v>SI</v>
          </cell>
          <cell r="E4003" t="str">
            <v>CABALLO DE TROYA 1 JERUS</v>
          </cell>
          <cell r="F4003" t="str">
            <v>LIBRO</v>
          </cell>
          <cell r="G4003">
            <v>9786070709548</v>
          </cell>
          <cell r="H4003" t="str">
            <v>H. MANCHA</v>
          </cell>
          <cell r="I4003">
            <v>15.803000000000001</v>
          </cell>
        </row>
        <row r="4004">
          <cell r="A4004" t="str">
            <v>19-04003</v>
          </cell>
          <cell r="B4004" t="str">
            <v>H. MANCHA</v>
          </cell>
          <cell r="C4004" t="str">
            <v>A</v>
          </cell>
          <cell r="D4004" t="str">
            <v>SI</v>
          </cell>
          <cell r="E4004" t="str">
            <v>CODIGO DA VINCI - DAN BROWN</v>
          </cell>
          <cell r="F4004" t="str">
            <v>LIBRO</v>
          </cell>
          <cell r="G4004">
            <v>9788408095330</v>
          </cell>
          <cell r="H4004" t="str">
            <v>H. MANCHA</v>
          </cell>
          <cell r="I4004">
            <v>12.923</v>
          </cell>
        </row>
        <row r="4005">
          <cell r="A4005" t="str">
            <v>19-04004</v>
          </cell>
          <cell r="B4005" t="str">
            <v>H. MANCHA</v>
          </cell>
          <cell r="C4005" t="str">
            <v>A</v>
          </cell>
          <cell r="D4005" t="str">
            <v>NO</v>
          </cell>
          <cell r="E4005" t="str">
            <v>CONFESIONES DE YUYA</v>
          </cell>
          <cell r="F4005" t="str">
            <v>LIBRO</v>
          </cell>
          <cell r="G4005">
            <v>9786070729997</v>
          </cell>
          <cell r="H4005" t="str">
            <v>H. MANCHA</v>
          </cell>
          <cell r="I4005">
            <v>9.3249999999999993</v>
          </cell>
        </row>
        <row r="4006">
          <cell r="A4006" t="str">
            <v>19-04005</v>
          </cell>
          <cell r="B4006" t="str">
            <v>H. MANCHA</v>
          </cell>
          <cell r="C4006" t="str">
            <v>A</v>
          </cell>
          <cell r="D4006" t="str">
            <v>SI</v>
          </cell>
          <cell r="E4006" t="str">
            <v>CONFUCIO Y LA MAQUINA DE CAFE - JOSE HERMIDA</v>
          </cell>
          <cell r="F4006" t="str">
            <v>LIBRO</v>
          </cell>
          <cell r="G4006">
            <v>9786070731358</v>
          </cell>
          <cell r="H4006" t="str">
            <v>H. MANCHA</v>
          </cell>
          <cell r="I4006">
            <v>9.3230000000000004</v>
          </cell>
        </row>
        <row r="4007">
          <cell r="A4007" t="str">
            <v>19-04006</v>
          </cell>
          <cell r="B4007" t="str">
            <v>H. MANCHA</v>
          </cell>
          <cell r="C4007" t="str">
            <v>A</v>
          </cell>
          <cell r="D4007" t="str">
            <v>NO</v>
          </cell>
          <cell r="E4007" t="str">
            <v>COSAS QUE NO NOS DIJIMOS - MARC LEVY</v>
          </cell>
          <cell r="F4007" t="str">
            <v>LIBRO</v>
          </cell>
          <cell r="G4007">
            <v>9788408094036</v>
          </cell>
          <cell r="H4007" t="str">
            <v>H. MANCHA</v>
          </cell>
          <cell r="I4007">
            <v>0</v>
          </cell>
        </row>
        <row r="4008">
          <cell r="A4008" t="str">
            <v>19-04007</v>
          </cell>
          <cell r="B4008" t="str">
            <v>H. MANCHA</v>
          </cell>
          <cell r="C4008" t="str">
            <v>A</v>
          </cell>
          <cell r="D4008" t="str">
            <v>SI</v>
          </cell>
          <cell r="E4008" t="str">
            <v>DIOS NUNCA PARPADEA - REGINA BRETT</v>
          </cell>
          <cell r="F4008" t="str">
            <v>LIBRO</v>
          </cell>
          <cell r="G4008">
            <v>9786070706806</v>
          </cell>
          <cell r="H4008" t="str">
            <v>H. MANCHA</v>
          </cell>
          <cell r="I4008">
            <v>12.923</v>
          </cell>
        </row>
        <row r="4009">
          <cell r="A4009" t="str">
            <v>19-04008</v>
          </cell>
          <cell r="B4009" t="str">
            <v>H. MANCHA</v>
          </cell>
          <cell r="C4009" t="str">
            <v>A</v>
          </cell>
          <cell r="D4009" t="str">
            <v>SI</v>
          </cell>
          <cell r="E4009" t="str">
            <v>DISNEY ALICIA EN EL PAIS</v>
          </cell>
          <cell r="F4009" t="str">
            <v>LIBRO</v>
          </cell>
          <cell r="G4009">
            <v>9786070717659</v>
          </cell>
          <cell r="H4009" t="str">
            <v>H. MANCHA</v>
          </cell>
          <cell r="I4009">
            <v>7.165</v>
          </cell>
        </row>
        <row r="4010">
          <cell r="A4010" t="str">
            <v>19-04009</v>
          </cell>
          <cell r="B4010" t="str">
            <v>H. MANCHA</v>
          </cell>
          <cell r="C4010" t="str">
            <v>A</v>
          </cell>
          <cell r="D4010" t="str">
            <v>SI</v>
          </cell>
          <cell r="E4010" t="str">
            <v>DISNEY DAMA Y EL VAGABUNDO</v>
          </cell>
          <cell r="F4010" t="str">
            <v>LIBRO</v>
          </cell>
          <cell r="G4010">
            <v>9786070717581</v>
          </cell>
          <cell r="H4010" t="str">
            <v>H. MANCHA</v>
          </cell>
          <cell r="I4010">
            <v>7.1639999999999997</v>
          </cell>
        </row>
        <row r="4011">
          <cell r="A4011" t="str">
            <v>19-04010</v>
          </cell>
          <cell r="B4011" t="str">
            <v>H. MANCHA</v>
          </cell>
          <cell r="C4011" t="str">
            <v>A</v>
          </cell>
          <cell r="D4011" t="str">
            <v>SI</v>
          </cell>
          <cell r="E4011" t="str">
            <v>EN BUSCA DE SPINOZA</v>
          </cell>
          <cell r="F4011" t="str">
            <v>LIBRO</v>
          </cell>
          <cell r="G4011">
            <v>9786077471295</v>
          </cell>
          <cell r="H4011" t="str">
            <v>H. MANCHA</v>
          </cell>
          <cell r="I4011">
            <v>10.044</v>
          </cell>
        </row>
        <row r="4012">
          <cell r="A4012" t="str">
            <v>19-04011</v>
          </cell>
          <cell r="B4012" t="str">
            <v>H. MANCHA</v>
          </cell>
          <cell r="C4012" t="str">
            <v>A</v>
          </cell>
          <cell r="D4012" t="str">
            <v>SI</v>
          </cell>
          <cell r="E4012" t="str">
            <v>ESTA NOCHE DIME QUE ME QUIERES - FEDERICO MOCCIA</v>
          </cell>
          <cell r="F4012" t="str">
            <v>LIBRO</v>
          </cell>
          <cell r="G4012">
            <v>9788408044710</v>
          </cell>
          <cell r="H4012" t="str">
            <v>H. MANCHA</v>
          </cell>
          <cell r="I4012">
            <v>10.042999999999999</v>
          </cell>
        </row>
        <row r="4013">
          <cell r="A4013" t="str">
            <v>19-04012</v>
          </cell>
          <cell r="B4013" t="str">
            <v>H. MANCHA</v>
          </cell>
          <cell r="C4013" t="str">
            <v>A</v>
          </cell>
          <cell r="D4013" t="str">
            <v>SI</v>
          </cell>
          <cell r="E4013" t="str">
            <v>ETICA PARA AMADOR</v>
          </cell>
          <cell r="F4013" t="str">
            <v>LIBRO</v>
          </cell>
          <cell r="G4013">
            <v>9788434413528</v>
          </cell>
          <cell r="H4013" t="str">
            <v>H. MANCHA</v>
          </cell>
          <cell r="I4013">
            <v>12.923</v>
          </cell>
        </row>
        <row r="4014">
          <cell r="A4014" t="str">
            <v>19-04013</v>
          </cell>
          <cell r="B4014" t="str">
            <v>H. MANCHA</v>
          </cell>
          <cell r="C4014" t="str">
            <v>A</v>
          </cell>
          <cell r="D4014" t="str">
            <v>SI</v>
          </cell>
          <cell r="E4014" t="str">
            <v>EXTRANJERO, EL</v>
          </cell>
          <cell r="F4014" t="str">
            <v>LIBRO</v>
          </cell>
          <cell r="G4014">
            <v>9789500427777</v>
          </cell>
          <cell r="H4014" t="str">
            <v>H. MANCHA</v>
          </cell>
          <cell r="I4014">
            <v>12.923</v>
          </cell>
        </row>
        <row r="4015">
          <cell r="A4015" t="str">
            <v>19-04014</v>
          </cell>
          <cell r="B4015" t="str">
            <v>H. MANCHA</v>
          </cell>
          <cell r="C4015" t="str">
            <v>A</v>
          </cell>
          <cell r="D4015" t="str">
            <v>SI</v>
          </cell>
          <cell r="E4015" t="str">
            <v>FAHRENHEIT 451</v>
          </cell>
          <cell r="F4015" t="str">
            <v>LIBRO</v>
          </cell>
          <cell r="G4015">
            <v>9789703707034</v>
          </cell>
          <cell r="H4015" t="str">
            <v>H. MANCHA</v>
          </cell>
          <cell r="I4015">
            <v>10.763</v>
          </cell>
        </row>
        <row r="4016">
          <cell r="A4016" t="str">
            <v>19-04015</v>
          </cell>
          <cell r="B4016" t="str">
            <v>H. MANCHA</v>
          </cell>
          <cell r="C4016" t="str">
            <v>A</v>
          </cell>
          <cell r="D4016" t="str">
            <v>SI</v>
          </cell>
          <cell r="E4016" t="str">
            <v>HERMOSAS CRIATURAS BOOKE</v>
          </cell>
          <cell r="F4016" t="str">
            <v>LIBRO</v>
          </cell>
          <cell r="G4016">
            <v>9786070731365</v>
          </cell>
          <cell r="H4016" t="str">
            <v>H. MANCHA</v>
          </cell>
          <cell r="I4016">
            <v>9.3249999999999993</v>
          </cell>
        </row>
        <row r="4017">
          <cell r="A4017" t="str">
            <v>19-04016</v>
          </cell>
          <cell r="B4017" t="str">
            <v>H. MANCHA</v>
          </cell>
          <cell r="C4017" t="str">
            <v>A</v>
          </cell>
          <cell r="D4017" t="str">
            <v>NO</v>
          </cell>
          <cell r="E4017" t="str">
            <v>HIJOS DE HURIN, LOS</v>
          </cell>
          <cell r="F4017" t="str">
            <v>LIBRO</v>
          </cell>
          <cell r="G4017">
            <v>9788445077276</v>
          </cell>
          <cell r="H4017" t="str">
            <v>H. MANCHA</v>
          </cell>
          <cell r="I4017">
            <v>12.923999999999999</v>
          </cell>
        </row>
        <row r="4018">
          <cell r="A4018" t="str">
            <v>19-04017</v>
          </cell>
          <cell r="B4018" t="str">
            <v>H. MANCHA</v>
          </cell>
          <cell r="C4018" t="str">
            <v>A</v>
          </cell>
          <cell r="D4018" t="str">
            <v>SI</v>
          </cell>
          <cell r="E4018" t="str">
            <v>IMPERIO ERES TU</v>
          </cell>
          <cell r="F4018" t="str">
            <v>LIBRO</v>
          </cell>
          <cell r="G4018">
            <v>9786070731884</v>
          </cell>
          <cell r="H4018" t="str">
            <v>H. MANCHA</v>
          </cell>
          <cell r="I4018">
            <v>11.484</v>
          </cell>
        </row>
        <row r="4019">
          <cell r="A4019" t="str">
            <v>19-04018</v>
          </cell>
          <cell r="B4019" t="str">
            <v>H. MANCHA</v>
          </cell>
          <cell r="C4019" t="str">
            <v>A</v>
          </cell>
          <cell r="D4019" t="str">
            <v>SI</v>
          </cell>
          <cell r="E4019" t="str">
            <v>JUEGO DEL ANGEL ED2014</v>
          </cell>
          <cell r="F4019" t="str">
            <v>LIBRO</v>
          </cell>
          <cell r="G4019">
            <v>9786070720888</v>
          </cell>
          <cell r="H4019" t="str">
            <v>H. MANCHA</v>
          </cell>
          <cell r="I4019">
            <v>11.484</v>
          </cell>
        </row>
        <row r="4020">
          <cell r="A4020" t="str">
            <v>19-04019</v>
          </cell>
          <cell r="B4020" t="str">
            <v>H. MANCHA</v>
          </cell>
          <cell r="C4020" t="str">
            <v>A</v>
          </cell>
          <cell r="D4020" t="str">
            <v>SI</v>
          </cell>
          <cell r="E4020" t="str">
            <v>LO QUE FREUD LE DIRIA A SPIELBERG - SAMER SOUFI</v>
          </cell>
          <cell r="F4020" t="str">
            <v>LIBRO</v>
          </cell>
          <cell r="G4020">
            <v>9786070728990</v>
          </cell>
          <cell r="H4020" t="str">
            <v>H. MANCHA</v>
          </cell>
          <cell r="I4020">
            <v>13.643000000000001</v>
          </cell>
        </row>
        <row r="4021">
          <cell r="A4021" t="str">
            <v>19-04020</v>
          </cell>
          <cell r="B4021" t="str">
            <v>H. MANCHA</v>
          </cell>
          <cell r="C4021" t="str">
            <v>A</v>
          </cell>
          <cell r="D4021" t="str">
            <v>SI</v>
          </cell>
          <cell r="E4021" t="str">
            <v>LUCES DE SEPTIEMBRE, LAS</v>
          </cell>
          <cell r="F4021" t="str">
            <v>LIBRO</v>
          </cell>
          <cell r="G4021">
            <v>9788408080794</v>
          </cell>
          <cell r="H4021" t="str">
            <v>H. MANCHA</v>
          </cell>
          <cell r="I4021">
            <v>11.484</v>
          </cell>
        </row>
        <row r="4022">
          <cell r="A4022" t="str">
            <v>19-04021</v>
          </cell>
          <cell r="B4022" t="str">
            <v>H. MANCHA</v>
          </cell>
          <cell r="C4022" t="str">
            <v>A</v>
          </cell>
          <cell r="D4022" t="str">
            <v>NO</v>
          </cell>
          <cell r="E4022" t="str">
            <v>PASION INDIA</v>
          </cell>
          <cell r="F4022" t="str">
            <v>LIBRO</v>
          </cell>
          <cell r="G4022">
            <v>9788432217777</v>
          </cell>
          <cell r="H4022" t="str">
            <v>H. MANCHA</v>
          </cell>
          <cell r="I4022">
            <v>9.3239999999999998</v>
          </cell>
        </row>
        <row r="4023">
          <cell r="A4023" t="str">
            <v>19-04022</v>
          </cell>
          <cell r="B4023" t="str">
            <v>H. MANCHA</v>
          </cell>
          <cell r="C4023" t="str">
            <v>A</v>
          </cell>
          <cell r="D4023" t="str">
            <v>SI</v>
          </cell>
          <cell r="E4023" t="str">
            <v>PERDONA SI TE LLAMO AMOR</v>
          </cell>
          <cell r="F4023" t="str">
            <v>LIBRO</v>
          </cell>
          <cell r="G4023">
            <v>9788408087670</v>
          </cell>
          <cell r="H4023" t="str">
            <v>H. MANCHA</v>
          </cell>
          <cell r="I4023">
            <v>9.3239999999999998</v>
          </cell>
        </row>
        <row r="4024">
          <cell r="A4024" t="str">
            <v>19-04023</v>
          </cell>
          <cell r="B4024" t="str">
            <v>H. MANCHA</v>
          </cell>
          <cell r="C4024" t="str">
            <v>A</v>
          </cell>
          <cell r="D4024" t="str">
            <v>NO</v>
          </cell>
          <cell r="E4024" t="str">
            <v>PERFECTA CABRONA EN EL TRABAJO</v>
          </cell>
          <cell r="F4024" t="str">
            <v>LIBRO</v>
          </cell>
          <cell r="G4024">
            <v>9789681343651</v>
          </cell>
          <cell r="H4024" t="str">
            <v>H. MANCHA</v>
          </cell>
          <cell r="I4024">
            <v>0</v>
          </cell>
        </row>
        <row r="4025">
          <cell r="A4025" t="str">
            <v>19-04024</v>
          </cell>
          <cell r="B4025" t="str">
            <v>H. MANCHA</v>
          </cell>
          <cell r="C4025" t="str">
            <v>A</v>
          </cell>
          <cell r="D4025" t="str">
            <v>SI</v>
          </cell>
          <cell r="E4025" t="str">
            <v>PERFUME, EL</v>
          </cell>
          <cell r="F4025" t="str">
            <v>LIBRO</v>
          </cell>
          <cell r="G4025">
            <v>9786070726873</v>
          </cell>
          <cell r="H4025" t="str">
            <v>H. MANCHA</v>
          </cell>
          <cell r="I4025">
            <v>7.1630000000000003</v>
          </cell>
        </row>
        <row r="4026">
          <cell r="A4026" t="str">
            <v>19-04025</v>
          </cell>
          <cell r="B4026" t="str">
            <v>H. MANCHA</v>
          </cell>
          <cell r="C4026" t="str">
            <v>A</v>
          </cell>
          <cell r="D4026" t="str">
            <v>SI</v>
          </cell>
          <cell r="E4026" t="str">
            <v>PERSONA NORMAL</v>
          </cell>
          <cell r="F4026" t="str">
            <v>LIBRO</v>
          </cell>
          <cell r="G4026">
            <v>9786070715082</v>
          </cell>
          <cell r="H4026" t="str">
            <v>H. MANCHA</v>
          </cell>
          <cell r="I4026">
            <v>7.1639999999999997</v>
          </cell>
        </row>
        <row r="4027">
          <cell r="A4027" t="str">
            <v>19-04026</v>
          </cell>
          <cell r="B4027" t="str">
            <v>H. MANCHA</v>
          </cell>
          <cell r="C4027" t="str">
            <v>A</v>
          </cell>
          <cell r="D4027" t="str">
            <v>SI</v>
          </cell>
          <cell r="E4027" t="str">
            <v>PIDEME LO QUE QUIERAS Y YO TE LO DARE - MEGAN MAXWELL</v>
          </cell>
          <cell r="F4027" t="str">
            <v>LIBRO</v>
          </cell>
          <cell r="G4027">
            <v>9786070732461</v>
          </cell>
          <cell r="H4027" t="str">
            <v>H. MANCHA</v>
          </cell>
          <cell r="I4027">
            <v>15.084</v>
          </cell>
        </row>
        <row r="4028">
          <cell r="A4028" t="str">
            <v>19-04027</v>
          </cell>
          <cell r="B4028" t="str">
            <v>H. MANCHA</v>
          </cell>
          <cell r="C4028" t="str">
            <v>A</v>
          </cell>
          <cell r="D4028" t="str">
            <v>SI</v>
          </cell>
          <cell r="E4028" t="str">
            <v>POLITICA PARA AMADOR - FERNANDO SAVATER</v>
          </cell>
          <cell r="F4028" t="str">
            <v>LIBRO</v>
          </cell>
          <cell r="G4028">
            <v>9786079202279</v>
          </cell>
          <cell r="H4028" t="str">
            <v>H. MANCHA</v>
          </cell>
          <cell r="I4028">
            <v>12.923</v>
          </cell>
        </row>
        <row r="4029">
          <cell r="A4029" t="str">
            <v>19-04028</v>
          </cell>
          <cell r="B4029" t="str">
            <v>H. MANCHA</v>
          </cell>
          <cell r="C4029" t="str">
            <v>A</v>
          </cell>
          <cell r="D4029" t="str">
            <v>SI</v>
          </cell>
          <cell r="E4029" t="str">
            <v>PRIMER DIA</v>
          </cell>
          <cell r="F4029" t="str">
            <v>LIBRO</v>
          </cell>
          <cell r="G4029">
            <v>9788408099253</v>
          </cell>
          <cell r="H4029" t="str">
            <v>H. MANCHA</v>
          </cell>
          <cell r="I4029">
            <v>12.923</v>
          </cell>
        </row>
        <row r="4030">
          <cell r="A4030" t="str">
            <v>19-04029</v>
          </cell>
          <cell r="B4030" t="str">
            <v>H. MANCHA</v>
          </cell>
          <cell r="C4030" t="str">
            <v>A</v>
          </cell>
          <cell r="D4030" t="str">
            <v>SI</v>
          </cell>
          <cell r="E4030" t="str">
            <v>PRIMERA NOCHE</v>
          </cell>
          <cell r="F4030" t="str">
            <v>LIBRO</v>
          </cell>
          <cell r="G4030">
            <v>9788408110507</v>
          </cell>
          <cell r="H4030" t="str">
            <v>H. MANCHA</v>
          </cell>
          <cell r="I4030">
            <v>12.202999999999999</v>
          </cell>
        </row>
        <row r="4031">
          <cell r="A4031" t="str">
            <v>19-04030</v>
          </cell>
          <cell r="B4031" t="str">
            <v>H. MANCHA</v>
          </cell>
          <cell r="C4031" t="str">
            <v>A</v>
          </cell>
          <cell r="D4031" t="str">
            <v>NO</v>
          </cell>
          <cell r="E4031" t="str">
            <v>PRINCIPITO, EL</v>
          </cell>
          <cell r="F4031" t="str">
            <v>LIBRO</v>
          </cell>
          <cell r="G4031">
            <v>9789500426404</v>
          </cell>
          <cell r="H4031" t="str">
            <v>H. MANCHA</v>
          </cell>
          <cell r="I4031">
            <v>5.7240000000000002</v>
          </cell>
        </row>
        <row r="4032">
          <cell r="A4032" t="str">
            <v>19-04031</v>
          </cell>
          <cell r="B4032" t="str">
            <v>H. MANCHA</v>
          </cell>
          <cell r="C4032" t="str">
            <v>A</v>
          </cell>
          <cell r="D4032" t="str">
            <v>SI</v>
          </cell>
          <cell r="E4032" t="str">
            <v>PRISIONERO DEL CIELO</v>
          </cell>
          <cell r="F4032" t="str">
            <v>LIBRO</v>
          </cell>
          <cell r="G4032">
            <v>9788408112303</v>
          </cell>
          <cell r="H4032" t="str">
            <v>H. MANCHA</v>
          </cell>
          <cell r="I4032">
            <v>12.923</v>
          </cell>
        </row>
        <row r="4033">
          <cell r="A4033" t="str">
            <v>19-04032</v>
          </cell>
          <cell r="B4033" t="str">
            <v>H. MANCHA</v>
          </cell>
          <cell r="C4033" t="str">
            <v>A</v>
          </cell>
          <cell r="D4033" t="str">
            <v>NO</v>
          </cell>
          <cell r="E4033" t="str">
            <v>REBELION DE LUCIFER, LA</v>
          </cell>
          <cell r="F4033" t="str">
            <v>LIBRO</v>
          </cell>
          <cell r="G4033">
            <v>9786070728174</v>
          </cell>
          <cell r="H4033" t="str">
            <v>H. MANCHA</v>
          </cell>
          <cell r="I4033">
            <v>0</v>
          </cell>
        </row>
        <row r="4034">
          <cell r="A4034" t="str">
            <v>19-04033</v>
          </cell>
          <cell r="B4034" t="str">
            <v>H. MANCHA</v>
          </cell>
          <cell r="C4034" t="str">
            <v>A</v>
          </cell>
          <cell r="D4034" t="str">
            <v>NO</v>
          </cell>
          <cell r="E4034" t="str">
            <v>SANADOR DE CABALLOS</v>
          </cell>
          <cell r="F4034" t="str">
            <v>LIBRO</v>
          </cell>
          <cell r="G4034">
            <v>9786070730610</v>
          </cell>
          <cell r="H4034" t="str">
            <v>H. MANCHA</v>
          </cell>
          <cell r="I4034">
            <v>20.123000000000001</v>
          </cell>
        </row>
        <row r="4035">
          <cell r="A4035" t="str">
            <v>19-04034</v>
          </cell>
          <cell r="B4035" t="str">
            <v>H. MANCHA</v>
          </cell>
          <cell r="C4035" t="str">
            <v>A</v>
          </cell>
          <cell r="D4035" t="str">
            <v>NO</v>
          </cell>
          <cell r="E4035" t="str">
            <v>SELLO DE LOS TRECE MASON</v>
          </cell>
          <cell r="F4035" t="str">
            <v>LIBRO</v>
          </cell>
          <cell r="G4035">
            <v>9786070732379</v>
          </cell>
          <cell r="H4035" t="str">
            <v>H. MANCHA</v>
          </cell>
          <cell r="I4035">
            <v>13.643000000000001</v>
          </cell>
        </row>
        <row r="4036">
          <cell r="A4036" t="str">
            <v>19-04035</v>
          </cell>
          <cell r="B4036" t="str">
            <v>H. MANCHA</v>
          </cell>
          <cell r="C4036" t="str">
            <v>A</v>
          </cell>
          <cell r="D4036" t="str">
            <v>NO</v>
          </cell>
          <cell r="E4036" t="str">
            <v>SENOR DE LOS ANILLOS I - JRR TOLKIEN</v>
          </cell>
          <cell r="F4036" t="str">
            <v>LIBRO</v>
          </cell>
          <cell r="G4036">
            <v>9788445000663</v>
          </cell>
          <cell r="H4036" t="str">
            <v>H. MANCHA</v>
          </cell>
          <cell r="I4036">
            <v>11.484</v>
          </cell>
        </row>
        <row r="4037">
          <cell r="A4037" t="str">
            <v>19-04036</v>
          </cell>
          <cell r="B4037" t="str">
            <v>H. MANCHA</v>
          </cell>
          <cell r="C4037" t="str">
            <v>A</v>
          </cell>
          <cell r="D4037" t="str">
            <v>NO</v>
          </cell>
          <cell r="E4037" t="str">
            <v>SENOR DE LOS ANILLOS II - JRR TOLKIEN</v>
          </cell>
          <cell r="F4037" t="str">
            <v>LIBRO</v>
          </cell>
          <cell r="G4037">
            <v>9788445000670</v>
          </cell>
          <cell r="H4037" t="str">
            <v>H. MANCHA</v>
          </cell>
          <cell r="I4037">
            <v>11.484999999999999</v>
          </cell>
        </row>
        <row r="4038">
          <cell r="A4038" t="str">
            <v>19-04037</v>
          </cell>
          <cell r="B4038" t="str">
            <v>H. MANCHA</v>
          </cell>
          <cell r="C4038" t="str">
            <v>A</v>
          </cell>
          <cell r="D4038" t="str">
            <v>NO</v>
          </cell>
          <cell r="E4038" t="str">
            <v>SENOR DE LOS ANILLOS III - JRR TOLKIEN</v>
          </cell>
          <cell r="F4038" t="str">
            <v>LIBRO</v>
          </cell>
          <cell r="G4038">
            <v>9788445000687</v>
          </cell>
          <cell r="H4038" t="str">
            <v>H. MANCHA</v>
          </cell>
          <cell r="I4038">
            <v>11.484</v>
          </cell>
        </row>
        <row r="4039">
          <cell r="A4039" t="str">
            <v>19-04038</v>
          </cell>
          <cell r="B4039" t="str">
            <v>H. MANCHA</v>
          </cell>
          <cell r="C4039" t="str">
            <v>A</v>
          </cell>
          <cell r="D4039" t="str">
            <v>SI</v>
          </cell>
          <cell r="E4039" t="str">
            <v>SILMARILLION, EL</v>
          </cell>
          <cell r="F4039" t="str">
            <v>LIBRO</v>
          </cell>
          <cell r="G4039">
            <v>9788445077535</v>
          </cell>
          <cell r="H4039" t="str">
            <v>H. MANCHA</v>
          </cell>
          <cell r="I4039">
            <v>11.484</v>
          </cell>
        </row>
        <row r="4040">
          <cell r="A4040" t="str">
            <v>19-04039</v>
          </cell>
          <cell r="B4040" t="str">
            <v>H. MANCHA</v>
          </cell>
          <cell r="C4040" t="str">
            <v>A</v>
          </cell>
          <cell r="D4040" t="str">
            <v>NO</v>
          </cell>
          <cell r="E4040" t="str">
            <v>SOMBRA DEL VIENTO</v>
          </cell>
          <cell r="F4040" t="str">
            <v>LIBRO</v>
          </cell>
          <cell r="G4040">
            <v>9786070721632</v>
          </cell>
          <cell r="H4040" t="str">
            <v>H. MANCHA</v>
          </cell>
          <cell r="I4040">
            <v>10.763999999999999</v>
          </cell>
        </row>
        <row r="4041">
          <cell r="A4041" t="str">
            <v>19-04040</v>
          </cell>
          <cell r="B4041" t="str">
            <v>H. MANCHA</v>
          </cell>
          <cell r="C4041" t="str">
            <v>A</v>
          </cell>
          <cell r="D4041" t="str">
            <v>SI</v>
          </cell>
          <cell r="E4041" t="str">
            <v>TENGO GANAS DE TI</v>
          </cell>
          <cell r="F4041" t="str">
            <v>LIBRO</v>
          </cell>
          <cell r="G4041">
            <v>9788408093978</v>
          </cell>
          <cell r="H4041" t="str">
            <v>H. MANCHA</v>
          </cell>
          <cell r="I4041">
            <v>8.6039999999999992</v>
          </cell>
        </row>
        <row r="4042">
          <cell r="A4042" t="str">
            <v>19-04041</v>
          </cell>
          <cell r="B4042" t="str">
            <v>H. MANCHA</v>
          </cell>
          <cell r="C4042" t="str">
            <v>A</v>
          </cell>
          <cell r="D4042" t="str">
            <v>NO</v>
          </cell>
          <cell r="E4042" t="str">
            <v>TIEMPO ENTRE COSTURAS PO</v>
          </cell>
          <cell r="F4042" t="str">
            <v>LIBRO</v>
          </cell>
          <cell r="G4042">
            <v>9788499983509</v>
          </cell>
          <cell r="H4042" t="str">
            <v>H. MANCHA</v>
          </cell>
          <cell r="I4042">
            <v>11.484999999999999</v>
          </cell>
        </row>
        <row r="4043">
          <cell r="A4043" t="str">
            <v>19-04042</v>
          </cell>
          <cell r="B4043" t="str">
            <v>H. MANCHA</v>
          </cell>
          <cell r="C4043" t="str">
            <v>A</v>
          </cell>
          <cell r="D4043" t="str">
            <v>SI</v>
          </cell>
          <cell r="E4043" t="str">
            <v>UN BURKA POR AMOR</v>
          </cell>
          <cell r="F4043" t="str">
            <v>LIBRO</v>
          </cell>
          <cell r="G4043">
            <v>9788484607373</v>
          </cell>
          <cell r="H4043" t="str">
            <v>H. MANCHA</v>
          </cell>
          <cell r="I4043">
            <v>9.3239999999999998</v>
          </cell>
        </row>
        <row r="4044">
          <cell r="A4044" t="str">
            <v>19-04043</v>
          </cell>
          <cell r="B4044" t="str">
            <v>H. MANCHA</v>
          </cell>
          <cell r="C4044" t="str">
            <v>A</v>
          </cell>
          <cell r="D4044" t="str">
            <v>SI</v>
          </cell>
          <cell r="E4044" t="str">
            <v>AFGANO, EL</v>
          </cell>
          <cell r="F4044" t="str">
            <v>LIBRO</v>
          </cell>
          <cell r="G4044">
            <v>9788483465530</v>
          </cell>
          <cell r="H4044" t="str">
            <v>H. MANCHA</v>
          </cell>
          <cell r="I4044">
            <v>8.6029999999999998</v>
          </cell>
        </row>
        <row r="4045">
          <cell r="A4045" t="str">
            <v>19-04044</v>
          </cell>
          <cell r="B4045" t="str">
            <v>H. MANCHA</v>
          </cell>
          <cell r="C4045" t="str">
            <v>A</v>
          </cell>
          <cell r="D4045" t="str">
            <v>SI</v>
          </cell>
          <cell r="E4045" t="str">
            <v>BODA, LA</v>
          </cell>
          <cell r="F4045" t="str">
            <v>LIBRO</v>
          </cell>
          <cell r="G4045">
            <v>9788415729778</v>
          </cell>
          <cell r="H4045" t="str">
            <v>H. MANCHA</v>
          </cell>
          <cell r="I4045">
            <v>8.6050000000000004</v>
          </cell>
        </row>
        <row r="4046">
          <cell r="A4046" t="str">
            <v>19-04045</v>
          </cell>
          <cell r="B4046" t="str">
            <v>H. MANCHA</v>
          </cell>
          <cell r="C4046" t="str">
            <v>A</v>
          </cell>
          <cell r="D4046" t="str">
            <v>NO</v>
          </cell>
          <cell r="E4046" t="str">
            <v>CONFESION, LA</v>
          </cell>
          <cell r="F4046" t="str">
            <v>LIBRO</v>
          </cell>
          <cell r="G4046">
            <v>9788490324349</v>
          </cell>
          <cell r="H4046" t="str">
            <v>H. MANCHA</v>
          </cell>
          <cell r="I4046">
            <v>0</v>
          </cell>
        </row>
        <row r="4047">
          <cell r="A4047" t="str">
            <v>19-04046</v>
          </cell>
          <cell r="B4047" t="str">
            <v>H. MANCHA</v>
          </cell>
          <cell r="C4047" t="str">
            <v>A</v>
          </cell>
          <cell r="D4047" t="str">
            <v>NO</v>
          </cell>
          <cell r="E4047" t="str">
            <v>DEJA EN PAZ AL DIABLO</v>
          </cell>
          <cell r="F4047" t="str">
            <v>LIBRO</v>
          </cell>
          <cell r="G4047">
            <v>9788415729068</v>
          </cell>
          <cell r="H4047" t="str">
            <v>H. MANCHA</v>
          </cell>
          <cell r="I4047">
            <v>0</v>
          </cell>
        </row>
        <row r="4048">
          <cell r="A4048" t="str">
            <v>19-04047</v>
          </cell>
          <cell r="B4048" t="str">
            <v>H. MANCHA</v>
          </cell>
          <cell r="C4048" t="str">
            <v>A</v>
          </cell>
          <cell r="D4048" t="str">
            <v>SI</v>
          </cell>
          <cell r="E4048" t="str">
            <v>DOCTORA COLE, LA</v>
          </cell>
          <cell r="F4048" t="str">
            <v>LIBRO</v>
          </cell>
          <cell r="G4048">
            <v>9788496940024</v>
          </cell>
          <cell r="H4048" t="str">
            <v>H. MANCHA</v>
          </cell>
          <cell r="I4048">
            <v>8.6029999999999998</v>
          </cell>
        </row>
        <row r="4049">
          <cell r="A4049" t="str">
            <v>19-04048</v>
          </cell>
          <cell r="B4049" t="str">
            <v>H. MANCHA</v>
          </cell>
          <cell r="C4049" t="str">
            <v>A</v>
          </cell>
          <cell r="D4049" t="str">
            <v>SI</v>
          </cell>
          <cell r="E4049" t="str">
            <v>DRACULA</v>
          </cell>
          <cell r="F4049" t="str">
            <v>LIBRO</v>
          </cell>
          <cell r="G4049">
            <v>9788491050230</v>
          </cell>
          <cell r="H4049" t="str">
            <v>H. MANCHA</v>
          </cell>
          <cell r="I4049">
            <v>9.3249999999999993</v>
          </cell>
        </row>
        <row r="4050">
          <cell r="A4050" t="str">
            <v>19-04049</v>
          </cell>
          <cell r="B4050" t="str">
            <v>H. MANCHA</v>
          </cell>
          <cell r="C4050" t="str">
            <v>A</v>
          </cell>
          <cell r="D4050" t="str">
            <v>NO</v>
          </cell>
          <cell r="E4050" t="str">
            <v>DRACULA NO HA MUERTO</v>
          </cell>
          <cell r="F4050" t="str">
            <v>LIBRO</v>
          </cell>
          <cell r="G4050">
            <v>9788415729686</v>
          </cell>
          <cell r="H4050" t="str">
            <v>H. MANCHA</v>
          </cell>
          <cell r="I4050">
            <v>0</v>
          </cell>
        </row>
        <row r="4051">
          <cell r="A4051" t="str">
            <v>19-04050</v>
          </cell>
          <cell r="B4051" t="str">
            <v>H. MANCHA</v>
          </cell>
          <cell r="C4051" t="str">
            <v>A</v>
          </cell>
          <cell r="D4051" t="str">
            <v>NO</v>
          </cell>
          <cell r="E4051" t="str">
            <v>FRANCOTIRADOR PACIENTE EL</v>
          </cell>
          <cell r="F4051" t="str">
            <v>LIBRO</v>
          </cell>
          <cell r="G4051">
            <v>9788490626573</v>
          </cell>
          <cell r="H4051" t="str">
            <v>H. MANCHA</v>
          </cell>
          <cell r="I4051">
            <v>0</v>
          </cell>
        </row>
        <row r="4052">
          <cell r="A4052" t="str">
            <v>19-04051</v>
          </cell>
          <cell r="B4052" t="str">
            <v>H. MANCHA</v>
          </cell>
          <cell r="C4052" t="str">
            <v>A</v>
          </cell>
          <cell r="D4052" t="str">
            <v>SI</v>
          </cell>
          <cell r="E4052" t="str">
            <v>HACEDOR, EL</v>
          </cell>
          <cell r="F4052" t="str">
            <v>LIBRO</v>
          </cell>
          <cell r="G4052">
            <v>9788499894430</v>
          </cell>
          <cell r="H4052" t="str">
            <v>H. MANCHA</v>
          </cell>
          <cell r="I4052">
            <v>9.3249999999999993</v>
          </cell>
        </row>
        <row r="4053">
          <cell r="A4053" t="str">
            <v>19-04052</v>
          </cell>
          <cell r="B4053" t="str">
            <v>H. MANCHA</v>
          </cell>
          <cell r="C4053" t="str">
            <v>A</v>
          </cell>
          <cell r="D4053" t="str">
            <v>NO</v>
          </cell>
          <cell r="E4053" t="str">
            <v>HANNIBAL EL ORIGEN DEL MAL - THOMAS HARRIS</v>
          </cell>
          <cell r="F4053" t="str">
            <v>LIBRO</v>
          </cell>
          <cell r="G4053">
            <v>9788483465080</v>
          </cell>
          <cell r="H4053" t="str">
            <v>H. MANCHA</v>
          </cell>
          <cell r="I4053">
            <v>0</v>
          </cell>
        </row>
        <row r="4054">
          <cell r="A4054" t="str">
            <v>19-04053</v>
          </cell>
          <cell r="B4054" t="str">
            <v>H. MANCHA</v>
          </cell>
          <cell r="C4054" t="str">
            <v>A</v>
          </cell>
          <cell r="D4054" t="str">
            <v>SI</v>
          </cell>
          <cell r="E4054" t="str">
            <v>IMPERIUM</v>
          </cell>
          <cell r="F4054" t="str">
            <v>LIBRO</v>
          </cell>
          <cell r="G4054">
            <v>9788483466858</v>
          </cell>
          <cell r="H4054" t="str">
            <v>H. MANCHA</v>
          </cell>
          <cell r="I4054">
            <v>8.6029999999999998</v>
          </cell>
        </row>
        <row r="4055">
          <cell r="A4055" t="str">
            <v>19-04054</v>
          </cell>
          <cell r="B4055" t="str">
            <v>H. MANCHA</v>
          </cell>
          <cell r="C4055" t="str">
            <v>A</v>
          </cell>
          <cell r="D4055" t="str">
            <v>SI</v>
          </cell>
          <cell r="E4055" t="str">
            <v>JUEGO DE LA NOCHE, EL</v>
          </cell>
          <cell r="F4055" t="str">
            <v>LIBRO</v>
          </cell>
          <cell r="G4055">
            <v>9788499081144</v>
          </cell>
          <cell r="H4055" t="str">
            <v>H. MANCHA</v>
          </cell>
          <cell r="I4055">
            <v>8.6050000000000004</v>
          </cell>
        </row>
        <row r="4056">
          <cell r="A4056" t="str">
            <v>19-04055</v>
          </cell>
          <cell r="B4056" t="str">
            <v>H. MANCHA</v>
          </cell>
          <cell r="C4056" t="str">
            <v>A</v>
          </cell>
          <cell r="D4056" t="str">
            <v>NO</v>
          </cell>
          <cell r="E4056" t="str">
            <v>LADRONA DE LIBROS, LA - MARKUS ZUSAK</v>
          </cell>
          <cell r="F4056" t="str">
            <v>LIBRO</v>
          </cell>
          <cell r="G4056">
            <v>9788499088075</v>
          </cell>
          <cell r="H4056" t="str">
            <v>H. MANCHA</v>
          </cell>
          <cell r="I4056">
            <v>9.3239999999999998</v>
          </cell>
        </row>
        <row r="4057">
          <cell r="A4057" t="str">
            <v>19-04056</v>
          </cell>
          <cell r="B4057" t="str">
            <v>H. MANCHA</v>
          </cell>
          <cell r="C4057" t="str">
            <v>A</v>
          </cell>
          <cell r="D4057" t="str">
            <v>SI</v>
          </cell>
          <cell r="E4057" t="str">
            <v>LADRONES DE TINTA</v>
          </cell>
          <cell r="F4057" t="str">
            <v>LIBRO</v>
          </cell>
          <cell r="G4057">
            <v>9788490328040</v>
          </cell>
          <cell r="H4057" t="str">
            <v>H. MANCHA</v>
          </cell>
          <cell r="I4057">
            <v>9.3230000000000004</v>
          </cell>
        </row>
        <row r="4058">
          <cell r="A4058" t="str">
            <v>19-04057</v>
          </cell>
          <cell r="B4058" t="str">
            <v>H. MANCHA</v>
          </cell>
          <cell r="C4058" t="str">
            <v>A</v>
          </cell>
          <cell r="D4058" t="str">
            <v>NO</v>
          </cell>
          <cell r="E4058" t="str">
            <v>LECCIONES SOBRE LA VIDA</v>
          </cell>
          <cell r="F4058" t="str">
            <v>LIBRO</v>
          </cell>
          <cell r="G4058">
            <v>9788499086200</v>
          </cell>
          <cell r="H4058" t="str">
            <v>H. MANCHA</v>
          </cell>
          <cell r="I4058">
            <v>0</v>
          </cell>
        </row>
        <row r="4059">
          <cell r="A4059" t="str">
            <v>19-04058</v>
          </cell>
          <cell r="B4059" t="str">
            <v>H. MANCHA</v>
          </cell>
          <cell r="C4059" t="str">
            <v>A</v>
          </cell>
          <cell r="D4059" t="str">
            <v>SI</v>
          </cell>
          <cell r="E4059" t="str">
            <v>LIMITE DEL PLACER, EL</v>
          </cell>
          <cell r="F4059" t="str">
            <v>LIBRO</v>
          </cell>
          <cell r="G4059">
            <v>9788415729389</v>
          </cell>
          <cell r="H4059" t="str">
            <v>H. MANCHA</v>
          </cell>
          <cell r="I4059">
            <v>7.1630000000000003</v>
          </cell>
        </row>
        <row r="4060">
          <cell r="A4060" t="str">
            <v>19-04059</v>
          </cell>
          <cell r="B4060" t="str">
            <v>H. MANCHA</v>
          </cell>
          <cell r="C4060" t="str">
            <v>A</v>
          </cell>
          <cell r="D4060" t="str">
            <v>NO</v>
          </cell>
          <cell r="E4060" t="str">
            <v>MEDICO DE SEFARAD, EL</v>
          </cell>
          <cell r="F4060" t="str">
            <v>LIBRO</v>
          </cell>
          <cell r="G4060">
            <v>9788497935371</v>
          </cell>
          <cell r="H4060" t="str">
            <v>H. MANCHA</v>
          </cell>
          <cell r="I4060">
            <v>0</v>
          </cell>
        </row>
        <row r="4061">
          <cell r="A4061" t="str">
            <v>19-04060</v>
          </cell>
          <cell r="B4061" t="str">
            <v>H. MANCHA</v>
          </cell>
          <cell r="C4061" t="str">
            <v>A</v>
          </cell>
          <cell r="D4061" t="str">
            <v>NO</v>
          </cell>
          <cell r="E4061" t="str">
            <v>NIEBLA, LA</v>
          </cell>
          <cell r="F4061" t="str">
            <v>LIBRO</v>
          </cell>
          <cell r="G4061">
            <v>9788483468012</v>
          </cell>
          <cell r="H4061" t="str">
            <v>H. MANCHA</v>
          </cell>
          <cell r="I4061">
            <v>0</v>
          </cell>
        </row>
        <row r="4062">
          <cell r="A4062" t="str">
            <v>19-04061</v>
          </cell>
          <cell r="B4062" t="str">
            <v>H. MANCHA</v>
          </cell>
          <cell r="C4062" t="str">
            <v>A</v>
          </cell>
          <cell r="D4062" t="str">
            <v>SI</v>
          </cell>
          <cell r="E4062" t="str">
            <v>NOCHE DE LA LUNA NEGRA, LA - SHERRILYN KENYON</v>
          </cell>
          <cell r="F4062" t="str">
            <v>LIBRO</v>
          </cell>
          <cell r="G4062">
            <v>9788490325162</v>
          </cell>
          <cell r="H4062" t="str">
            <v>H. MANCHA</v>
          </cell>
          <cell r="I4062">
            <v>9.3249999999999993</v>
          </cell>
        </row>
        <row r="4063">
          <cell r="A4063" t="str">
            <v>19-04062</v>
          </cell>
          <cell r="B4063" t="str">
            <v>H. MANCHA</v>
          </cell>
          <cell r="C4063" t="str">
            <v>A</v>
          </cell>
          <cell r="D4063" t="str">
            <v>NO</v>
          </cell>
          <cell r="E4063" t="str">
            <v>NOCHE SOBRE LAS AGUAS</v>
          </cell>
          <cell r="F4063" t="str">
            <v>LIBRO</v>
          </cell>
          <cell r="G4063">
            <v>9788497931366</v>
          </cell>
          <cell r="H4063" t="str">
            <v>H. MANCHA</v>
          </cell>
          <cell r="I4063">
            <v>0</v>
          </cell>
        </row>
        <row r="4064">
          <cell r="A4064" t="str">
            <v>19-04063</v>
          </cell>
          <cell r="B4064" t="str">
            <v>H. MANCHA</v>
          </cell>
          <cell r="C4064" t="str">
            <v>A</v>
          </cell>
          <cell r="D4064" t="str">
            <v>SI</v>
          </cell>
          <cell r="E4064" t="str">
            <v>PECADOS DE LA NOCHE</v>
          </cell>
          <cell r="F4064" t="str">
            <v>LIBRO</v>
          </cell>
          <cell r="G4064">
            <v>9788499080970</v>
          </cell>
          <cell r="H4064" t="str">
            <v>H. MANCHA</v>
          </cell>
          <cell r="I4064">
            <v>8.6029999999999998</v>
          </cell>
        </row>
        <row r="4065">
          <cell r="A4065" t="str">
            <v>19-04064</v>
          </cell>
          <cell r="B4065" t="str">
            <v>H. MANCHA</v>
          </cell>
          <cell r="C4065" t="str">
            <v>A</v>
          </cell>
          <cell r="D4065" t="str">
            <v>SI</v>
          </cell>
          <cell r="E4065" t="str">
            <v>PIENSE Y HAGASE RICO</v>
          </cell>
          <cell r="F4065" t="str">
            <v>LIBRO</v>
          </cell>
          <cell r="G4065">
            <v>9788490325698</v>
          </cell>
          <cell r="H4065" t="str">
            <v>H. MANCHA</v>
          </cell>
          <cell r="I4065">
            <v>8.6039999999999992</v>
          </cell>
        </row>
        <row r="4066">
          <cell r="A4066" t="str">
            <v>19-04065</v>
          </cell>
          <cell r="B4066" t="str">
            <v>H. MANCHA</v>
          </cell>
          <cell r="C4066" t="str">
            <v>A</v>
          </cell>
          <cell r="D4066" t="str">
            <v>SI</v>
          </cell>
          <cell r="E4066" t="str">
            <v>PLACERES DE LA NOCHE</v>
          </cell>
          <cell r="F4066" t="str">
            <v>LIBRO</v>
          </cell>
          <cell r="G4066">
            <v>9788499082967</v>
          </cell>
          <cell r="H4066" t="str">
            <v>H. MANCHA</v>
          </cell>
          <cell r="I4066">
            <v>8.6050000000000004</v>
          </cell>
        </row>
        <row r="4067">
          <cell r="A4067" t="str">
            <v>19-04066</v>
          </cell>
          <cell r="B4067" t="str">
            <v>H. MANCHA</v>
          </cell>
          <cell r="C4067" t="str">
            <v>A</v>
          </cell>
          <cell r="D4067" t="str">
            <v>NO</v>
          </cell>
          <cell r="E4067" t="str">
            <v>RABINO, EL</v>
          </cell>
          <cell r="F4067" t="str">
            <v>LIBRO</v>
          </cell>
          <cell r="G4067">
            <v>9788496940321</v>
          </cell>
          <cell r="H4067" t="str">
            <v>H. MANCHA</v>
          </cell>
          <cell r="I4067">
            <v>8.6029999999999998</v>
          </cell>
        </row>
        <row r="4068">
          <cell r="A4068" t="str">
            <v>19-04067</v>
          </cell>
          <cell r="B4068" t="str">
            <v>H. MANCHA</v>
          </cell>
          <cell r="C4068" t="str">
            <v>A</v>
          </cell>
          <cell r="D4068" t="str">
            <v>SI</v>
          </cell>
          <cell r="E4068" t="str">
            <v>SENTIDO Y SENSIBILIDAD</v>
          </cell>
          <cell r="F4068" t="str">
            <v>LIBRO</v>
          </cell>
          <cell r="G4068">
            <v>9788491050001</v>
          </cell>
          <cell r="H4068" t="str">
            <v>H. MANCHA</v>
          </cell>
          <cell r="I4068">
            <v>9.3230000000000004</v>
          </cell>
        </row>
        <row r="4069">
          <cell r="A4069" t="str">
            <v>19-04068</v>
          </cell>
          <cell r="B4069" t="str">
            <v>H. MANCHA</v>
          </cell>
          <cell r="C4069" t="str">
            <v>A</v>
          </cell>
          <cell r="D4069" t="str">
            <v>NO</v>
          </cell>
          <cell r="E4069" t="str">
            <v>SU ALTEZA REAL</v>
          </cell>
          <cell r="F4069" t="str">
            <v>LIBRO</v>
          </cell>
          <cell r="G4069">
            <v>9788499891859</v>
          </cell>
          <cell r="H4069" t="str">
            <v>H. MANCHA</v>
          </cell>
          <cell r="I4069">
            <v>0</v>
          </cell>
        </row>
        <row r="4070">
          <cell r="A4070" t="str">
            <v>19-04069</v>
          </cell>
          <cell r="B4070" t="str">
            <v>H. MANCHA</v>
          </cell>
          <cell r="C4070" t="str">
            <v>A</v>
          </cell>
          <cell r="D4070" t="str">
            <v>SI</v>
          </cell>
          <cell r="E4070" t="str">
            <v>TANGO DE LA GUARDIA VIEJA - ARTURO PEREZ</v>
          </cell>
          <cell r="F4070" t="str">
            <v>LIBRO</v>
          </cell>
          <cell r="G4070">
            <v>9788490626580</v>
          </cell>
          <cell r="H4070" t="str">
            <v>H. MANCHA</v>
          </cell>
          <cell r="I4070">
            <v>10.042999999999999</v>
          </cell>
        </row>
        <row r="4071">
          <cell r="A4071" t="str">
            <v>19-04070</v>
          </cell>
          <cell r="B4071" t="str">
            <v>H. MANCHA</v>
          </cell>
          <cell r="C4071" t="str">
            <v>A</v>
          </cell>
          <cell r="D4071" t="str">
            <v>SI</v>
          </cell>
          <cell r="E4071" t="str">
            <v>TESTIGO, LA</v>
          </cell>
          <cell r="F4071" t="str">
            <v>LIBRO</v>
          </cell>
          <cell r="G4071">
            <v>9788490623817</v>
          </cell>
          <cell r="H4071" t="str">
            <v>H. MANCHA</v>
          </cell>
          <cell r="I4071">
            <v>9.3230000000000004</v>
          </cell>
        </row>
        <row r="4072">
          <cell r="A4072" t="str">
            <v>19-04071</v>
          </cell>
          <cell r="B4072" t="str">
            <v>H. MANCHA</v>
          </cell>
          <cell r="C4072" t="str">
            <v>A</v>
          </cell>
          <cell r="D4072" t="str">
            <v>SI</v>
          </cell>
          <cell r="E4072" t="str">
            <v>TIEMPO SIN TIEMPO</v>
          </cell>
          <cell r="F4072" t="str">
            <v>LIBRO</v>
          </cell>
          <cell r="G4072">
            <v>9788490627815</v>
          </cell>
          <cell r="H4072" t="str">
            <v>H. MANCHA</v>
          </cell>
          <cell r="I4072">
            <v>8.6039999999999992</v>
          </cell>
        </row>
        <row r="4073">
          <cell r="A4073" t="str">
            <v>19-04072</v>
          </cell>
          <cell r="B4073" t="str">
            <v>H. MANCHA</v>
          </cell>
          <cell r="C4073" t="str">
            <v>A</v>
          </cell>
          <cell r="D4073" t="str">
            <v>SI</v>
          </cell>
          <cell r="E4073" t="str">
            <v>UN AMOR DESPIADADO</v>
          </cell>
          <cell r="F4073" t="str">
            <v>LIBRO</v>
          </cell>
          <cell r="G4073">
            <v>9788490326336</v>
          </cell>
          <cell r="H4073" t="str">
            <v>H. MANCHA</v>
          </cell>
          <cell r="I4073">
            <v>8.6029999999999998</v>
          </cell>
        </row>
        <row r="4074">
          <cell r="A4074" t="str">
            <v>19-04073</v>
          </cell>
          <cell r="B4074" t="str">
            <v>H. MANCHA</v>
          </cell>
          <cell r="C4074" t="str">
            <v>A</v>
          </cell>
          <cell r="D4074" t="str">
            <v>SI</v>
          </cell>
          <cell r="E4074" t="str">
            <v>VERANO PELIGROSO, EL</v>
          </cell>
          <cell r="F4074" t="str">
            <v>LIBRO</v>
          </cell>
          <cell r="G4074">
            <v>9788497936804</v>
          </cell>
          <cell r="H4074" t="str">
            <v>H. MANCHA</v>
          </cell>
          <cell r="I4074">
            <v>9.3230000000000004</v>
          </cell>
        </row>
        <row r="4075">
          <cell r="A4075" t="str">
            <v>19-04074</v>
          </cell>
          <cell r="B4075" t="str">
            <v>H. MANCHA</v>
          </cell>
          <cell r="C4075" t="str">
            <v>A</v>
          </cell>
          <cell r="D4075" t="str">
            <v>SI</v>
          </cell>
          <cell r="E4075" t="str">
            <v>VEREDICTO, EL</v>
          </cell>
          <cell r="F4075" t="str">
            <v>LIBRO</v>
          </cell>
          <cell r="G4075">
            <v>9788492833245</v>
          </cell>
          <cell r="H4075" t="str">
            <v>H. MANCHA</v>
          </cell>
          <cell r="I4075">
            <v>8.6029999999999998</v>
          </cell>
        </row>
        <row r="4076">
          <cell r="A4076" t="str">
            <v>19-04075</v>
          </cell>
          <cell r="B4076" t="str">
            <v>H. MANCHA</v>
          </cell>
          <cell r="C4076" t="str">
            <v>A</v>
          </cell>
          <cell r="D4076" t="str">
            <v>NO</v>
          </cell>
          <cell r="E4076" t="str">
            <v>VIDAS CRUZADAS</v>
          </cell>
          <cell r="F4076" t="str">
            <v>LIBRO</v>
          </cell>
          <cell r="G4076">
            <v>9788499899046</v>
          </cell>
          <cell r="H4076" t="str">
            <v>H. MANCHA</v>
          </cell>
          <cell r="I4076">
            <v>0</v>
          </cell>
        </row>
        <row r="4077">
          <cell r="A4077" t="str">
            <v>19-04076</v>
          </cell>
          <cell r="B4077" t="str">
            <v>H. MANCHA</v>
          </cell>
          <cell r="C4077" t="str">
            <v>A</v>
          </cell>
          <cell r="D4077" t="str">
            <v>NO</v>
          </cell>
          <cell r="E4077" t="str">
            <v>VUELO FINAL</v>
          </cell>
          <cell r="F4077" t="str">
            <v>LIBRO</v>
          </cell>
          <cell r="G4077">
            <v>9788497931427</v>
          </cell>
          <cell r="H4077" t="str">
            <v>H. MANCHA</v>
          </cell>
          <cell r="I4077">
            <v>0</v>
          </cell>
        </row>
        <row r="4078">
          <cell r="A4078" t="str">
            <v>19-04077</v>
          </cell>
          <cell r="B4078" t="str">
            <v>H. MANCHA</v>
          </cell>
          <cell r="C4078" t="str">
            <v>A</v>
          </cell>
          <cell r="D4078" t="str">
            <v>NO</v>
          </cell>
          <cell r="E4078" t="str">
            <v>CEREBRO Y LA INTELIGENCIA</v>
          </cell>
          <cell r="F4078" t="str">
            <v>LIBRO</v>
          </cell>
          <cell r="G4078">
            <v>9788466651783</v>
          </cell>
          <cell r="H4078" t="str">
            <v>H. MANCHA</v>
          </cell>
          <cell r="I4078">
            <v>12.205</v>
          </cell>
        </row>
        <row r="4079">
          <cell r="A4079" t="str">
            <v>19-04078</v>
          </cell>
          <cell r="B4079" t="str">
            <v>H. MANCHA</v>
          </cell>
          <cell r="C4079" t="str">
            <v>A</v>
          </cell>
          <cell r="D4079" t="str">
            <v>SI</v>
          </cell>
          <cell r="E4079" t="str">
            <v>CRON VAMPIRICAS 1 ENTREVISTA CON EL VAMPIRO</v>
          </cell>
          <cell r="F4079" t="str">
            <v>LIBRO</v>
          </cell>
          <cell r="G4079">
            <v>9788498721812</v>
          </cell>
          <cell r="H4079" t="str">
            <v>H. MANCHA</v>
          </cell>
          <cell r="I4079">
            <v>12.202999999999999</v>
          </cell>
        </row>
        <row r="4080">
          <cell r="A4080" t="str">
            <v>19-04079</v>
          </cell>
          <cell r="B4080" t="str">
            <v>H. MANCHA</v>
          </cell>
          <cell r="C4080" t="str">
            <v>A</v>
          </cell>
          <cell r="D4080" t="str">
            <v>NO</v>
          </cell>
          <cell r="E4080" t="str">
            <v>CRON VAMPIRICAS 2 LESTAT EL VAMPIRO</v>
          </cell>
          <cell r="F4080" t="str">
            <v>LIBRO</v>
          </cell>
          <cell r="G4080">
            <v>9788498721829</v>
          </cell>
          <cell r="H4080" t="str">
            <v>H. MANCHA</v>
          </cell>
          <cell r="I4080">
            <v>0</v>
          </cell>
        </row>
        <row r="4081">
          <cell r="A4081" t="str">
            <v>19-04080</v>
          </cell>
          <cell r="B4081" t="str">
            <v>H. MANCHA</v>
          </cell>
          <cell r="C4081" t="str">
            <v>A</v>
          </cell>
          <cell r="D4081" t="str">
            <v>SI</v>
          </cell>
          <cell r="E4081" t="str">
            <v>CUERPOS SIN EDAD MENTES</v>
          </cell>
          <cell r="F4081" t="str">
            <v>LIBRO</v>
          </cell>
          <cell r="G4081">
            <v>9788496778818</v>
          </cell>
          <cell r="H4081" t="str">
            <v>H. MANCHA</v>
          </cell>
          <cell r="I4081">
            <v>12.204000000000001</v>
          </cell>
        </row>
        <row r="4082">
          <cell r="A4082" t="str">
            <v>19-04081</v>
          </cell>
          <cell r="B4082" t="str">
            <v>H. MANCHA</v>
          </cell>
          <cell r="C4082" t="str">
            <v>A</v>
          </cell>
          <cell r="D4082" t="str">
            <v>SI</v>
          </cell>
          <cell r="E4082" t="str">
            <v>DIOS VUELVE EN UNA HARLEY</v>
          </cell>
          <cell r="F4082" t="str">
            <v>LIBRO</v>
          </cell>
          <cell r="G4082">
            <v>9788498721799</v>
          </cell>
          <cell r="H4082" t="str">
            <v>H. MANCHA</v>
          </cell>
          <cell r="I4082">
            <v>7.8849999999999998</v>
          </cell>
        </row>
        <row r="4083">
          <cell r="A4083" t="str">
            <v>19-04082</v>
          </cell>
          <cell r="B4083" t="str">
            <v>H. MANCHA</v>
          </cell>
          <cell r="C4083" t="str">
            <v>A</v>
          </cell>
          <cell r="D4083" t="str">
            <v>SI</v>
          </cell>
          <cell r="E4083" t="str">
            <v>DONDE ESTA WALLY A LA CA</v>
          </cell>
          <cell r="F4083" t="str">
            <v>LIBRO</v>
          </cell>
          <cell r="G4083">
            <v>9788466631167</v>
          </cell>
          <cell r="H4083" t="str">
            <v>H. MANCHA</v>
          </cell>
          <cell r="I4083">
            <v>8.6029999999999998</v>
          </cell>
        </row>
        <row r="4084">
          <cell r="A4084" t="str">
            <v>19-04083</v>
          </cell>
          <cell r="B4084" t="str">
            <v>H. MANCHA</v>
          </cell>
          <cell r="C4084" t="str">
            <v>A</v>
          </cell>
          <cell r="D4084" t="str">
            <v>NO</v>
          </cell>
          <cell r="E4084" t="str">
            <v>DRAGONES DEL MUNDO</v>
          </cell>
          <cell r="F4084" t="str">
            <v>LIBRO</v>
          </cell>
          <cell r="G4084">
            <v>9789871222513</v>
          </cell>
          <cell r="H4084" t="str">
            <v>H. MANCHA</v>
          </cell>
          <cell r="I4084">
            <v>10.042999999999999</v>
          </cell>
        </row>
        <row r="4085">
          <cell r="A4085" t="str">
            <v>19-04084</v>
          </cell>
          <cell r="B4085" t="str">
            <v>H. MANCHA</v>
          </cell>
          <cell r="C4085" t="str">
            <v>A</v>
          </cell>
          <cell r="D4085" t="str">
            <v>SI</v>
          </cell>
          <cell r="E4085" t="str">
            <v>ESPIRITU CREATIVO, EL</v>
          </cell>
          <cell r="F4085" t="str">
            <v>LIBRO</v>
          </cell>
          <cell r="G4085">
            <v>9788498721744</v>
          </cell>
          <cell r="H4085" t="str">
            <v>H. MANCHA</v>
          </cell>
          <cell r="I4085">
            <v>10.045</v>
          </cell>
        </row>
        <row r="4086">
          <cell r="A4086" t="str">
            <v>19-04085</v>
          </cell>
          <cell r="B4086" t="str">
            <v>H. MANCHA</v>
          </cell>
          <cell r="C4086" t="str">
            <v>A</v>
          </cell>
          <cell r="D4086" t="str">
            <v>NO</v>
          </cell>
          <cell r="E4086" t="str">
            <v>GENTE TOXICA</v>
          </cell>
          <cell r="F4086" t="str">
            <v>LIBRO</v>
          </cell>
          <cell r="G4086">
            <v>9789876271790</v>
          </cell>
          <cell r="H4086" t="str">
            <v>H. MANCHA</v>
          </cell>
          <cell r="I4086">
            <v>10.044</v>
          </cell>
        </row>
        <row r="4087">
          <cell r="A4087" t="str">
            <v>19-04086</v>
          </cell>
          <cell r="B4087" t="str">
            <v>H. MANCHA</v>
          </cell>
          <cell r="C4087" t="str">
            <v>A</v>
          </cell>
          <cell r="D4087" t="str">
            <v>SI</v>
          </cell>
          <cell r="E4087" t="str">
            <v>INTELIGENCIA EMOCIONAL, LA</v>
          </cell>
          <cell r="F4087" t="str">
            <v>LIBRO</v>
          </cell>
          <cell r="G4087">
            <v>9788496778764</v>
          </cell>
          <cell r="H4087" t="str">
            <v>H. MANCHA</v>
          </cell>
          <cell r="I4087">
            <v>12.204000000000001</v>
          </cell>
        </row>
        <row r="4088">
          <cell r="A4088" t="str">
            <v>19-04087</v>
          </cell>
          <cell r="B4088" t="str">
            <v>H. MANCHA</v>
          </cell>
          <cell r="C4088" t="str">
            <v>A</v>
          </cell>
          <cell r="D4088" t="str">
            <v>SI</v>
          </cell>
          <cell r="E4088" t="str">
            <v>JOYA DE MEDINA, LA</v>
          </cell>
          <cell r="F4088" t="str">
            <v>LIBRO</v>
          </cell>
          <cell r="G4088">
            <v>9788498725247</v>
          </cell>
          <cell r="H4088" t="str">
            <v>H. MANCHA</v>
          </cell>
          <cell r="I4088">
            <v>7.883</v>
          </cell>
        </row>
        <row r="4089">
          <cell r="A4089" t="str">
            <v>19-04088</v>
          </cell>
          <cell r="B4089" t="str">
            <v>H. MANCHA</v>
          </cell>
          <cell r="C4089" t="str">
            <v>A</v>
          </cell>
          <cell r="D4089" t="str">
            <v>NO</v>
          </cell>
          <cell r="E4089" t="str">
            <v>JUAN SALVADOR GAVIOTA</v>
          </cell>
          <cell r="F4089" t="str">
            <v>LIBRO</v>
          </cell>
          <cell r="G4089">
            <v>9788466616393</v>
          </cell>
          <cell r="H4089" t="str">
            <v>H. MANCHA</v>
          </cell>
          <cell r="I4089">
            <v>6.444</v>
          </cell>
        </row>
        <row r="4090">
          <cell r="A4090" t="str">
            <v>19-04089</v>
          </cell>
          <cell r="B4090" t="str">
            <v>H. MANCHA</v>
          </cell>
          <cell r="C4090" t="str">
            <v>A</v>
          </cell>
          <cell r="D4090" t="str">
            <v>SI</v>
          </cell>
          <cell r="E4090" t="str">
            <v>MATAR A UN RUISENOR</v>
          </cell>
          <cell r="F4090" t="str">
            <v>LIBRO</v>
          </cell>
          <cell r="G4090">
            <v>9788490701218</v>
          </cell>
          <cell r="H4090" t="str">
            <v>H. MANCHA</v>
          </cell>
          <cell r="I4090">
            <v>11.483000000000001</v>
          </cell>
        </row>
        <row r="4091">
          <cell r="A4091" t="str">
            <v>19-04090</v>
          </cell>
          <cell r="B4091" t="str">
            <v>H. MANCHA</v>
          </cell>
          <cell r="C4091" t="str">
            <v>A</v>
          </cell>
          <cell r="D4091" t="str">
            <v>NO</v>
          </cell>
          <cell r="E4091" t="str">
            <v>MUCHAS VIDAS, MUCHOS MAESTROS - BRIAN WEISS</v>
          </cell>
          <cell r="F4091" t="str">
            <v>LIBRO</v>
          </cell>
          <cell r="G4091">
            <v>9788496546097</v>
          </cell>
          <cell r="H4091" t="str">
            <v>H. MANCHA</v>
          </cell>
          <cell r="I4091">
            <v>12.204000000000001</v>
          </cell>
        </row>
        <row r="4092">
          <cell r="A4092" t="str">
            <v>19-04091</v>
          </cell>
          <cell r="B4092" t="str">
            <v>H. MANCHA</v>
          </cell>
          <cell r="C4092" t="str">
            <v>A</v>
          </cell>
          <cell r="D4092" t="str">
            <v>SI</v>
          </cell>
          <cell r="E4092" t="str">
            <v>MUJERES QUE CORREN CON LOS LOBOS</v>
          </cell>
          <cell r="F4092" t="str">
            <v>LIBRO</v>
          </cell>
          <cell r="G4092">
            <v>9788498720778</v>
          </cell>
          <cell r="H4092" t="str">
            <v>H. MANCHA</v>
          </cell>
          <cell r="I4092">
            <v>12.202999999999999</v>
          </cell>
        </row>
        <row r="4093">
          <cell r="A4093" t="str">
            <v>19-04092</v>
          </cell>
          <cell r="B4093" t="str">
            <v>H. MANCHA</v>
          </cell>
          <cell r="C4093" t="str">
            <v>A</v>
          </cell>
          <cell r="D4093" t="str">
            <v>NO</v>
          </cell>
          <cell r="E4093" t="str">
            <v>PSICOANALISTA, EL</v>
          </cell>
          <cell r="F4093" t="str">
            <v>LIBRO</v>
          </cell>
          <cell r="G4093">
            <v>9788498721805</v>
          </cell>
          <cell r="H4093" t="str">
            <v>H. MANCHA</v>
          </cell>
          <cell r="I4093">
            <v>12.202999999999999</v>
          </cell>
        </row>
        <row r="4094">
          <cell r="A4094" t="str">
            <v>19-04093</v>
          </cell>
          <cell r="B4094" t="str">
            <v>H. MANCHA</v>
          </cell>
          <cell r="C4094" t="str">
            <v>A</v>
          </cell>
          <cell r="D4094" t="str">
            <v>SI</v>
          </cell>
          <cell r="E4094" t="str">
            <v>YO ANTES DE TI</v>
          </cell>
          <cell r="F4094" t="str">
            <v>LIBRO</v>
          </cell>
          <cell r="G4094">
            <v>9789587587449</v>
          </cell>
          <cell r="H4094" t="str">
            <v>H. MANCHA</v>
          </cell>
          <cell r="I4094">
            <v>8.6029999999999998</v>
          </cell>
        </row>
        <row r="4095">
          <cell r="A4095" t="str">
            <v>19-04094</v>
          </cell>
          <cell r="B4095" t="str">
            <v>H. MANCHA</v>
          </cell>
          <cell r="C4095" t="str">
            <v>A</v>
          </cell>
          <cell r="D4095" t="str">
            <v>NO</v>
          </cell>
          <cell r="E4095" t="str">
            <v>RECETAS DE @ SASCHA FITNESS</v>
          </cell>
          <cell r="F4095" t="str">
            <v>LIBRO</v>
          </cell>
          <cell r="G4095">
            <v>9786070721977</v>
          </cell>
          <cell r="H4095" t="str">
            <v>H. MANCHA</v>
          </cell>
          <cell r="I4095">
            <v>0</v>
          </cell>
        </row>
        <row r="4096">
          <cell r="A4096" t="str">
            <v>19-04095</v>
          </cell>
          <cell r="B4096" t="str">
            <v>H. MANCHA</v>
          </cell>
          <cell r="C4096" t="str">
            <v>A</v>
          </cell>
          <cell r="D4096" t="str">
            <v>NO</v>
          </cell>
          <cell r="E4096" t="str">
            <v>SECRETOS DE SASCHA FITNESS</v>
          </cell>
          <cell r="F4096" t="str">
            <v>LIBRO</v>
          </cell>
          <cell r="G4096">
            <v>9786070732584</v>
          </cell>
          <cell r="H4096" t="str">
            <v>H. MANCHA</v>
          </cell>
          <cell r="I4096">
            <v>0</v>
          </cell>
        </row>
        <row r="4097">
          <cell r="A4097" t="str">
            <v>19-04096</v>
          </cell>
          <cell r="B4097" t="str">
            <v>H. MANCHA</v>
          </cell>
          <cell r="C4097" t="str">
            <v>A</v>
          </cell>
          <cell r="D4097" t="str">
            <v>SI</v>
          </cell>
          <cell r="E4097" t="str">
            <v>GUIA DE CONV FRANCES</v>
          </cell>
          <cell r="F4097" t="str">
            <v>LIBRO</v>
          </cell>
          <cell r="G4097">
            <v>9788466219891</v>
          </cell>
          <cell r="H4097" t="str">
            <v>H. MANCHA</v>
          </cell>
          <cell r="I4097">
            <v>3.5649999999999999</v>
          </cell>
        </row>
        <row r="4098">
          <cell r="A4098" t="str">
            <v>19-04097</v>
          </cell>
          <cell r="B4098" t="str">
            <v>H. MANCHA</v>
          </cell>
          <cell r="C4098" t="str">
            <v>A</v>
          </cell>
          <cell r="D4098" t="str">
            <v>SI</v>
          </cell>
          <cell r="E4098" t="str">
            <v>1000 VENTANAS DESCUBR CA</v>
          </cell>
          <cell r="F4098" t="str">
            <v>LIBRO</v>
          </cell>
          <cell r="G4098">
            <v>9788466232678</v>
          </cell>
          <cell r="H4098" t="str">
            <v>H. MANCHA</v>
          </cell>
          <cell r="I4098">
            <v>7.8849999999999998</v>
          </cell>
        </row>
        <row r="4099">
          <cell r="A4099" t="str">
            <v>19-04098</v>
          </cell>
          <cell r="B4099" t="str">
            <v>H. MANCHA</v>
          </cell>
          <cell r="C4099" t="str">
            <v>A</v>
          </cell>
          <cell r="D4099" t="str">
            <v>SI</v>
          </cell>
          <cell r="E4099" t="str">
            <v>1000 VENTANAS DESCUBR CI</v>
          </cell>
          <cell r="F4099" t="str">
            <v>LIBRO</v>
          </cell>
          <cell r="G4099">
            <v>9788466232685</v>
          </cell>
          <cell r="H4099" t="str">
            <v>H. MANCHA</v>
          </cell>
          <cell r="I4099">
            <v>7.883</v>
          </cell>
        </row>
        <row r="4100">
          <cell r="A4100" t="str">
            <v>19-04099</v>
          </cell>
          <cell r="B4100" t="str">
            <v>H. MANCHA</v>
          </cell>
          <cell r="C4100" t="str">
            <v>A</v>
          </cell>
          <cell r="D4100" t="str">
            <v>NO</v>
          </cell>
          <cell r="E4100" t="str">
            <v>3D CUERPO HUMANO</v>
          </cell>
          <cell r="F4100" t="str">
            <v>LIBRO</v>
          </cell>
          <cell r="G4100">
            <v>9788466230360</v>
          </cell>
          <cell r="H4100" t="str">
            <v>H. MANCHA</v>
          </cell>
          <cell r="I4100">
            <v>0</v>
          </cell>
        </row>
        <row r="4101">
          <cell r="A4101" t="str">
            <v>19-04100</v>
          </cell>
          <cell r="B4101" t="str">
            <v>H. MANCHA</v>
          </cell>
          <cell r="C4101" t="str">
            <v>A</v>
          </cell>
          <cell r="D4101" t="str">
            <v>NO</v>
          </cell>
          <cell r="E4101" t="str">
            <v>CUENTOS DEL BOSQUE</v>
          </cell>
          <cell r="F4101" t="str">
            <v>LIBRO</v>
          </cell>
          <cell r="G4101">
            <v>9788466229616</v>
          </cell>
          <cell r="H4101" t="str">
            <v>H. MANCHA</v>
          </cell>
          <cell r="I4101">
            <v>0</v>
          </cell>
        </row>
        <row r="4102">
          <cell r="A4102" t="str">
            <v>19-04101</v>
          </cell>
          <cell r="B4102" t="str">
            <v>H. MANCHA</v>
          </cell>
          <cell r="C4102" t="str">
            <v>A</v>
          </cell>
          <cell r="D4102" t="str">
            <v>NO</v>
          </cell>
          <cell r="E4102" t="str">
            <v>CUENTOS PARA SONAR</v>
          </cell>
          <cell r="F4102" t="str">
            <v>LIBRO</v>
          </cell>
          <cell r="G4102">
            <v>9788466227728</v>
          </cell>
          <cell r="H4102" t="str">
            <v>H. MANCHA</v>
          </cell>
          <cell r="I4102">
            <v>0</v>
          </cell>
        </row>
        <row r="4103">
          <cell r="A4103" t="str">
            <v>19-04102</v>
          </cell>
          <cell r="B4103" t="str">
            <v>H. MANCHA</v>
          </cell>
          <cell r="C4103" t="str">
            <v>A</v>
          </cell>
          <cell r="D4103" t="str">
            <v>NO</v>
          </cell>
          <cell r="E4103" t="str">
            <v>DINOSAURIOS EXTREMOS</v>
          </cell>
          <cell r="F4103" t="str">
            <v>LIBRO</v>
          </cell>
          <cell r="G4103">
            <v>9788466226738</v>
          </cell>
          <cell r="H4103" t="str">
            <v>H. MANCHA</v>
          </cell>
          <cell r="I4103">
            <v>0</v>
          </cell>
        </row>
        <row r="4104">
          <cell r="A4104" t="str">
            <v>19-04103</v>
          </cell>
          <cell r="B4104" t="str">
            <v>H. MANCHA</v>
          </cell>
          <cell r="C4104" t="str">
            <v>A</v>
          </cell>
          <cell r="D4104" t="str">
            <v>NO</v>
          </cell>
          <cell r="E4104" t="str">
            <v>DULCES SUENOS</v>
          </cell>
          <cell r="F4104" t="str">
            <v>LIBRO</v>
          </cell>
          <cell r="G4104">
            <v>9788466227735</v>
          </cell>
          <cell r="H4104" t="str">
            <v>H. MANCHA</v>
          </cell>
          <cell r="I4104">
            <v>5.7229999999999999</v>
          </cell>
        </row>
        <row r="4105">
          <cell r="A4105" t="str">
            <v>19-04104</v>
          </cell>
          <cell r="B4105" t="str">
            <v>H. MANCHA</v>
          </cell>
          <cell r="C4105" t="str">
            <v>A</v>
          </cell>
          <cell r="D4105" t="str">
            <v>NO</v>
          </cell>
          <cell r="E4105" t="str">
            <v>INCREIBLES DINOSAURIOS A</v>
          </cell>
          <cell r="F4105" t="str">
            <v>LIBRO</v>
          </cell>
          <cell r="G4105">
            <v>9788466232838</v>
          </cell>
          <cell r="H4105" t="str">
            <v>H. MANCHA</v>
          </cell>
          <cell r="I4105">
            <v>8.6</v>
          </cell>
        </row>
        <row r="4106">
          <cell r="A4106" t="str">
            <v>19-04105</v>
          </cell>
          <cell r="B4106" t="str">
            <v>H. MANCHA</v>
          </cell>
          <cell r="C4106" t="str">
            <v>A</v>
          </cell>
          <cell r="D4106" t="str">
            <v>NO</v>
          </cell>
          <cell r="E4106" t="str">
            <v>MIL Y UN CUENTOS INFANTI</v>
          </cell>
          <cell r="F4106" t="str">
            <v>LIBRO</v>
          </cell>
          <cell r="G4106">
            <v>9788466204170</v>
          </cell>
          <cell r="H4106" t="str">
            <v>H. MANCHA</v>
          </cell>
          <cell r="I4106">
            <v>0</v>
          </cell>
        </row>
        <row r="4107">
          <cell r="A4107" t="str">
            <v>19-04106</v>
          </cell>
          <cell r="B4107" t="str">
            <v>H. MANCHA</v>
          </cell>
          <cell r="C4107" t="str">
            <v>A</v>
          </cell>
          <cell r="D4107" t="str">
            <v>NO</v>
          </cell>
          <cell r="E4107" t="str">
            <v>PACK LIBRITOS PARA APREN</v>
          </cell>
          <cell r="F4107" t="str">
            <v>LIBRO</v>
          </cell>
          <cell r="G4107">
            <v>9788466229746</v>
          </cell>
          <cell r="H4107" t="str">
            <v>H. MANCHA</v>
          </cell>
          <cell r="I4107">
            <v>0</v>
          </cell>
        </row>
        <row r="4108">
          <cell r="A4108" t="str">
            <v>19-04107</v>
          </cell>
          <cell r="B4108" t="str">
            <v>H. MANCHA</v>
          </cell>
          <cell r="C4108" t="str">
            <v>A</v>
          </cell>
          <cell r="D4108" t="str">
            <v>SI</v>
          </cell>
          <cell r="E4108" t="str">
            <v>PARA LLEVAR COLORES Y FO</v>
          </cell>
          <cell r="F4108" t="str">
            <v>LIBRO</v>
          </cell>
          <cell r="G4108">
            <v>9788466226172</v>
          </cell>
          <cell r="H4108" t="str">
            <v>H. MANCHA</v>
          </cell>
          <cell r="I4108">
            <v>6.444</v>
          </cell>
        </row>
        <row r="4109">
          <cell r="A4109" t="str">
            <v>19-04108</v>
          </cell>
          <cell r="B4109" t="str">
            <v>H. MANCHA</v>
          </cell>
          <cell r="C4109" t="str">
            <v>A</v>
          </cell>
          <cell r="D4109" t="str">
            <v>NO</v>
          </cell>
          <cell r="E4109" t="str">
            <v>PRIMER BLOG PULSERAS Y C</v>
          </cell>
          <cell r="F4109" t="str">
            <v>LIBRO</v>
          </cell>
          <cell r="G4109">
            <v>9788466230988</v>
          </cell>
          <cell r="H4109" t="str">
            <v>H. MANCHA</v>
          </cell>
          <cell r="I4109">
            <v>4.2830000000000004</v>
          </cell>
        </row>
        <row r="4110">
          <cell r="A4110" t="str">
            <v>19-04109</v>
          </cell>
          <cell r="B4110" t="str">
            <v>H. MANCHA</v>
          </cell>
          <cell r="C4110" t="str">
            <v>A</v>
          </cell>
          <cell r="D4110" t="str">
            <v>SI</v>
          </cell>
          <cell r="E4110" t="str">
            <v>PRIMER BLOG UNAS DIVERTI</v>
          </cell>
          <cell r="F4110" t="str">
            <v>LIBRO</v>
          </cell>
          <cell r="G4110">
            <v>9788466231701</v>
          </cell>
          <cell r="H4110" t="str">
            <v>H. MANCHA</v>
          </cell>
          <cell r="I4110">
            <v>4.2830000000000004</v>
          </cell>
        </row>
        <row r="4111">
          <cell r="A4111" t="str">
            <v>19-04110</v>
          </cell>
          <cell r="B4111" t="str">
            <v>H. MANCHA</v>
          </cell>
          <cell r="C4111" t="str">
            <v>A</v>
          </cell>
          <cell r="D4111" t="str">
            <v>SI</v>
          </cell>
          <cell r="E4111" t="str">
            <v>PRIMEROS AUXILIOS GUIA E</v>
          </cell>
          <cell r="F4111" t="str">
            <v>LIBRO</v>
          </cell>
          <cell r="G4111">
            <v>9788466227025</v>
          </cell>
          <cell r="H4111" t="str">
            <v>H. MANCHA</v>
          </cell>
          <cell r="I4111">
            <v>10.042999999999999</v>
          </cell>
        </row>
        <row r="4112">
          <cell r="A4112" t="str">
            <v>19-04111</v>
          </cell>
          <cell r="B4112" t="str">
            <v>H. MANCHA</v>
          </cell>
          <cell r="C4112" t="str">
            <v>A</v>
          </cell>
          <cell r="D4112" t="str">
            <v>SI</v>
          </cell>
          <cell r="E4112" t="str">
            <v>TEST Y JUEGO DE ENTRENAM</v>
          </cell>
          <cell r="F4112" t="str">
            <v>LIBRO</v>
          </cell>
          <cell r="G4112">
            <v>9788466222204</v>
          </cell>
          <cell r="H4112" t="str">
            <v>H. MANCHA</v>
          </cell>
          <cell r="I4112">
            <v>7.1630000000000003</v>
          </cell>
        </row>
        <row r="4113">
          <cell r="A4113" t="str">
            <v>19-04112</v>
          </cell>
          <cell r="B4113" t="str">
            <v>H. MANCHA</v>
          </cell>
          <cell r="C4113" t="str">
            <v>A</v>
          </cell>
          <cell r="D4113" t="str">
            <v>SI</v>
          </cell>
          <cell r="E4113" t="str">
            <v>VAMOS APRENDER ANIMALITO</v>
          </cell>
          <cell r="F4113" t="str">
            <v>LIBRO</v>
          </cell>
          <cell r="G4113">
            <v>9788466232654</v>
          </cell>
          <cell r="H4113" t="str">
            <v>H. MANCHA</v>
          </cell>
          <cell r="I4113">
            <v>5.0030000000000001</v>
          </cell>
        </row>
        <row r="4114">
          <cell r="A4114" t="str">
            <v>19-04113</v>
          </cell>
          <cell r="B4114" t="str">
            <v>H. MANCHA</v>
          </cell>
          <cell r="C4114" t="str">
            <v>A</v>
          </cell>
          <cell r="D4114" t="str">
            <v>SI</v>
          </cell>
          <cell r="E4114" t="str">
            <v>VAMOS APRENDER PALABRITA</v>
          </cell>
          <cell r="F4114" t="str">
            <v>LIBRO</v>
          </cell>
          <cell r="G4114">
            <v>9788466232661</v>
          </cell>
          <cell r="H4114" t="str">
            <v>H. MANCHA</v>
          </cell>
          <cell r="I4114">
            <v>5.0030000000000001</v>
          </cell>
        </row>
        <row r="4115">
          <cell r="A4115" t="str">
            <v>19-04114</v>
          </cell>
          <cell r="B4115" t="str">
            <v>H. MANCHA</v>
          </cell>
          <cell r="C4115" t="str">
            <v>A</v>
          </cell>
          <cell r="D4115" t="str">
            <v>SI</v>
          </cell>
          <cell r="E4115" t="str">
            <v>FROZEN AMOR VERDADERO (L</v>
          </cell>
          <cell r="F4115" t="str">
            <v>LIBRO</v>
          </cell>
          <cell r="G4115">
            <v>9786070718953</v>
          </cell>
          <cell r="H4115" t="str">
            <v>H. MANCHA</v>
          </cell>
          <cell r="I4115">
            <v>5.0049999999999999</v>
          </cell>
        </row>
        <row r="4116">
          <cell r="A4116" t="str">
            <v>19-04115</v>
          </cell>
          <cell r="B4116" t="str">
            <v>H. MANCHA</v>
          </cell>
          <cell r="C4116" t="str">
            <v>A</v>
          </cell>
          <cell r="D4116" t="str">
            <v>SI</v>
          </cell>
          <cell r="E4116" t="str">
            <v>FROZEN AMORES BAJO CERO</v>
          </cell>
          <cell r="F4116" t="str">
            <v>LIBRO</v>
          </cell>
          <cell r="G4116">
            <v>9786070718946</v>
          </cell>
          <cell r="H4116" t="str">
            <v>H. MANCHA</v>
          </cell>
          <cell r="I4116">
            <v>4.2830000000000004</v>
          </cell>
        </row>
        <row r="4117">
          <cell r="A4117" t="str">
            <v>19-04116</v>
          </cell>
          <cell r="B4117" t="str">
            <v>H. MANCHA</v>
          </cell>
          <cell r="C4117" t="str">
            <v>A</v>
          </cell>
          <cell r="D4117" t="str">
            <v>SI</v>
          </cell>
          <cell r="E4117" t="str">
            <v>FROZEN HISTORIA DE DOS H</v>
          </cell>
          <cell r="F4117" t="str">
            <v>LIBRO</v>
          </cell>
          <cell r="G4117">
            <v>9786070718960</v>
          </cell>
          <cell r="H4117" t="str">
            <v>H. MANCHA</v>
          </cell>
          <cell r="I4117">
            <v>3.5630000000000002</v>
          </cell>
        </row>
        <row r="4118">
          <cell r="A4118" t="str">
            <v>19-04117</v>
          </cell>
          <cell r="B4118" t="str">
            <v>H. MANCHA</v>
          </cell>
          <cell r="C4118" t="str">
            <v>A</v>
          </cell>
          <cell r="D4118" t="str">
            <v>SI</v>
          </cell>
          <cell r="E4118" t="str">
            <v>FROZEN LA NOVELA</v>
          </cell>
          <cell r="F4118" t="str">
            <v>LIBRO</v>
          </cell>
          <cell r="G4118">
            <v>9786070718939</v>
          </cell>
          <cell r="H4118" t="str">
            <v>H. MANCHA</v>
          </cell>
          <cell r="I4118">
            <v>6.4450000000000003</v>
          </cell>
        </row>
        <row r="4119">
          <cell r="A4119" t="str">
            <v>19-04118</v>
          </cell>
          <cell r="B4119" t="str">
            <v>H. MANCHA</v>
          </cell>
          <cell r="C4119" t="str">
            <v>A</v>
          </cell>
          <cell r="D4119" t="str">
            <v>NO</v>
          </cell>
          <cell r="E4119" t="str">
            <v>STAR WARS REBELS DROIDES</v>
          </cell>
          <cell r="F4119" t="str">
            <v>LIBRO</v>
          </cell>
          <cell r="G4119">
            <v>9786070727887</v>
          </cell>
          <cell r="H4119" t="str">
            <v>H. MANCHA</v>
          </cell>
          <cell r="I4119">
            <v>8.6050000000000004</v>
          </cell>
        </row>
        <row r="4120">
          <cell r="A4120" t="str">
            <v>19-04119</v>
          </cell>
          <cell r="B4120" t="str">
            <v>H. MANCHA</v>
          </cell>
          <cell r="C4120" t="str">
            <v>A</v>
          </cell>
          <cell r="D4120" t="str">
            <v>SI</v>
          </cell>
          <cell r="E4120" t="str">
            <v>STAR WARS REBELS EL INIC</v>
          </cell>
          <cell r="F4120" t="str">
            <v>LIBRO</v>
          </cell>
          <cell r="G4120">
            <v>9786070727849</v>
          </cell>
          <cell r="H4120" t="str">
            <v>H. MANCHA</v>
          </cell>
          <cell r="I4120">
            <v>8.6029999999999998</v>
          </cell>
        </row>
        <row r="4121">
          <cell r="A4121" t="str">
            <v>19-04120</v>
          </cell>
          <cell r="B4121" t="str">
            <v>H. MANCHA</v>
          </cell>
          <cell r="C4121" t="str">
            <v>A</v>
          </cell>
          <cell r="D4121" t="str">
            <v>NO</v>
          </cell>
          <cell r="E4121" t="str">
            <v>STAR WARS REBELS LA BATA</v>
          </cell>
          <cell r="F4121" t="str">
            <v>LIBRO</v>
          </cell>
          <cell r="G4121">
            <v>9786070728648</v>
          </cell>
          <cell r="H4121" t="str">
            <v>H. MANCHA</v>
          </cell>
          <cell r="I4121">
            <v>7.883</v>
          </cell>
        </row>
        <row r="4122">
          <cell r="A4122" t="str">
            <v>19-04121</v>
          </cell>
          <cell r="B4122" t="str">
            <v>H. MANCHA</v>
          </cell>
          <cell r="C4122" t="str">
            <v>A</v>
          </cell>
          <cell r="D4122" t="str">
            <v>NO</v>
          </cell>
          <cell r="E4122" t="str">
            <v>STAR WARS REBELS LUCHAR</v>
          </cell>
          <cell r="F4122" t="str">
            <v>LIBRO</v>
          </cell>
          <cell r="G4122">
            <v>9786070728600</v>
          </cell>
          <cell r="H4122" t="str">
            <v>H. MANCHA</v>
          </cell>
          <cell r="I4122">
            <v>7.883</v>
          </cell>
        </row>
        <row r="4123">
          <cell r="A4123" t="str">
            <v>19-04122</v>
          </cell>
          <cell r="B4123" t="str">
            <v>H. MANCHA</v>
          </cell>
          <cell r="C4123" t="str">
            <v>A</v>
          </cell>
          <cell r="D4123" t="str">
            <v>NO</v>
          </cell>
          <cell r="E4123" t="str">
            <v>STILTON 12 FANTASMA DEL</v>
          </cell>
          <cell r="F4123" t="str">
            <v>LIBRO</v>
          </cell>
          <cell r="G4123">
            <v>9786070706707</v>
          </cell>
          <cell r="H4123" t="str">
            <v>H. MANCHA</v>
          </cell>
          <cell r="I4123">
            <v>6.444</v>
          </cell>
        </row>
        <row r="4124">
          <cell r="A4124" t="str">
            <v>19-04123</v>
          </cell>
          <cell r="B4124" t="str">
            <v>H. MANCHA</v>
          </cell>
          <cell r="C4124" t="str">
            <v>A</v>
          </cell>
          <cell r="D4124" t="str">
            <v>SI</v>
          </cell>
          <cell r="E4124" t="str">
            <v>STILTON 16 TRAS LA PISTA</v>
          </cell>
          <cell r="F4124" t="str">
            <v>LIBRO</v>
          </cell>
          <cell r="G4124">
            <v>9786070717833</v>
          </cell>
          <cell r="H4124" t="str">
            <v>H. MANCHA</v>
          </cell>
          <cell r="I4124">
            <v>5.7229999999999999</v>
          </cell>
        </row>
        <row r="4125">
          <cell r="A4125" t="str">
            <v>19-04124</v>
          </cell>
          <cell r="B4125" t="str">
            <v>H. MANCHA</v>
          </cell>
          <cell r="C4125" t="str">
            <v>A</v>
          </cell>
          <cell r="D4125" t="str">
            <v>SI</v>
          </cell>
          <cell r="E4125" t="str">
            <v>STILTON 2 EN BUSCA DE LA</v>
          </cell>
          <cell r="F4125" t="str">
            <v>LIBRO</v>
          </cell>
          <cell r="G4125">
            <v>9786070701009</v>
          </cell>
          <cell r="H4125" t="str">
            <v>H. MANCHA</v>
          </cell>
          <cell r="I4125">
            <v>6.4450000000000003</v>
          </cell>
        </row>
        <row r="4126">
          <cell r="A4126" t="str">
            <v>19-04125</v>
          </cell>
          <cell r="B4126" t="str">
            <v>H. MANCHA</v>
          </cell>
          <cell r="C4126" t="str">
            <v>A</v>
          </cell>
          <cell r="D4126" t="str">
            <v>NO</v>
          </cell>
          <cell r="E4126" t="str">
            <v>STILTON 5 UN DISPARATADO</v>
          </cell>
          <cell r="F4126" t="str">
            <v>LIBRO</v>
          </cell>
          <cell r="G4126">
            <v>9786070700972</v>
          </cell>
          <cell r="H4126" t="str">
            <v>H. MANCHA</v>
          </cell>
          <cell r="I4126">
            <v>7.165</v>
          </cell>
        </row>
        <row r="4127">
          <cell r="A4127" t="str">
            <v>19-04126</v>
          </cell>
          <cell r="B4127" t="str">
            <v>H. MANCHA</v>
          </cell>
          <cell r="C4127" t="str">
            <v>A</v>
          </cell>
          <cell r="D4127" t="str">
            <v>NO</v>
          </cell>
          <cell r="E4127" t="str">
            <v>APRENDE Y JUEGA ACT DIDA</v>
          </cell>
          <cell r="F4127" t="str">
            <v>LIBRO</v>
          </cell>
          <cell r="G4127">
            <v>9788561321147</v>
          </cell>
          <cell r="H4127" t="str">
            <v>H. MANCHA</v>
          </cell>
          <cell r="I4127">
            <v>0.97299999999999998</v>
          </cell>
        </row>
        <row r="4128">
          <cell r="A4128" t="str">
            <v>19-04127</v>
          </cell>
          <cell r="B4128" t="str">
            <v>H. MANCHA</v>
          </cell>
          <cell r="C4128" t="str">
            <v>A</v>
          </cell>
          <cell r="D4128" t="str">
            <v>NO</v>
          </cell>
          <cell r="E4128" t="str">
            <v>APRENDE Y JUEGA ALFABETO</v>
          </cell>
          <cell r="F4128" t="str">
            <v>LIBRO</v>
          </cell>
          <cell r="G4128">
            <v>9788561321086</v>
          </cell>
          <cell r="H4128" t="str">
            <v>H. MANCHA</v>
          </cell>
          <cell r="I4128">
            <v>0.97199999999999998</v>
          </cell>
        </row>
        <row r="4129">
          <cell r="A4129" t="str">
            <v>19-04128</v>
          </cell>
          <cell r="B4129" t="str">
            <v>H. MANCHA</v>
          </cell>
          <cell r="C4129" t="str">
            <v>A</v>
          </cell>
          <cell r="D4129" t="str">
            <v>NO</v>
          </cell>
          <cell r="E4129" t="str">
            <v>APRENDE Y JUEGA COLORES</v>
          </cell>
          <cell r="F4129" t="str">
            <v>LIBRO</v>
          </cell>
          <cell r="G4129">
            <v>9788561321031</v>
          </cell>
          <cell r="H4129" t="str">
            <v>H. MANCHA</v>
          </cell>
          <cell r="I4129">
            <v>0.97199999999999998</v>
          </cell>
        </row>
        <row r="4130">
          <cell r="A4130" t="str">
            <v>19-04129</v>
          </cell>
          <cell r="B4130" t="str">
            <v>H. MANCHA</v>
          </cell>
          <cell r="C4130" t="str">
            <v>A</v>
          </cell>
          <cell r="D4130" t="str">
            <v>NO</v>
          </cell>
          <cell r="E4130" t="str">
            <v>APRENDE Y JUEGA CONTAR</v>
          </cell>
          <cell r="F4130" t="str">
            <v>LIBRO</v>
          </cell>
          <cell r="G4130">
            <v>9788561321116</v>
          </cell>
          <cell r="H4130" t="str">
            <v>H. MANCHA</v>
          </cell>
          <cell r="I4130">
            <v>0.97</v>
          </cell>
        </row>
        <row r="4131">
          <cell r="A4131" t="str">
            <v>19-04130</v>
          </cell>
          <cell r="B4131" t="str">
            <v>H. MANCHA</v>
          </cell>
          <cell r="C4131" t="str">
            <v>A</v>
          </cell>
          <cell r="D4131" t="str">
            <v>NO</v>
          </cell>
          <cell r="E4131" t="str">
            <v>APRENDE Y JUEGA FORMAS S</v>
          </cell>
          <cell r="F4131" t="str">
            <v>LIBRO</v>
          </cell>
          <cell r="G4131">
            <v>9788561321017</v>
          </cell>
          <cell r="H4131" t="str">
            <v>H. MANCHA</v>
          </cell>
          <cell r="I4131">
            <v>0.97199999999999998</v>
          </cell>
        </row>
        <row r="4132">
          <cell r="A4132" t="str">
            <v>19-04131</v>
          </cell>
          <cell r="B4132" t="str">
            <v>H. MANCHA</v>
          </cell>
          <cell r="C4132" t="str">
            <v>A</v>
          </cell>
          <cell r="D4132" t="str">
            <v>NO</v>
          </cell>
          <cell r="E4132" t="str">
            <v>APRENDE Y JUEGA NUMEROS</v>
          </cell>
          <cell r="F4132" t="str">
            <v>LIBRO</v>
          </cell>
          <cell r="G4132">
            <v>9788561321024</v>
          </cell>
          <cell r="H4132" t="str">
            <v>H. MANCHA</v>
          </cell>
          <cell r="I4132">
            <v>0.97299999999999998</v>
          </cell>
        </row>
        <row r="4133">
          <cell r="A4133" t="str">
            <v>19-04132</v>
          </cell>
          <cell r="B4133" t="str">
            <v>H. MANCHA</v>
          </cell>
          <cell r="C4133" t="str">
            <v>A</v>
          </cell>
          <cell r="D4133" t="str">
            <v>NO</v>
          </cell>
          <cell r="E4133" t="str">
            <v>LEARN &amp; PLAY ADDITION&amp;SUBT</v>
          </cell>
          <cell r="F4133" t="str">
            <v>LIBRO</v>
          </cell>
          <cell r="G4133">
            <v>9788997669240</v>
          </cell>
          <cell r="H4133" t="str">
            <v>H. MANCHA</v>
          </cell>
          <cell r="I4133">
            <v>0.97299999999999998</v>
          </cell>
        </row>
        <row r="4134">
          <cell r="A4134" t="str">
            <v>19-04133</v>
          </cell>
          <cell r="B4134" t="str">
            <v>H. MANCHA</v>
          </cell>
          <cell r="C4134" t="str">
            <v>A</v>
          </cell>
          <cell r="D4134" t="str">
            <v>NO</v>
          </cell>
          <cell r="E4134" t="str">
            <v>LEARN &amp; PLAY ALPHABET SERI</v>
          </cell>
          <cell r="F4134" t="str">
            <v>LIBRO</v>
          </cell>
          <cell r="G4134">
            <v>9788997669165</v>
          </cell>
          <cell r="H4134" t="str">
            <v>H. MANCHA</v>
          </cell>
          <cell r="I4134">
            <v>0</v>
          </cell>
        </row>
        <row r="4135">
          <cell r="A4135" t="str">
            <v>19-04134</v>
          </cell>
          <cell r="B4135" t="str">
            <v>H. MANCHA</v>
          </cell>
          <cell r="C4135" t="str">
            <v>A</v>
          </cell>
          <cell r="D4135" t="str">
            <v>NO</v>
          </cell>
          <cell r="E4135" t="str">
            <v>LEARN &amp; PLAY ALPHABET SOND</v>
          </cell>
          <cell r="F4135" t="str">
            <v>LIBRO</v>
          </cell>
          <cell r="G4135">
            <v>9788997669172</v>
          </cell>
          <cell r="H4135" t="str">
            <v>H. MANCHA</v>
          </cell>
          <cell r="I4135">
            <v>0.97299999999999998</v>
          </cell>
        </row>
        <row r="4136">
          <cell r="A4136" t="str">
            <v>19-04135</v>
          </cell>
          <cell r="B4136" t="str">
            <v>H. MANCHA</v>
          </cell>
          <cell r="C4136" t="str">
            <v>A</v>
          </cell>
          <cell r="D4136" t="str">
            <v>NO</v>
          </cell>
          <cell r="E4136" t="str">
            <v>LEARN &amp; PLAY COLOURS SERIE</v>
          </cell>
          <cell r="F4136" t="str">
            <v>LIBRO</v>
          </cell>
          <cell r="G4136">
            <v>9788997669110</v>
          </cell>
          <cell r="H4136" t="str">
            <v>H. MANCHA</v>
          </cell>
          <cell r="I4136">
            <v>0.97299999999999998</v>
          </cell>
        </row>
        <row r="4137">
          <cell r="A4137" t="str">
            <v>19-04136</v>
          </cell>
          <cell r="B4137" t="str">
            <v>H. MANCHA</v>
          </cell>
          <cell r="C4137" t="str">
            <v>A</v>
          </cell>
          <cell r="D4137" t="str">
            <v>NO</v>
          </cell>
          <cell r="E4137" t="str">
            <v>LEARN &amp; PLAY COUNTING  SER</v>
          </cell>
          <cell r="F4137" t="str">
            <v>LIBRO</v>
          </cell>
          <cell r="G4137">
            <v>9788997669196</v>
          </cell>
          <cell r="H4137" t="str">
            <v>H. MANCHA</v>
          </cell>
          <cell r="I4137">
            <v>0.97199999999999998</v>
          </cell>
        </row>
        <row r="4138">
          <cell r="A4138" t="str">
            <v>19-04137</v>
          </cell>
          <cell r="B4138" t="str">
            <v>H. MANCHA</v>
          </cell>
          <cell r="C4138" t="str">
            <v>A</v>
          </cell>
          <cell r="D4138" t="str">
            <v>SI</v>
          </cell>
          <cell r="E4138" t="str">
            <v>ARTY MOUSE STAMPING</v>
          </cell>
          <cell r="F4138" t="str">
            <v>LIBRO</v>
          </cell>
          <cell r="G4138">
            <v>9781784454364</v>
          </cell>
          <cell r="H4138" t="str">
            <v>H. MANCHA</v>
          </cell>
          <cell r="I4138">
            <v>14.365</v>
          </cell>
        </row>
        <row r="4139">
          <cell r="A4139" t="str">
            <v>19-04138</v>
          </cell>
          <cell r="B4139" t="str">
            <v>H. MANCHA</v>
          </cell>
          <cell r="C4139" t="str">
            <v>A</v>
          </cell>
          <cell r="D4139" t="str">
            <v>NO</v>
          </cell>
          <cell r="E4139" t="str">
            <v>ARTY MOUSE PLAY CLAY</v>
          </cell>
          <cell r="F4139" t="str">
            <v>LIBRO</v>
          </cell>
          <cell r="G4139">
            <v>9781784454340</v>
          </cell>
          <cell r="H4139" t="str">
            <v>H. MANCHA</v>
          </cell>
          <cell r="I4139">
            <v>14.365</v>
          </cell>
        </row>
        <row r="4140">
          <cell r="A4140" t="str">
            <v>19-04139</v>
          </cell>
          <cell r="B4140" t="str">
            <v>H. MANCHA</v>
          </cell>
          <cell r="C4140" t="str">
            <v>A</v>
          </cell>
          <cell r="D4140" t="str">
            <v>NO</v>
          </cell>
          <cell r="E4140" t="str">
            <v>WHO LIVES IN THE ZOO</v>
          </cell>
          <cell r="F4140" t="str">
            <v>LIBRO</v>
          </cell>
          <cell r="G4140">
            <v>9781784453701</v>
          </cell>
          <cell r="H4140" t="str">
            <v>H. MANCHA</v>
          </cell>
          <cell r="I4140">
            <v>0</v>
          </cell>
        </row>
        <row r="4141">
          <cell r="A4141" t="str">
            <v>19-04140</v>
          </cell>
          <cell r="B4141" t="str">
            <v>H. MANCHA</v>
          </cell>
          <cell r="C4141" t="str">
            <v>A</v>
          </cell>
          <cell r="D4141" t="str">
            <v>NO</v>
          </cell>
          <cell r="E4141" t="str">
            <v>WHO LIVES IN THE OCEAN</v>
          </cell>
          <cell r="F4141" t="str">
            <v>LIBRO</v>
          </cell>
          <cell r="G4141">
            <v>9781782448327</v>
          </cell>
          <cell r="H4141" t="str">
            <v>H. MANCHA</v>
          </cell>
          <cell r="I4141">
            <v>0</v>
          </cell>
        </row>
        <row r="4142">
          <cell r="A4142" t="str">
            <v>19-04141</v>
          </cell>
          <cell r="B4142" t="str">
            <v>H. MANCHA</v>
          </cell>
          <cell r="C4142" t="str">
            <v>A</v>
          </cell>
          <cell r="D4142" t="str">
            <v>NO</v>
          </cell>
          <cell r="E4142" t="str">
            <v>SOUNDS AROUND FARM STORY BOX</v>
          </cell>
          <cell r="F4142" t="str">
            <v>LIBRO</v>
          </cell>
          <cell r="G4142">
            <v>81020202023</v>
          </cell>
          <cell r="H4142" t="str">
            <v>H. MANCHA</v>
          </cell>
          <cell r="I4142">
            <v>0</v>
          </cell>
        </row>
        <row r="4143">
          <cell r="A4143" t="str">
            <v>19-04142</v>
          </cell>
          <cell r="B4143" t="str">
            <v>H. MANCHA</v>
          </cell>
          <cell r="C4143" t="str">
            <v>A</v>
          </cell>
          <cell r="D4143" t="str">
            <v>SI</v>
          </cell>
          <cell r="E4143" t="str">
            <v>BLURT SPORTS</v>
          </cell>
          <cell r="F4143" t="str">
            <v>LIBRO</v>
          </cell>
          <cell r="G4143">
            <v>8600202907</v>
          </cell>
          <cell r="H4143" t="str">
            <v>H. MANCHA</v>
          </cell>
          <cell r="I4143">
            <v>10.763</v>
          </cell>
        </row>
        <row r="4144">
          <cell r="A4144" t="str">
            <v>19-04143</v>
          </cell>
          <cell r="B4144" t="str">
            <v>H. MANCHA</v>
          </cell>
          <cell r="C4144" t="str">
            <v>A</v>
          </cell>
          <cell r="D4144" t="str">
            <v>NO</v>
          </cell>
          <cell r="E4144" t="str">
            <v>BAG TAG AIRPLANE</v>
          </cell>
          <cell r="F4144" t="str">
            <v>LIBRO</v>
          </cell>
          <cell r="G4144">
            <v>9780735339507</v>
          </cell>
          <cell r="H4144" t="str">
            <v>H. MANCHA</v>
          </cell>
          <cell r="I4144">
            <v>8.6029999999999998</v>
          </cell>
        </row>
        <row r="4145">
          <cell r="A4145" t="str">
            <v>19-04144</v>
          </cell>
          <cell r="B4145" t="str">
            <v>H. MANCHA</v>
          </cell>
          <cell r="C4145" t="str">
            <v>A</v>
          </cell>
          <cell r="D4145" t="str">
            <v>SI</v>
          </cell>
          <cell r="E4145" t="str">
            <v>SOFT SHAPES PIRATES</v>
          </cell>
          <cell r="F4145" t="str">
            <v>LIBRO</v>
          </cell>
          <cell r="G4145">
            <v>9781601692313</v>
          </cell>
          <cell r="H4145" t="str">
            <v>H. MANCHA</v>
          </cell>
          <cell r="I4145">
            <v>12.205</v>
          </cell>
        </row>
        <row r="4146">
          <cell r="A4146" t="str">
            <v>19-04145</v>
          </cell>
          <cell r="B4146" t="str">
            <v>H. MANCHA</v>
          </cell>
          <cell r="C4146" t="str">
            <v>A</v>
          </cell>
          <cell r="D4146" t="str">
            <v>NO</v>
          </cell>
          <cell r="E4146" t="str">
            <v>STROLLER CARDS SUSHI</v>
          </cell>
          <cell r="F4146" t="str">
            <v>LIBRO</v>
          </cell>
          <cell r="G4146">
            <v>9781452105888</v>
          </cell>
          <cell r="H4146" t="str">
            <v>H. MANCHA</v>
          </cell>
          <cell r="I4146">
            <v>8.6029999999999998</v>
          </cell>
        </row>
        <row r="4147">
          <cell r="A4147" t="str">
            <v>19-04146</v>
          </cell>
          <cell r="B4147" t="str">
            <v>H. MANCHA</v>
          </cell>
          <cell r="C4147" t="str">
            <v>A</v>
          </cell>
          <cell r="D4147" t="str">
            <v>NO</v>
          </cell>
          <cell r="E4147" t="str">
            <v>LULU GAME M A S H</v>
          </cell>
          <cell r="F4147" t="str">
            <v>LIBRO</v>
          </cell>
          <cell r="G4147">
            <v>81019002301</v>
          </cell>
          <cell r="H4147" t="str">
            <v>H. MANCHA</v>
          </cell>
          <cell r="I4147">
            <v>0</v>
          </cell>
        </row>
        <row r="4148">
          <cell r="A4148" t="str">
            <v>19-04147</v>
          </cell>
          <cell r="B4148" t="str">
            <v>H. MANCHA</v>
          </cell>
          <cell r="C4148" t="str">
            <v>A</v>
          </cell>
          <cell r="D4148" t="str">
            <v>NO</v>
          </cell>
          <cell r="E4148" t="str">
            <v>LULU GAME THIS OR THAT</v>
          </cell>
          <cell r="F4148" t="str">
            <v>LIBRO</v>
          </cell>
          <cell r="G4148">
            <v>81019002303</v>
          </cell>
          <cell r="H4148" t="str">
            <v>H. MANCHA</v>
          </cell>
          <cell r="I4148">
            <v>0</v>
          </cell>
        </row>
        <row r="4149">
          <cell r="A4149" t="str">
            <v>19-04148</v>
          </cell>
          <cell r="B4149" t="str">
            <v>H. MANCHA</v>
          </cell>
          <cell r="C4149" t="str">
            <v>A</v>
          </cell>
          <cell r="D4149" t="str">
            <v>NO</v>
          </cell>
          <cell r="E4149" t="str">
            <v>FALL OF GIANTS</v>
          </cell>
          <cell r="F4149" t="str">
            <v>LIBRO</v>
          </cell>
          <cell r="G4149">
            <v>9780451232588</v>
          </cell>
          <cell r="H4149" t="str">
            <v>H. MANCHA</v>
          </cell>
          <cell r="I4149">
            <v>8.6029999999999998</v>
          </cell>
        </row>
        <row r="4150">
          <cell r="A4150" t="str">
            <v>19-04149</v>
          </cell>
          <cell r="B4150" t="str">
            <v>H. MANCHA</v>
          </cell>
          <cell r="C4150" t="str">
            <v>A</v>
          </cell>
          <cell r="D4150" t="str">
            <v>SI</v>
          </cell>
          <cell r="E4150" t="str">
            <v>FIFTY SHADES BOX 3V</v>
          </cell>
          <cell r="F4150" t="str">
            <v>LIBRO</v>
          </cell>
          <cell r="G4150">
            <v>9780345804044</v>
          </cell>
          <cell r="H4150" t="str">
            <v>H. MANCHA</v>
          </cell>
          <cell r="I4150">
            <v>33.085000000000001</v>
          </cell>
        </row>
        <row r="4151">
          <cell r="A4151" t="str">
            <v>19-04150</v>
          </cell>
          <cell r="B4151" t="str">
            <v>H. MANCHA</v>
          </cell>
          <cell r="C4151" t="str">
            <v>A</v>
          </cell>
          <cell r="D4151" t="str">
            <v>SI</v>
          </cell>
          <cell r="E4151" t="str">
            <v>GIRL IN THE SPIDER´S WEB</v>
          </cell>
          <cell r="F4151" t="str">
            <v>LIBRO</v>
          </cell>
          <cell r="G4151">
            <v>9781101946756</v>
          </cell>
          <cell r="H4151" t="str">
            <v>H. MANCHA</v>
          </cell>
          <cell r="I4151">
            <v>17.242999999999999</v>
          </cell>
        </row>
        <row r="4152">
          <cell r="A4152" t="str">
            <v>19-04151</v>
          </cell>
          <cell r="B4152" t="str">
            <v>H. MANCHA</v>
          </cell>
          <cell r="C4152" t="str">
            <v>A</v>
          </cell>
          <cell r="D4152" t="str">
            <v>SI</v>
          </cell>
          <cell r="E4152" t="str">
            <v>I WAS HERE</v>
          </cell>
          <cell r="F4152" t="str">
            <v>LIBRO</v>
          </cell>
          <cell r="G4152">
            <v>9780451475374</v>
          </cell>
          <cell r="H4152" t="str">
            <v>H. MANCHA</v>
          </cell>
          <cell r="I4152">
            <v>11.484</v>
          </cell>
        </row>
        <row r="4153">
          <cell r="A4153" t="str">
            <v>19-04152</v>
          </cell>
          <cell r="B4153" t="str">
            <v>H. MANCHA</v>
          </cell>
          <cell r="C4153" t="str">
            <v>A</v>
          </cell>
          <cell r="D4153" t="str">
            <v>NO</v>
          </cell>
          <cell r="E4153" t="str">
            <v>IF I STAY</v>
          </cell>
          <cell r="F4153" t="str">
            <v>LIBRO</v>
          </cell>
          <cell r="G4153">
            <v>9780142415436</v>
          </cell>
          <cell r="H4153" t="str">
            <v>H. MANCHA</v>
          </cell>
          <cell r="I4153">
            <v>9.3230000000000004</v>
          </cell>
        </row>
        <row r="4154">
          <cell r="A4154" t="str">
            <v>19-04153</v>
          </cell>
          <cell r="B4154" t="str">
            <v>H. MANCHA</v>
          </cell>
          <cell r="C4154" t="str">
            <v>A</v>
          </cell>
          <cell r="D4154" t="str">
            <v>NO</v>
          </cell>
          <cell r="E4154" t="str">
            <v>JUST ONE DAY</v>
          </cell>
          <cell r="F4154" t="str">
            <v>LIBRO</v>
          </cell>
          <cell r="G4154">
            <v>9780142422953</v>
          </cell>
          <cell r="H4154" t="str">
            <v>H. MANCHA</v>
          </cell>
          <cell r="I4154">
            <v>9.3230000000000004</v>
          </cell>
        </row>
        <row r="4155">
          <cell r="A4155" t="str">
            <v>19-04154</v>
          </cell>
          <cell r="B4155" t="str">
            <v>H. MANCHA</v>
          </cell>
          <cell r="C4155" t="str">
            <v>A</v>
          </cell>
          <cell r="D4155" t="str">
            <v>SI</v>
          </cell>
          <cell r="E4155" t="str">
            <v>JUST ONE YEAR</v>
          </cell>
          <cell r="F4155" t="str">
            <v>LIBRO</v>
          </cell>
          <cell r="G4155">
            <v>9780142422960</v>
          </cell>
          <cell r="H4155" t="str">
            <v>H. MANCHA</v>
          </cell>
          <cell r="I4155">
            <v>9.3230000000000004</v>
          </cell>
        </row>
        <row r="4156">
          <cell r="A4156" t="str">
            <v>19-04155</v>
          </cell>
          <cell r="B4156" t="str">
            <v>H. MANCHA</v>
          </cell>
          <cell r="C4156" t="str">
            <v>A</v>
          </cell>
          <cell r="D4156" t="str">
            <v>NO</v>
          </cell>
          <cell r="E4156" t="str">
            <v>LIFE OF PI</v>
          </cell>
          <cell r="F4156" t="str">
            <v>LIBRO</v>
          </cell>
          <cell r="G4156">
            <v>9780676973778</v>
          </cell>
          <cell r="H4156" t="str">
            <v>H. MANCHA</v>
          </cell>
          <cell r="I4156">
            <v>0</v>
          </cell>
        </row>
        <row r="4157">
          <cell r="A4157" t="str">
            <v>19-04156</v>
          </cell>
          <cell r="B4157" t="str">
            <v>H. MANCHA</v>
          </cell>
          <cell r="C4157" t="str">
            <v>A</v>
          </cell>
          <cell r="D4157" t="str">
            <v>SI</v>
          </cell>
          <cell r="E4157" t="str">
            <v>PAPER TOWNS</v>
          </cell>
          <cell r="F4157" t="str">
            <v>LIBRO</v>
          </cell>
          <cell r="G4157">
            <v>9780142414934</v>
          </cell>
          <cell r="H4157" t="str">
            <v>H. MANCHA</v>
          </cell>
          <cell r="I4157">
            <v>8.6039999999999992</v>
          </cell>
        </row>
        <row r="4158">
          <cell r="A4158" t="str">
            <v>19-04157</v>
          </cell>
          <cell r="B4158" t="str">
            <v>H. MANCHA</v>
          </cell>
          <cell r="C4158" t="str">
            <v>A</v>
          </cell>
          <cell r="D4158" t="str">
            <v>SI</v>
          </cell>
          <cell r="E4158" t="str">
            <v>WILL GRAYSON WILL GRAYSO</v>
          </cell>
          <cell r="F4158" t="str">
            <v>LIBRO</v>
          </cell>
          <cell r="G4158">
            <v>9789585889101</v>
          </cell>
          <cell r="H4158" t="str">
            <v>H. MANCHA</v>
          </cell>
          <cell r="I4158">
            <v>13.643000000000001</v>
          </cell>
        </row>
        <row r="4159">
          <cell r="A4159" t="str">
            <v>19-04158</v>
          </cell>
          <cell r="B4159" t="str">
            <v>H. MANCHA</v>
          </cell>
          <cell r="C4159" t="str">
            <v>A</v>
          </cell>
          <cell r="D4159" t="str">
            <v>SI</v>
          </cell>
          <cell r="E4159" t="str">
            <v>AN ABUNDANCE OF KATHERIN</v>
          </cell>
          <cell r="F4159" t="str">
            <v>LIBRO</v>
          </cell>
          <cell r="G4159">
            <v>9780142410707</v>
          </cell>
          <cell r="H4159" t="str">
            <v>H. MANCHA</v>
          </cell>
          <cell r="I4159">
            <v>8.6039999999999992</v>
          </cell>
        </row>
        <row r="4160">
          <cell r="A4160" t="str">
            <v>19-04159</v>
          </cell>
          <cell r="B4160" t="str">
            <v>H. MANCHA</v>
          </cell>
          <cell r="C4160" t="str">
            <v>A</v>
          </cell>
          <cell r="D4160" t="str">
            <v>SI</v>
          </cell>
          <cell r="E4160" t="str">
            <v>DESCENDIENTES LA NOVELA</v>
          </cell>
          <cell r="F4160" t="str">
            <v>LIBRO</v>
          </cell>
          <cell r="G4160">
            <v>9786070730221</v>
          </cell>
          <cell r="H4160" t="str">
            <v>H. MANCHA</v>
          </cell>
          <cell r="I4160">
            <v>7.1630000000000003</v>
          </cell>
        </row>
        <row r="4161">
          <cell r="A4161" t="str">
            <v>19-04160</v>
          </cell>
          <cell r="B4161" t="str">
            <v>H. MANCHA</v>
          </cell>
          <cell r="C4161" t="str">
            <v>A</v>
          </cell>
          <cell r="D4161" t="str">
            <v>NO</v>
          </cell>
          <cell r="E4161" t="str">
            <v>DESTROZA ESTE DIARIO CRA</v>
          </cell>
          <cell r="F4161" t="str">
            <v>LIBRO</v>
          </cell>
          <cell r="G4161">
            <v>9786077471301</v>
          </cell>
          <cell r="H4161" t="str">
            <v>H. MANCHA</v>
          </cell>
          <cell r="I4161">
            <v>10.763</v>
          </cell>
        </row>
        <row r="4162">
          <cell r="A4162" t="str">
            <v>19-04161</v>
          </cell>
          <cell r="B4162" t="str">
            <v>H. MANCHA</v>
          </cell>
          <cell r="C4162" t="str">
            <v>A</v>
          </cell>
          <cell r="D4162" t="str">
            <v>NO</v>
          </cell>
          <cell r="E4162" t="str">
            <v>DESTROZA ESTE DIARIO GRI</v>
          </cell>
          <cell r="F4162" t="str">
            <v>LIBRO</v>
          </cell>
          <cell r="G4162">
            <v>9786077471288</v>
          </cell>
          <cell r="H4162" t="str">
            <v>H. MANCHA</v>
          </cell>
          <cell r="I4162">
            <v>10.763</v>
          </cell>
        </row>
        <row r="4163">
          <cell r="A4163" t="str">
            <v>19-04162</v>
          </cell>
          <cell r="B4163" t="str">
            <v>H. MANCHA</v>
          </cell>
          <cell r="C4163" t="str">
            <v>A</v>
          </cell>
          <cell r="D4163" t="str">
            <v>SI</v>
          </cell>
          <cell r="E4163" t="str">
            <v>DESTROZA ESTE DIARIO ROJ</v>
          </cell>
          <cell r="F4163" t="str">
            <v>LIBRO</v>
          </cell>
          <cell r="G4163">
            <v>9786077471325</v>
          </cell>
          <cell r="H4163" t="str">
            <v>H. MANCHA</v>
          </cell>
          <cell r="I4163">
            <v>10.763</v>
          </cell>
        </row>
        <row r="4164">
          <cell r="A4164" t="str">
            <v>19-04163</v>
          </cell>
          <cell r="B4164" t="str">
            <v>H. MANCHA</v>
          </cell>
          <cell r="C4164" t="str">
            <v>A</v>
          </cell>
          <cell r="D4164" t="str">
            <v>NO</v>
          </cell>
          <cell r="E4164" t="str">
            <v>INTENSAMENTE LA NOVELA</v>
          </cell>
          <cell r="F4164" t="str">
            <v>LIBRO</v>
          </cell>
          <cell r="G4164">
            <v>9786070727320</v>
          </cell>
          <cell r="H4164" t="str">
            <v>H. MANCHA</v>
          </cell>
          <cell r="I4164">
            <v>6.4429999999999996</v>
          </cell>
        </row>
        <row r="4165">
          <cell r="A4165" t="str">
            <v>19-04164</v>
          </cell>
          <cell r="B4165" t="str">
            <v>H. MANCHA</v>
          </cell>
          <cell r="C4165" t="str">
            <v>A</v>
          </cell>
          <cell r="D4165" t="str">
            <v>NO</v>
          </cell>
          <cell r="E4165" t="str">
            <v>LIBRO TROLL</v>
          </cell>
          <cell r="F4165" t="str">
            <v>LIBRO</v>
          </cell>
          <cell r="G4165">
            <v>9786070723032</v>
          </cell>
          <cell r="H4165" t="str">
            <v>H. MANCHA</v>
          </cell>
          <cell r="I4165">
            <v>0</v>
          </cell>
        </row>
        <row r="4166">
          <cell r="A4166" t="str">
            <v>19-04165</v>
          </cell>
          <cell r="B4166" t="str">
            <v>H. MANCHA</v>
          </cell>
          <cell r="C4166" t="str">
            <v>A</v>
          </cell>
          <cell r="D4166" t="str">
            <v>NO</v>
          </cell>
          <cell r="E4166" t="str">
            <v>MINECRAFT  LA INVASION D</v>
          </cell>
          <cell r="F4166" t="str">
            <v>LIBRO</v>
          </cell>
          <cell r="G4166">
            <v>9786070730252</v>
          </cell>
          <cell r="H4166" t="str">
            <v>H. MANCHA</v>
          </cell>
          <cell r="I4166">
            <v>6.444</v>
          </cell>
        </row>
        <row r="4167">
          <cell r="A4167" t="str">
            <v>19-04166</v>
          </cell>
          <cell r="B4167" t="str">
            <v>H. MANCHA</v>
          </cell>
          <cell r="C4167" t="str">
            <v>A</v>
          </cell>
          <cell r="D4167" t="str">
            <v>SI</v>
          </cell>
          <cell r="E4167" t="str">
            <v>NARNIA #1 EL SOBRINO DEL</v>
          </cell>
          <cell r="F4167" t="str">
            <v>LIBRO</v>
          </cell>
          <cell r="G4167">
            <v>9788408062639</v>
          </cell>
          <cell r="H4167" t="str">
            <v>H. MANCHA</v>
          </cell>
          <cell r="I4167">
            <v>10.042999999999999</v>
          </cell>
        </row>
        <row r="4168">
          <cell r="A4168" t="str">
            <v>19-04167</v>
          </cell>
          <cell r="B4168" t="str">
            <v>H. MANCHA</v>
          </cell>
          <cell r="C4168" t="str">
            <v>A</v>
          </cell>
          <cell r="D4168" t="str">
            <v>SI</v>
          </cell>
          <cell r="E4168" t="str">
            <v>NARNIA #2 EL LEON LA BRU</v>
          </cell>
          <cell r="F4168" t="str">
            <v>LIBRO</v>
          </cell>
          <cell r="G4168">
            <v>9788408062646</v>
          </cell>
          <cell r="H4168" t="str">
            <v>H. MANCHA</v>
          </cell>
          <cell r="I4168">
            <v>10.763</v>
          </cell>
        </row>
        <row r="4169">
          <cell r="A4169" t="str">
            <v>19-04168</v>
          </cell>
          <cell r="B4169" t="str">
            <v>H. MANCHA</v>
          </cell>
          <cell r="C4169" t="str">
            <v>A</v>
          </cell>
          <cell r="D4169" t="str">
            <v>NO</v>
          </cell>
          <cell r="E4169" t="str">
            <v>NARNIA #3 EL CABALLO Y E</v>
          </cell>
          <cell r="F4169" t="str">
            <v>LIBRO</v>
          </cell>
          <cell r="G4169">
            <v>9788408062653</v>
          </cell>
          <cell r="H4169" t="str">
            <v>H. MANCHA</v>
          </cell>
          <cell r="I4169">
            <v>10.044</v>
          </cell>
        </row>
        <row r="4170">
          <cell r="A4170" t="str">
            <v>19-04169</v>
          </cell>
          <cell r="B4170" t="str">
            <v>H. MANCHA</v>
          </cell>
          <cell r="C4170" t="str">
            <v>A</v>
          </cell>
          <cell r="D4170" t="str">
            <v>SI</v>
          </cell>
          <cell r="E4170" t="str">
            <v>SALSEO GAMER</v>
          </cell>
          <cell r="F4170" t="str">
            <v>LIBRO</v>
          </cell>
          <cell r="G4170">
            <v>9786070727146</v>
          </cell>
          <cell r="H4170" t="str">
            <v>H. MANCHA</v>
          </cell>
          <cell r="I4170">
            <v>10.763</v>
          </cell>
        </row>
        <row r="4171">
          <cell r="A4171" t="str">
            <v>19-04170</v>
          </cell>
          <cell r="B4171" t="str">
            <v>H. MANCHA</v>
          </cell>
          <cell r="C4171" t="str">
            <v>A</v>
          </cell>
          <cell r="D4171" t="str">
            <v>SI</v>
          </cell>
          <cell r="E4171" t="str">
            <v>SECRETOS DE YUYA</v>
          </cell>
          <cell r="F4171" t="str">
            <v>LIBRO</v>
          </cell>
          <cell r="G4171">
            <v>9786070724077</v>
          </cell>
          <cell r="H4171" t="str">
            <v>H. MANCHA</v>
          </cell>
          <cell r="I4171">
            <v>9.3239999999999998</v>
          </cell>
        </row>
        <row r="4172">
          <cell r="A4172" t="str">
            <v>19-04171</v>
          </cell>
          <cell r="B4172" t="str">
            <v>H. MANCHA</v>
          </cell>
          <cell r="C4172" t="str">
            <v>A</v>
          </cell>
          <cell r="D4172" t="str">
            <v>SI</v>
          </cell>
          <cell r="E4172" t="str">
            <v>VIRTUAL HERO</v>
          </cell>
          <cell r="F4172" t="str">
            <v>LIBRO</v>
          </cell>
          <cell r="G4172">
            <v>9786070730634</v>
          </cell>
          <cell r="H4172" t="str">
            <v>H. MANCHA</v>
          </cell>
          <cell r="I4172">
            <v>9.3239999999999998</v>
          </cell>
        </row>
        <row r="4173">
          <cell r="A4173" t="str">
            <v>19-04172</v>
          </cell>
          <cell r="B4173" t="str">
            <v>H. MANCHA</v>
          </cell>
          <cell r="C4173" t="str">
            <v>A</v>
          </cell>
          <cell r="D4173" t="str">
            <v>NO</v>
          </cell>
          <cell r="E4173" t="str">
            <v>WIGETTA EN LAS DINOLIMPI</v>
          </cell>
          <cell r="F4173" t="str">
            <v>LIBRO</v>
          </cell>
          <cell r="G4173">
            <v>9786070727122</v>
          </cell>
          <cell r="H4173" t="str">
            <v>H. MANCHA</v>
          </cell>
          <cell r="I4173">
            <v>11.483000000000001</v>
          </cell>
        </row>
        <row r="4174">
          <cell r="A4174" t="str">
            <v>19-04173</v>
          </cell>
          <cell r="B4174" t="str">
            <v>H. MANCHA</v>
          </cell>
          <cell r="C4174" t="str">
            <v>A</v>
          </cell>
          <cell r="D4174" t="str">
            <v>NO</v>
          </cell>
          <cell r="E4174" t="str">
            <v>WIGETTA Y EL ANTIDOTO SE</v>
          </cell>
          <cell r="F4174" t="str">
            <v>LIBRO</v>
          </cell>
          <cell r="G4174">
            <v>9786070733338</v>
          </cell>
          <cell r="H4174" t="str">
            <v>H. MANCHA</v>
          </cell>
          <cell r="I4174">
            <v>0</v>
          </cell>
        </row>
        <row r="4175">
          <cell r="A4175" t="str">
            <v>19-04174</v>
          </cell>
          <cell r="B4175" t="str">
            <v>H. MANCHA</v>
          </cell>
          <cell r="C4175" t="str">
            <v>A</v>
          </cell>
          <cell r="D4175" t="str">
            <v>NO</v>
          </cell>
          <cell r="E4175" t="str">
            <v>WIGETTA Y EL BACULO DORADO</v>
          </cell>
          <cell r="F4175" t="str">
            <v>LIBRO</v>
          </cell>
          <cell r="G4175">
            <v>9786070731556</v>
          </cell>
          <cell r="H4175" t="str">
            <v>H. MANCHA</v>
          </cell>
          <cell r="I4175">
            <v>0</v>
          </cell>
        </row>
        <row r="4176">
          <cell r="A4176" t="str">
            <v>19-04175</v>
          </cell>
          <cell r="B4176" t="str">
            <v>H. MANCHA</v>
          </cell>
          <cell r="C4176" t="str">
            <v>A</v>
          </cell>
          <cell r="D4176" t="str">
            <v>SI</v>
          </cell>
          <cell r="E4176" t="str">
            <v>CUATRO HISTORIA DIVERGEN</v>
          </cell>
          <cell r="F4176" t="str">
            <v>LIBRO</v>
          </cell>
          <cell r="G4176">
            <v>9788427208063</v>
          </cell>
          <cell r="H4176" t="str">
            <v>H. MANCHA</v>
          </cell>
          <cell r="I4176">
            <v>16.523</v>
          </cell>
        </row>
        <row r="4177">
          <cell r="A4177" t="str">
            <v>19-04176</v>
          </cell>
          <cell r="B4177" t="str">
            <v>H. MANCHA</v>
          </cell>
          <cell r="C4177" t="str">
            <v>A</v>
          </cell>
          <cell r="D4177" t="str">
            <v>NO</v>
          </cell>
          <cell r="E4177" t="str">
            <v>DIARIO GREG 10 VIEJA ESC</v>
          </cell>
          <cell r="F4177" t="str">
            <v>LIBRO</v>
          </cell>
          <cell r="G4177">
            <v>9788427209442</v>
          </cell>
          <cell r="H4177" t="str">
            <v>H. MANCHA</v>
          </cell>
          <cell r="I4177">
            <v>11.483000000000001</v>
          </cell>
        </row>
        <row r="4178">
          <cell r="A4178" t="str">
            <v>19-04177</v>
          </cell>
          <cell r="B4178" t="str">
            <v>H. MANCHA</v>
          </cell>
          <cell r="C4178" t="str">
            <v>A</v>
          </cell>
          <cell r="D4178" t="str">
            <v>SI</v>
          </cell>
          <cell r="E4178" t="str">
            <v>DIARIO GREG 9 CARRETERA</v>
          </cell>
          <cell r="F4178" t="str">
            <v>LIBRO</v>
          </cell>
          <cell r="G4178">
            <v>9788427208742</v>
          </cell>
          <cell r="H4178" t="str">
            <v>H. MANCHA</v>
          </cell>
          <cell r="I4178">
            <v>15.085000000000001</v>
          </cell>
        </row>
        <row r="4179">
          <cell r="A4179" t="str">
            <v>19-04178</v>
          </cell>
          <cell r="B4179" t="str">
            <v>H. MANCHA</v>
          </cell>
          <cell r="C4179" t="str">
            <v>A</v>
          </cell>
          <cell r="D4179" t="str">
            <v>NO</v>
          </cell>
          <cell r="E4179" t="str">
            <v>DIVERGENTE 1</v>
          </cell>
          <cell r="F4179" t="str">
            <v>LIBRO</v>
          </cell>
          <cell r="G4179">
            <v>9788427201187</v>
          </cell>
          <cell r="H4179" t="str">
            <v>H. MANCHA</v>
          </cell>
          <cell r="I4179">
            <v>20.844999999999999</v>
          </cell>
        </row>
        <row r="4180">
          <cell r="A4180" t="str">
            <v>19-04179</v>
          </cell>
          <cell r="B4180" t="str">
            <v>H. MANCHA</v>
          </cell>
          <cell r="C4180" t="str">
            <v>A</v>
          </cell>
          <cell r="D4180" t="str">
            <v>NO</v>
          </cell>
          <cell r="E4180" t="str">
            <v>DIVERGENTE 2 INSURGENTE</v>
          </cell>
          <cell r="F4180" t="str">
            <v>LIBRO</v>
          </cell>
          <cell r="G4180">
            <v>9788427203181</v>
          </cell>
          <cell r="H4180" t="str">
            <v>H. MANCHA</v>
          </cell>
          <cell r="I4180">
            <v>20.843</v>
          </cell>
        </row>
        <row r="4181">
          <cell r="A4181" t="str">
            <v>19-04180</v>
          </cell>
          <cell r="B4181" t="str">
            <v>H. MANCHA</v>
          </cell>
          <cell r="C4181" t="str">
            <v>A</v>
          </cell>
          <cell r="D4181" t="str">
            <v>NO</v>
          </cell>
          <cell r="E4181" t="str">
            <v>DIVERGENTE 3 LEAL</v>
          </cell>
          <cell r="F4181" t="str">
            <v>LIBRO</v>
          </cell>
          <cell r="G4181">
            <v>9788427206861</v>
          </cell>
          <cell r="H4181" t="str">
            <v>H. MANCHA</v>
          </cell>
          <cell r="I4181">
            <v>20.125</v>
          </cell>
        </row>
        <row r="4182">
          <cell r="A4182" t="str">
            <v>19-04181</v>
          </cell>
          <cell r="B4182" t="str">
            <v>H. MANCHA</v>
          </cell>
          <cell r="C4182" t="str">
            <v>A</v>
          </cell>
          <cell r="D4182" t="str">
            <v>NO</v>
          </cell>
          <cell r="E4182" t="str">
            <v>JUEGOS DEL HAMBRE 1 JUEGOS</v>
          </cell>
          <cell r="F4182" t="str">
            <v>LIBRO</v>
          </cell>
          <cell r="G4182">
            <v>9788427202122</v>
          </cell>
          <cell r="H4182" t="str">
            <v>H. MANCHA</v>
          </cell>
          <cell r="I4182">
            <v>9.3230000000000004</v>
          </cell>
        </row>
        <row r="4183">
          <cell r="A4183" t="str">
            <v>19-04182</v>
          </cell>
          <cell r="B4183" t="str">
            <v>H. MANCHA</v>
          </cell>
          <cell r="C4183" t="str">
            <v>A</v>
          </cell>
          <cell r="D4183" t="str">
            <v>NO</v>
          </cell>
          <cell r="E4183" t="str">
            <v>JUEGOS DEL HAMBRE 2 EN LLAMAS</v>
          </cell>
          <cell r="F4183" t="str">
            <v>LIBRO</v>
          </cell>
          <cell r="G4183">
            <v>9788427202139</v>
          </cell>
          <cell r="H4183" t="str">
            <v>H. MANCHA</v>
          </cell>
          <cell r="I4183">
            <v>17.96</v>
          </cell>
        </row>
        <row r="4184">
          <cell r="A4184" t="str">
            <v>19-04183</v>
          </cell>
          <cell r="B4184" t="str">
            <v>H. MANCHA</v>
          </cell>
          <cell r="C4184" t="str">
            <v>A</v>
          </cell>
          <cell r="D4184" t="str">
            <v>NO</v>
          </cell>
          <cell r="E4184" t="str">
            <v>JUEGOS DEL HAMBRE 3 SINSAJO</v>
          </cell>
          <cell r="F4184" t="str">
            <v>LIBRO</v>
          </cell>
          <cell r="G4184">
            <v>9788427202146</v>
          </cell>
          <cell r="H4184" t="str">
            <v>H. MANCHA</v>
          </cell>
          <cell r="I4184">
            <v>17.965</v>
          </cell>
        </row>
        <row r="4185">
          <cell r="A4185" t="str">
            <v>19-04184</v>
          </cell>
          <cell r="B4185" t="str">
            <v>H. MANCHA</v>
          </cell>
          <cell r="C4185" t="str">
            <v>A</v>
          </cell>
          <cell r="D4185" t="str">
            <v>NO</v>
          </cell>
          <cell r="E4185" t="str">
            <v>LO QUE NO MATA HACE MAS FUERTE</v>
          </cell>
          <cell r="F4185" t="str">
            <v>LIBRO</v>
          </cell>
          <cell r="G4185">
            <v>9786070729485</v>
          </cell>
          <cell r="H4185" t="str">
            <v>H. MANCHA</v>
          </cell>
          <cell r="I4185">
            <v>20.123000000000001</v>
          </cell>
        </row>
        <row r="4186">
          <cell r="A4186" t="str">
            <v>19-04185</v>
          </cell>
          <cell r="B4186" t="str">
            <v>H. MANCHA</v>
          </cell>
          <cell r="C4186" t="str">
            <v>A</v>
          </cell>
          <cell r="D4186" t="str">
            <v>SI</v>
          </cell>
          <cell r="E4186" t="str">
            <v>GRAN APUESTA, LA</v>
          </cell>
          <cell r="F4186" t="str">
            <v>LIBRO</v>
          </cell>
          <cell r="G4186">
            <v>9788499922331</v>
          </cell>
          <cell r="H4186" t="str">
            <v>H. MANCHA</v>
          </cell>
          <cell r="I4186">
            <v>22.285</v>
          </cell>
        </row>
        <row r="4187">
          <cell r="A4187" t="str">
            <v>19-04186</v>
          </cell>
          <cell r="B4187" t="str">
            <v>H. MANCHA</v>
          </cell>
          <cell r="C4187" t="str">
            <v>A</v>
          </cell>
          <cell r="D4187" t="str">
            <v>NO</v>
          </cell>
          <cell r="E4187" t="str">
            <v>HABITACION, LA</v>
          </cell>
          <cell r="F4187" t="str">
            <v>LIBRO</v>
          </cell>
          <cell r="G4187">
            <v>9788420406619</v>
          </cell>
          <cell r="H4187" t="str">
            <v>H. MANCHA</v>
          </cell>
          <cell r="I4187">
            <v>18.684000000000001</v>
          </cell>
        </row>
        <row r="4188">
          <cell r="A4188" t="str">
            <v>19-04187</v>
          </cell>
          <cell r="B4188" t="str">
            <v>H. MANCHA</v>
          </cell>
          <cell r="C4188" t="str">
            <v>A</v>
          </cell>
          <cell r="D4188" t="str">
            <v>NO</v>
          </cell>
          <cell r="E4188" t="str">
            <v>MAESTRA</v>
          </cell>
          <cell r="F4188" t="str">
            <v>LIBRO</v>
          </cell>
          <cell r="G4188">
            <v>9788416498017</v>
          </cell>
          <cell r="H4188" t="str">
            <v>H. MANCHA</v>
          </cell>
          <cell r="I4188">
            <v>0</v>
          </cell>
        </row>
        <row r="4189">
          <cell r="A4189" t="str">
            <v>19-04188</v>
          </cell>
          <cell r="B4189" t="str">
            <v>H. MANCHA</v>
          </cell>
          <cell r="C4189" t="str">
            <v>A</v>
          </cell>
          <cell r="D4189" t="str">
            <v>NO</v>
          </cell>
          <cell r="E4189" t="str">
            <v>ESTOY BIEN</v>
          </cell>
          <cell r="F4189" t="str">
            <v>LIBRO</v>
          </cell>
          <cell r="G4189">
            <v>9786070720413</v>
          </cell>
          <cell r="H4189" t="str">
            <v>H. MANCHA</v>
          </cell>
          <cell r="I4189">
            <v>20.844999999999999</v>
          </cell>
        </row>
        <row r="4190">
          <cell r="A4190" t="str">
            <v>19-04189</v>
          </cell>
          <cell r="B4190" t="str">
            <v>H. MANCHA</v>
          </cell>
          <cell r="C4190" t="str">
            <v>A</v>
          </cell>
          <cell r="D4190" t="str">
            <v>SI</v>
          </cell>
          <cell r="E4190" t="str">
            <v>QUERIDO ESCORPION</v>
          </cell>
          <cell r="F4190" t="str">
            <v>LIBRO</v>
          </cell>
          <cell r="G4190">
            <v>9786070716041</v>
          </cell>
          <cell r="H4190" t="str">
            <v>H. MANCHA</v>
          </cell>
          <cell r="I4190">
            <v>12.205</v>
          </cell>
        </row>
        <row r="4191">
          <cell r="A4191" t="str">
            <v>19-04190</v>
          </cell>
          <cell r="B4191" t="str">
            <v>H. MANCHA</v>
          </cell>
          <cell r="C4191" t="str">
            <v>A</v>
          </cell>
          <cell r="D4191" t="str">
            <v>NO</v>
          </cell>
          <cell r="E4191" t="str">
            <v>MANDALAS 30 PARA PINTAR</v>
          </cell>
          <cell r="F4191" t="str">
            <v>LIBRO</v>
          </cell>
          <cell r="G4191">
            <v>9789876342209</v>
          </cell>
          <cell r="H4191" t="str">
            <v>H. MANCHA</v>
          </cell>
          <cell r="I4191">
            <v>0</v>
          </cell>
        </row>
        <row r="4192">
          <cell r="A4192" t="str">
            <v>19-04191</v>
          </cell>
          <cell r="B4192" t="str">
            <v>H. MANCHA</v>
          </cell>
          <cell r="C4192" t="str">
            <v>A</v>
          </cell>
          <cell r="D4192" t="str">
            <v>NO</v>
          </cell>
          <cell r="E4192" t="str">
            <v>MANDALAS ARTE DE LA INDIA</v>
          </cell>
          <cell r="F4192" t="str">
            <v>LIBRO</v>
          </cell>
          <cell r="G4192">
            <v>9789876344395</v>
          </cell>
          <cell r="H4192" t="str">
            <v>H. MANCHA</v>
          </cell>
          <cell r="I4192">
            <v>0</v>
          </cell>
        </row>
        <row r="4193">
          <cell r="A4193" t="str">
            <v>19-04192</v>
          </cell>
          <cell r="B4193" t="str">
            <v>H. MANCHA</v>
          </cell>
          <cell r="C4193" t="str">
            <v>A</v>
          </cell>
          <cell r="D4193" t="str">
            <v>NO</v>
          </cell>
          <cell r="E4193" t="str">
            <v>MANDALAS ARTE Y BIENESTAR</v>
          </cell>
          <cell r="F4193" t="str">
            <v>LIBRO</v>
          </cell>
          <cell r="G4193">
            <v>9789876345859</v>
          </cell>
          <cell r="H4193" t="str">
            <v>H. MANCHA</v>
          </cell>
          <cell r="I4193">
            <v>0</v>
          </cell>
        </row>
        <row r="4194">
          <cell r="A4194" t="str">
            <v>19-04193</v>
          </cell>
          <cell r="B4194" t="str">
            <v>H. MANCHA</v>
          </cell>
          <cell r="C4194" t="str">
            <v>A</v>
          </cell>
          <cell r="D4194" t="str">
            <v>SI</v>
          </cell>
          <cell r="E4194" t="str">
            <v>MANDALAS AUTOSUPERACION</v>
          </cell>
          <cell r="F4194" t="str">
            <v>LIBRO</v>
          </cell>
          <cell r="G4194">
            <v>9789876349161</v>
          </cell>
          <cell r="H4194" t="str">
            <v>H. MANCHA</v>
          </cell>
          <cell r="I4194">
            <v>3.5649999999999999</v>
          </cell>
        </row>
        <row r="4195">
          <cell r="A4195" t="str">
            <v>19-04194</v>
          </cell>
          <cell r="B4195" t="str">
            <v>H. MANCHA</v>
          </cell>
          <cell r="C4195" t="str">
            <v>A</v>
          </cell>
          <cell r="D4195" t="str">
            <v>SI</v>
          </cell>
          <cell r="E4195" t="str">
            <v>MANDALAS BELLEZA DE CREAR</v>
          </cell>
          <cell r="F4195" t="str">
            <v>LIBRO</v>
          </cell>
          <cell r="G4195">
            <v>9789876343848</v>
          </cell>
          <cell r="H4195" t="str">
            <v>H. MANCHA</v>
          </cell>
          <cell r="I4195">
            <v>3.5630000000000002</v>
          </cell>
        </row>
        <row r="4196">
          <cell r="A4196" t="str">
            <v>19-04195</v>
          </cell>
          <cell r="B4196" t="str">
            <v>H. MANCHA</v>
          </cell>
          <cell r="C4196" t="str">
            <v>A</v>
          </cell>
          <cell r="D4196" t="str">
            <v>SI</v>
          </cell>
          <cell r="E4196" t="str">
            <v>MANDALAS CAMINOS DE RELAJACION</v>
          </cell>
          <cell r="F4196" t="str">
            <v>LIBRO</v>
          </cell>
          <cell r="G4196">
            <v>9789876343381</v>
          </cell>
          <cell r="H4196" t="str">
            <v>H. MANCHA</v>
          </cell>
          <cell r="I4196">
            <v>3.5640000000000001</v>
          </cell>
        </row>
        <row r="4197">
          <cell r="A4197" t="str">
            <v>19-04196</v>
          </cell>
          <cell r="B4197" t="str">
            <v>H. MANCHA</v>
          </cell>
          <cell r="C4197" t="str">
            <v>A</v>
          </cell>
          <cell r="D4197" t="str">
            <v>NO</v>
          </cell>
          <cell r="E4197" t="str">
            <v>MANDALAS DE LUZ</v>
          </cell>
          <cell r="F4197" t="str">
            <v>LIBRO</v>
          </cell>
          <cell r="G4197">
            <v>9789876345989</v>
          </cell>
          <cell r="H4197" t="str">
            <v>H. MANCHA</v>
          </cell>
          <cell r="I4197">
            <v>0</v>
          </cell>
        </row>
        <row r="4198">
          <cell r="A4198" t="str">
            <v>19-04197</v>
          </cell>
          <cell r="B4198" t="str">
            <v>H. MANCHA</v>
          </cell>
          <cell r="C4198" t="str">
            <v>A</v>
          </cell>
          <cell r="D4198" t="str">
            <v>SI</v>
          </cell>
          <cell r="E4198" t="str">
            <v>MANDALAS DE RELAJACION</v>
          </cell>
          <cell r="F4198" t="str">
            <v>LIBRO</v>
          </cell>
          <cell r="G4198">
            <v>9789876345972</v>
          </cell>
          <cell r="H4198" t="str">
            <v>H. MANCHA</v>
          </cell>
          <cell r="I4198">
            <v>3.5640000000000001</v>
          </cell>
        </row>
        <row r="4199">
          <cell r="A4199" t="str">
            <v>19-04198</v>
          </cell>
          <cell r="B4199" t="str">
            <v>H. MANCHA</v>
          </cell>
          <cell r="C4199" t="str">
            <v>A</v>
          </cell>
          <cell r="D4199" t="str">
            <v>SI</v>
          </cell>
          <cell r="E4199" t="str">
            <v>MANDALAS DEL RENACER</v>
          </cell>
          <cell r="F4199" t="str">
            <v>LIBRO</v>
          </cell>
          <cell r="G4199">
            <v>9789876348294</v>
          </cell>
          <cell r="H4199" t="str">
            <v>H. MANCHA</v>
          </cell>
          <cell r="I4199">
            <v>3.5649999999999999</v>
          </cell>
        </row>
        <row r="4200">
          <cell r="A4200" t="str">
            <v>19-04199</v>
          </cell>
          <cell r="B4200" t="str">
            <v>H. MANCHA</v>
          </cell>
          <cell r="C4200" t="str">
            <v>A</v>
          </cell>
          <cell r="D4200" t="str">
            <v>SI</v>
          </cell>
          <cell r="E4200" t="str">
            <v>MANDALAS DIBUJO DEL ALMA</v>
          </cell>
          <cell r="F4200" t="str">
            <v>LIBRO</v>
          </cell>
          <cell r="G4200">
            <v>9789876348300</v>
          </cell>
          <cell r="H4200" t="str">
            <v>H. MANCHA</v>
          </cell>
          <cell r="I4200">
            <v>3.5630000000000002</v>
          </cell>
        </row>
        <row r="4201">
          <cell r="A4201" t="str">
            <v>19-04200</v>
          </cell>
          <cell r="B4201" t="str">
            <v>H. MANCHA</v>
          </cell>
          <cell r="C4201" t="str">
            <v>A</v>
          </cell>
          <cell r="D4201" t="str">
            <v>NO</v>
          </cell>
          <cell r="E4201" t="str">
            <v>MANDALAS DISENOS PARA LA ARMONIA INTERIOR</v>
          </cell>
          <cell r="F4201" t="str">
            <v>LIBRO</v>
          </cell>
          <cell r="G4201">
            <v>9789876342995</v>
          </cell>
          <cell r="H4201" t="str">
            <v>H. MANCHA</v>
          </cell>
          <cell r="I4201">
            <v>0</v>
          </cell>
        </row>
        <row r="4202">
          <cell r="A4202" t="str">
            <v>19-04201</v>
          </cell>
          <cell r="B4202" t="str">
            <v>H. MANCHA</v>
          </cell>
          <cell r="C4202" t="str">
            <v>A</v>
          </cell>
          <cell r="D4202" t="str">
            <v>SI</v>
          </cell>
          <cell r="E4202" t="str">
            <v>MANDALAS PARA LA PAZ</v>
          </cell>
          <cell r="F4202" t="str">
            <v>LIBRO</v>
          </cell>
          <cell r="G4202">
            <v>9789876348706</v>
          </cell>
          <cell r="H4202" t="str">
            <v>H. MANCHA</v>
          </cell>
          <cell r="I4202">
            <v>3.5640000000000001</v>
          </cell>
        </row>
        <row r="4203">
          <cell r="A4203" t="str">
            <v>19-04202</v>
          </cell>
          <cell r="B4203" t="str">
            <v>H. MANCHA</v>
          </cell>
          <cell r="C4203" t="str">
            <v>A</v>
          </cell>
          <cell r="D4203" t="str">
            <v>NO</v>
          </cell>
          <cell r="E4203" t="str">
            <v>MANDALAS PARA LAS NINAS</v>
          </cell>
          <cell r="F4203" t="str">
            <v>LIBRO</v>
          </cell>
          <cell r="G4203">
            <v>9789876344418</v>
          </cell>
          <cell r="H4203" t="str">
            <v>H. MANCHA</v>
          </cell>
          <cell r="I4203">
            <v>0</v>
          </cell>
        </row>
        <row r="4204">
          <cell r="A4204" t="str">
            <v>19-04203</v>
          </cell>
          <cell r="B4204" t="str">
            <v>H. MANCHA</v>
          </cell>
          <cell r="C4204" t="str">
            <v>A</v>
          </cell>
          <cell r="D4204" t="str">
            <v>NO</v>
          </cell>
          <cell r="E4204" t="str">
            <v>MANDALAS PARA LIBERTAD INTERIOR</v>
          </cell>
          <cell r="F4204" t="str">
            <v>LIBRO</v>
          </cell>
          <cell r="G4204">
            <v>9789876348690</v>
          </cell>
          <cell r="H4204" t="str">
            <v>H. MANCHA</v>
          </cell>
          <cell r="I4204">
            <v>3.5649999999999999</v>
          </cell>
        </row>
        <row r="4205">
          <cell r="A4205" t="str">
            <v>19-04204</v>
          </cell>
          <cell r="B4205" t="str">
            <v>H. MANCHA</v>
          </cell>
          <cell r="C4205" t="str">
            <v>A</v>
          </cell>
          <cell r="D4205" t="str">
            <v>NO</v>
          </cell>
          <cell r="E4205" t="str">
            <v>MANDALAS PARA LOS NINOS</v>
          </cell>
          <cell r="F4205" t="str">
            <v>LIBRO</v>
          </cell>
          <cell r="G4205">
            <v>9789876343046</v>
          </cell>
          <cell r="H4205" t="str">
            <v>H. MANCHA</v>
          </cell>
          <cell r="I4205">
            <v>0</v>
          </cell>
        </row>
        <row r="4206">
          <cell r="A4206" t="str">
            <v>19-04205</v>
          </cell>
          <cell r="B4206" t="str">
            <v>H. MANCHA</v>
          </cell>
          <cell r="C4206" t="str">
            <v>A</v>
          </cell>
          <cell r="D4206" t="str">
            <v>SI</v>
          </cell>
          <cell r="E4206" t="str">
            <v>ML 1200 GRAFFITIS</v>
          </cell>
          <cell r="F4206" t="str">
            <v>LIBRO</v>
          </cell>
          <cell r="G4206">
            <v>9789972882197</v>
          </cell>
          <cell r="H4206" t="str">
            <v>H. MANCHA</v>
          </cell>
          <cell r="I4206">
            <v>6.44</v>
          </cell>
        </row>
        <row r="4207">
          <cell r="A4207" t="str">
            <v>19-04206</v>
          </cell>
          <cell r="B4207" t="str">
            <v>H. MANCHA</v>
          </cell>
          <cell r="C4207" t="str">
            <v>A</v>
          </cell>
          <cell r="D4207" t="str">
            <v>SI</v>
          </cell>
          <cell r="E4207" t="str">
            <v>ML 200 GRANDES PINTURAS</v>
          </cell>
          <cell r="F4207" t="str">
            <v>LIBRO</v>
          </cell>
          <cell r="G4207">
            <v>9786123030360</v>
          </cell>
          <cell r="H4207" t="str">
            <v>H. MANCHA</v>
          </cell>
          <cell r="I4207">
            <v>6.4450000000000003</v>
          </cell>
        </row>
        <row r="4208">
          <cell r="A4208" t="str">
            <v>19-04207</v>
          </cell>
          <cell r="B4208" t="str">
            <v>H. MANCHA</v>
          </cell>
          <cell r="C4208" t="str">
            <v>A</v>
          </cell>
          <cell r="D4208" t="str">
            <v>NO</v>
          </cell>
          <cell r="E4208" t="str">
            <v>ML 900 MANERAS DE HACER</v>
          </cell>
          <cell r="F4208" t="str">
            <v>LIBRO</v>
          </cell>
          <cell r="G4208">
            <v>9786034013377</v>
          </cell>
          <cell r="H4208" t="str">
            <v>H. MANCHA</v>
          </cell>
          <cell r="I4208">
            <v>0</v>
          </cell>
        </row>
        <row r="4209">
          <cell r="A4209" t="str">
            <v>19-04208</v>
          </cell>
          <cell r="B4209" t="str">
            <v>H. MANCHA</v>
          </cell>
          <cell r="C4209" t="str">
            <v>A</v>
          </cell>
          <cell r="D4209" t="str">
            <v>SI</v>
          </cell>
          <cell r="E4209" t="str">
            <v>ML ALICIA EN EL PAIS DE</v>
          </cell>
          <cell r="F4209" t="str">
            <v>LIBRO</v>
          </cell>
          <cell r="G4209">
            <v>9786124076602</v>
          </cell>
          <cell r="H4209" t="str">
            <v>H. MANCHA</v>
          </cell>
          <cell r="I4209">
            <v>6.4429999999999996</v>
          </cell>
        </row>
        <row r="4210">
          <cell r="A4210" t="str">
            <v>19-04209</v>
          </cell>
          <cell r="B4210" t="str">
            <v>H. MANCHA</v>
          </cell>
          <cell r="C4210" t="str">
            <v>A</v>
          </cell>
          <cell r="D4210" t="str">
            <v>SI</v>
          </cell>
          <cell r="E4210" t="str">
            <v>ML ALMAS GEMELAS</v>
          </cell>
          <cell r="F4210" t="str">
            <v>LIBRO</v>
          </cell>
          <cell r="G4210">
            <v>9789972206498</v>
          </cell>
          <cell r="H4210" t="str">
            <v>H. MANCHA</v>
          </cell>
          <cell r="I4210">
            <v>6.4450000000000003</v>
          </cell>
        </row>
        <row r="4211">
          <cell r="A4211" t="str">
            <v>19-04210</v>
          </cell>
          <cell r="B4211" t="str">
            <v>H. MANCHA</v>
          </cell>
          <cell r="C4211" t="str">
            <v>A</v>
          </cell>
          <cell r="D4211" t="str">
            <v>SI</v>
          </cell>
          <cell r="E4211" t="str">
            <v>ML AMISTAD</v>
          </cell>
          <cell r="F4211" t="str">
            <v>LIBRO</v>
          </cell>
          <cell r="G4211">
            <v>9789972998867</v>
          </cell>
          <cell r="H4211" t="str">
            <v>H. MANCHA</v>
          </cell>
          <cell r="I4211">
            <v>6.4450000000000003</v>
          </cell>
        </row>
        <row r="4212">
          <cell r="A4212" t="str">
            <v>19-04211</v>
          </cell>
          <cell r="B4212" t="str">
            <v>H. MANCHA</v>
          </cell>
          <cell r="C4212" t="str">
            <v>A</v>
          </cell>
          <cell r="D4212" t="str">
            <v>SI</v>
          </cell>
          <cell r="E4212" t="str">
            <v>ML ANTIGUO TESTAMENTO</v>
          </cell>
          <cell r="F4212" t="str">
            <v>LIBRO</v>
          </cell>
          <cell r="G4212">
            <v>9786124013744</v>
          </cell>
          <cell r="H4212" t="str">
            <v>H. MANCHA</v>
          </cell>
          <cell r="I4212">
            <v>6.4429999999999996</v>
          </cell>
        </row>
        <row r="4213">
          <cell r="A4213" t="str">
            <v>19-04212</v>
          </cell>
          <cell r="B4213" t="str">
            <v>H. MANCHA</v>
          </cell>
          <cell r="C4213" t="str">
            <v>A</v>
          </cell>
          <cell r="D4213" t="str">
            <v>SI</v>
          </cell>
          <cell r="E4213" t="str">
            <v>ML ARTE DE LA GUERRA EL</v>
          </cell>
          <cell r="F4213" t="str">
            <v>LIBRO</v>
          </cell>
          <cell r="G4213">
            <v>9786124013171</v>
          </cell>
          <cell r="H4213" t="str">
            <v>H. MANCHA</v>
          </cell>
          <cell r="I4213">
            <v>6.4429999999999996</v>
          </cell>
        </row>
        <row r="4214">
          <cell r="A4214" t="str">
            <v>19-04213</v>
          </cell>
          <cell r="B4214" t="str">
            <v>H. MANCHA</v>
          </cell>
          <cell r="C4214" t="str">
            <v>A</v>
          </cell>
          <cell r="D4214" t="str">
            <v>SI</v>
          </cell>
          <cell r="E4214" t="str">
            <v>ML CHE GUEVARA</v>
          </cell>
          <cell r="F4214" t="str">
            <v>LIBRO</v>
          </cell>
          <cell r="G4214">
            <v>9789972886492</v>
          </cell>
          <cell r="H4214" t="str">
            <v>H. MANCHA</v>
          </cell>
          <cell r="I4214">
            <v>6.4429999999999996</v>
          </cell>
        </row>
        <row r="4215">
          <cell r="A4215" t="str">
            <v>19-04214</v>
          </cell>
          <cell r="B4215" t="str">
            <v>H. MANCHA</v>
          </cell>
          <cell r="C4215" t="str">
            <v>A</v>
          </cell>
          <cell r="D4215" t="str">
            <v>SI</v>
          </cell>
          <cell r="E4215" t="str">
            <v>ML CHISTES PARA ADULTOS</v>
          </cell>
          <cell r="F4215" t="str">
            <v>LIBRO</v>
          </cell>
          <cell r="G4215">
            <v>9786034013438</v>
          </cell>
          <cell r="H4215" t="str">
            <v>H. MANCHA</v>
          </cell>
          <cell r="I4215">
            <v>6.4450000000000003</v>
          </cell>
        </row>
        <row r="4216">
          <cell r="A4216" t="str">
            <v>19-04215</v>
          </cell>
          <cell r="B4216" t="str">
            <v>H. MANCHA</v>
          </cell>
          <cell r="C4216" t="str">
            <v>A</v>
          </cell>
          <cell r="D4216" t="str">
            <v>SI</v>
          </cell>
          <cell r="E4216" t="str">
            <v>ML CHISTES PICANTES</v>
          </cell>
          <cell r="F4216" t="str">
            <v>LIBRO</v>
          </cell>
          <cell r="G4216">
            <v>9786034013315</v>
          </cell>
          <cell r="H4216" t="str">
            <v>H. MANCHA</v>
          </cell>
          <cell r="I4216">
            <v>6.4429999999999996</v>
          </cell>
        </row>
        <row r="4217">
          <cell r="A4217" t="str">
            <v>19-04216</v>
          </cell>
          <cell r="B4217" t="str">
            <v>H. MANCHA</v>
          </cell>
          <cell r="C4217" t="str">
            <v>A</v>
          </cell>
          <cell r="D4217" t="str">
            <v>SI</v>
          </cell>
          <cell r="E4217" t="str">
            <v>ML COCTELES</v>
          </cell>
          <cell r="F4217" t="str">
            <v>LIBRO</v>
          </cell>
          <cell r="G4217">
            <v>9786124076862</v>
          </cell>
          <cell r="H4217" t="str">
            <v>H. MANCHA</v>
          </cell>
          <cell r="I4217">
            <v>6.4450000000000003</v>
          </cell>
        </row>
        <row r="4218">
          <cell r="A4218" t="str">
            <v>19-04217</v>
          </cell>
          <cell r="B4218" t="str">
            <v>H. MANCHA</v>
          </cell>
          <cell r="C4218" t="str">
            <v>A</v>
          </cell>
          <cell r="D4218" t="str">
            <v>SI</v>
          </cell>
          <cell r="E4218" t="str">
            <v>ML DICC ESPANOL INGLES</v>
          </cell>
          <cell r="F4218" t="str">
            <v>LIBRO</v>
          </cell>
          <cell r="G4218">
            <v>9786123031664</v>
          </cell>
          <cell r="H4218" t="str">
            <v>H. MANCHA</v>
          </cell>
          <cell r="I4218">
            <v>6.4450000000000003</v>
          </cell>
        </row>
        <row r="4219">
          <cell r="A4219" t="str">
            <v>19-04218</v>
          </cell>
          <cell r="B4219" t="str">
            <v>H. MANCHA</v>
          </cell>
          <cell r="C4219" t="str">
            <v>A</v>
          </cell>
          <cell r="D4219" t="str">
            <v>SI</v>
          </cell>
          <cell r="E4219" t="str">
            <v>ML DINOSAURIOS</v>
          </cell>
          <cell r="F4219" t="str">
            <v>LIBRO</v>
          </cell>
          <cell r="G4219">
            <v>9786124013799</v>
          </cell>
          <cell r="H4219" t="str">
            <v>H. MANCHA</v>
          </cell>
          <cell r="I4219">
            <v>6.4429999999999996</v>
          </cell>
        </row>
        <row r="4220">
          <cell r="A4220" t="str">
            <v>19-04219</v>
          </cell>
          <cell r="B4220" t="str">
            <v>H. MANCHA</v>
          </cell>
          <cell r="C4220" t="str">
            <v>A</v>
          </cell>
          <cell r="D4220" t="str">
            <v>SI</v>
          </cell>
          <cell r="E4220" t="str">
            <v>ML DON QUIJOTE 1 DE LA M</v>
          </cell>
          <cell r="F4220" t="str">
            <v>LIBRO</v>
          </cell>
          <cell r="G4220">
            <v>9789972206788</v>
          </cell>
          <cell r="H4220" t="str">
            <v>H. MANCHA</v>
          </cell>
          <cell r="I4220">
            <v>6.4450000000000003</v>
          </cell>
        </row>
        <row r="4221">
          <cell r="A4221" t="str">
            <v>19-04220</v>
          </cell>
          <cell r="B4221" t="str">
            <v>H. MANCHA</v>
          </cell>
          <cell r="C4221" t="str">
            <v>A</v>
          </cell>
          <cell r="D4221" t="str">
            <v>SI</v>
          </cell>
          <cell r="E4221" t="str">
            <v>ML FRASES DE AMOR</v>
          </cell>
          <cell r="F4221" t="str">
            <v>LIBRO</v>
          </cell>
          <cell r="G4221">
            <v>9786124076848</v>
          </cell>
          <cell r="H4221" t="str">
            <v>H. MANCHA</v>
          </cell>
          <cell r="I4221">
            <v>6.4450000000000003</v>
          </cell>
        </row>
        <row r="4222">
          <cell r="A4222" t="str">
            <v>19-04221</v>
          </cell>
          <cell r="B4222" t="str">
            <v>H. MANCHA</v>
          </cell>
          <cell r="C4222" t="str">
            <v>A</v>
          </cell>
          <cell r="D4222" t="str">
            <v>SI</v>
          </cell>
          <cell r="E4222" t="str">
            <v>ML MINIBIBLIA C/M EL NEC</v>
          </cell>
          <cell r="F4222" t="str">
            <v>LIBRO</v>
          </cell>
          <cell r="G4222">
            <v>9786124013072</v>
          </cell>
          <cell r="H4222" t="str">
            <v>H. MANCHA</v>
          </cell>
          <cell r="I4222">
            <v>6.4429999999999996</v>
          </cell>
        </row>
        <row r="4223">
          <cell r="A4223" t="str">
            <v>19-04222</v>
          </cell>
          <cell r="B4223" t="str">
            <v>H. MANCHA</v>
          </cell>
          <cell r="C4223" t="str">
            <v>A</v>
          </cell>
          <cell r="D4223" t="str">
            <v>SI</v>
          </cell>
          <cell r="E4223" t="str">
            <v>ML MUNDO MAGICO DE LOS D</v>
          </cell>
          <cell r="F4223" t="str">
            <v>LIBRO</v>
          </cell>
          <cell r="G4223">
            <v>9786123031206</v>
          </cell>
          <cell r="H4223" t="str">
            <v>H. MANCHA</v>
          </cell>
          <cell r="I4223">
            <v>6.4450000000000003</v>
          </cell>
        </row>
        <row r="4224">
          <cell r="A4224" t="str">
            <v>19-04223</v>
          </cell>
          <cell r="B4224" t="str">
            <v>H. MANCHA</v>
          </cell>
          <cell r="C4224" t="str">
            <v>A</v>
          </cell>
          <cell r="D4224" t="str">
            <v>NO</v>
          </cell>
          <cell r="E4224" t="str">
            <v>ML NEGOCIOS 190 SECRETOS</v>
          </cell>
          <cell r="F4224" t="str">
            <v>LIBRO</v>
          </cell>
          <cell r="G4224">
            <v>9789972896422</v>
          </cell>
          <cell r="H4224" t="str">
            <v>H. MANCHA</v>
          </cell>
          <cell r="I4224">
            <v>0</v>
          </cell>
        </row>
        <row r="4225">
          <cell r="A4225" t="str">
            <v>19-04224</v>
          </cell>
          <cell r="B4225" t="str">
            <v>H. MANCHA</v>
          </cell>
          <cell r="C4225" t="str">
            <v>A</v>
          </cell>
          <cell r="D4225" t="str">
            <v>SI</v>
          </cell>
          <cell r="E4225" t="str">
            <v>ML OSHO SABIDURIA</v>
          </cell>
          <cell r="F4225" t="str">
            <v>LIBRO</v>
          </cell>
          <cell r="G4225">
            <v>9789972886997</v>
          </cell>
          <cell r="H4225" t="str">
            <v>H. MANCHA</v>
          </cell>
          <cell r="I4225">
            <v>6.4429999999999996</v>
          </cell>
        </row>
        <row r="4226">
          <cell r="A4226" t="str">
            <v>19-04225</v>
          </cell>
          <cell r="B4226" t="str">
            <v>H. MANCHA</v>
          </cell>
          <cell r="C4226" t="str">
            <v>A</v>
          </cell>
          <cell r="D4226" t="str">
            <v>SI</v>
          </cell>
          <cell r="E4226" t="str">
            <v>ML PALABRAS QUE GUIAN I</v>
          </cell>
          <cell r="F4226" t="str">
            <v>LIBRO</v>
          </cell>
          <cell r="G4226">
            <v>9789972206429</v>
          </cell>
          <cell r="H4226" t="str">
            <v>H. MANCHA</v>
          </cell>
          <cell r="I4226">
            <v>6.4429999999999996</v>
          </cell>
        </row>
        <row r="4227">
          <cell r="A4227" t="str">
            <v>19-04226</v>
          </cell>
          <cell r="B4227" t="str">
            <v>H. MANCHA</v>
          </cell>
          <cell r="C4227" t="str">
            <v>A</v>
          </cell>
          <cell r="D4227" t="str">
            <v>SI</v>
          </cell>
          <cell r="E4227" t="str">
            <v>ML RISA REMEDIO INFALIBL</v>
          </cell>
          <cell r="F4227" t="str">
            <v>LIBRO</v>
          </cell>
          <cell r="G4227">
            <v>9786034013407</v>
          </cell>
          <cell r="H4227" t="str">
            <v>H. MANCHA</v>
          </cell>
          <cell r="I4227">
            <v>6.4450000000000003</v>
          </cell>
        </row>
        <row r="4228">
          <cell r="A4228" t="str">
            <v>19-04227</v>
          </cell>
          <cell r="B4228" t="str">
            <v>H. MANCHA</v>
          </cell>
          <cell r="C4228" t="str">
            <v>A</v>
          </cell>
          <cell r="D4228" t="str">
            <v>SI</v>
          </cell>
          <cell r="E4228" t="str">
            <v>ML TRABALENGUAS</v>
          </cell>
          <cell r="F4228" t="str">
            <v>LIBRO</v>
          </cell>
          <cell r="G4228">
            <v>9786124013348</v>
          </cell>
          <cell r="H4228" t="str">
            <v>H. MANCHA</v>
          </cell>
          <cell r="I4228">
            <v>6.4429999999999996</v>
          </cell>
        </row>
        <row r="4229">
          <cell r="A4229" t="str">
            <v>19-04228</v>
          </cell>
          <cell r="B4229" t="str">
            <v>H. MANCHA</v>
          </cell>
          <cell r="C4229" t="str">
            <v>A</v>
          </cell>
          <cell r="D4229" t="str">
            <v>NO</v>
          </cell>
          <cell r="E4229" t="str">
            <v>PANAMA MOLA PUENTE MUNDO COR</v>
          </cell>
          <cell r="F4229" t="str">
            <v>LIBRO</v>
          </cell>
          <cell r="G4229">
            <v>9788494413902</v>
          </cell>
          <cell r="H4229" t="str">
            <v>H. MANCHA</v>
          </cell>
          <cell r="I4229">
            <v>32.4</v>
          </cell>
        </row>
        <row r="4230">
          <cell r="A4230" t="str">
            <v>19-04229</v>
          </cell>
          <cell r="B4230" t="str">
            <v>H. MANCHA</v>
          </cell>
          <cell r="C4230" t="str">
            <v>A</v>
          </cell>
          <cell r="D4230" t="str">
            <v>NO</v>
          </cell>
          <cell r="E4230" t="str">
            <v>PANAMA PAISAJE PUENTE MUNDO</v>
          </cell>
          <cell r="F4230" t="str">
            <v>LIBRO</v>
          </cell>
          <cell r="G4230">
            <v>9788494413919</v>
          </cell>
          <cell r="H4230" t="str">
            <v>H. MANCHA</v>
          </cell>
          <cell r="I4230">
            <v>32.4</v>
          </cell>
        </row>
        <row r="4231">
          <cell r="A4231" t="str">
            <v>19-04230</v>
          </cell>
          <cell r="B4231" t="str">
            <v>H. MANCHA</v>
          </cell>
          <cell r="C4231" t="str">
            <v>A</v>
          </cell>
          <cell r="D4231" t="str">
            <v>SI</v>
          </cell>
          <cell r="E4231" t="str">
            <v>AQUARELLE MINI CABALLOS</v>
          </cell>
          <cell r="F4231" t="str">
            <v>ROMPECABEZAS</v>
          </cell>
          <cell r="G4231">
            <v>4005556291571</v>
          </cell>
          <cell r="H4231" t="str">
            <v>H. MANCHA</v>
          </cell>
          <cell r="I4231">
            <v>9.3230000000000004</v>
          </cell>
        </row>
        <row r="4232">
          <cell r="A4232" t="str">
            <v>19-04231</v>
          </cell>
          <cell r="B4232" t="str">
            <v>H. MANCHA</v>
          </cell>
          <cell r="C4232" t="str">
            <v>A</v>
          </cell>
          <cell r="D4232" t="str">
            <v>NO</v>
          </cell>
          <cell r="E4232" t="str">
            <v>AQUARELLE MINI PECES</v>
          </cell>
          <cell r="F4232" t="str">
            <v>ROMPECABEZAS</v>
          </cell>
          <cell r="G4232">
            <v>4005556291755</v>
          </cell>
          <cell r="H4232" t="str">
            <v>H. MANCHA</v>
          </cell>
          <cell r="I4232">
            <v>9.3230000000000004</v>
          </cell>
        </row>
        <row r="4233">
          <cell r="A4233" t="str">
            <v>19-04232</v>
          </cell>
          <cell r="B4233" t="str">
            <v>H. MANCHA</v>
          </cell>
          <cell r="C4233" t="str">
            <v>A</v>
          </cell>
          <cell r="D4233" t="str">
            <v>NO</v>
          </cell>
          <cell r="E4233" t="str">
            <v>CREYON DE CERA 6 COLORES CLASICO SYSABE</v>
          </cell>
          <cell r="F4233" t="str">
            <v>CRAYONES</v>
          </cell>
          <cell r="G4233">
            <v>1739106</v>
          </cell>
          <cell r="H4233" t="str">
            <v>H. MANCHA</v>
          </cell>
          <cell r="I4233">
            <v>0</v>
          </cell>
        </row>
        <row r="4234">
          <cell r="A4234" t="str">
            <v>19-04233</v>
          </cell>
          <cell r="B4234" t="str">
            <v>H. MANCHA</v>
          </cell>
          <cell r="C4234" t="str">
            <v>A</v>
          </cell>
          <cell r="D4234" t="str">
            <v>NO</v>
          </cell>
          <cell r="E4234" t="str">
            <v>CREYON DE CERA 12 COLORES CLASICO SYSABE</v>
          </cell>
          <cell r="F4234" t="str">
            <v>CRAYONES</v>
          </cell>
          <cell r="G4234">
            <v>1739112</v>
          </cell>
          <cell r="H4234" t="str">
            <v>H. MANCHA</v>
          </cell>
          <cell r="I4234">
            <v>0</v>
          </cell>
        </row>
        <row r="4235">
          <cell r="A4235" t="str">
            <v>19-04234</v>
          </cell>
          <cell r="B4235" t="str">
            <v>H. MANCHA</v>
          </cell>
          <cell r="C4235" t="str">
            <v>A</v>
          </cell>
          <cell r="D4235" t="str">
            <v>NO</v>
          </cell>
          <cell r="E4235" t="str">
            <v>CREYON DE CERA 12 COLORES MIXTOS SYSABE, NEON Y METALIZADOS</v>
          </cell>
          <cell r="F4235" t="str">
            <v>CRAYONES</v>
          </cell>
          <cell r="G4235">
            <v>1739114</v>
          </cell>
          <cell r="H4235" t="str">
            <v>H. MANCHA</v>
          </cell>
          <cell r="I4235">
            <v>0</v>
          </cell>
        </row>
        <row r="4236">
          <cell r="A4236" t="str">
            <v>19-04235</v>
          </cell>
          <cell r="B4236" t="str">
            <v>H. MANCHA</v>
          </cell>
          <cell r="C4236" t="str">
            <v>A</v>
          </cell>
          <cell r="D4236" t="str">
            <v>NO</v>
          </cell>
          <cell r="E4236" t="str">
            <v>MARCADOR FINO CAJA DE 12 COL SYSABE TRI</v>
          </cell>
          <cell r="F4236" t="str">
            <v>CRAYONES</v>
          </cell>
          <cell r="G4236">
            <v>8050612</v>
          </cell>
          <cell r="H4236" t="str">
            <v>H. MANCHA</v>
          </cell>
          <cell r="I4236">
            <v>0</v>
          </cell>
        </row>
        <row r="4237">
          <cell r="A4237" t="str">
            <v>19-04236</v>
          </cell>
          <cell r="B4237" t="str">
            <v>H. MANCHA</v>
          </cell>
          <cell r="C4237" t="str">
            <v>A</v>
          </cell>
          <cell r="D4237" t="str">
            <v>NO</v>
          </cell>
          <cell r="E4237" t="str">
            <v>MARCADOR DOBLE PUNTA CAJA DE 12 COL SYSABE TRI</v>
          </cell>
          <cell r="F4237" t="str">
            <v>CRAYONES</v>
          </cell>
          <cell r="G4237">
            <v>8051612</v>
          </cell>
          <cell r="H4237" t="str">
            <v>H. MANCHA</v>
          </cell>
          <cell r="I4237">
            <v>0</v>
          </cell>
        </row>
        <row r="4238">
          <cell r="A4238" t="str">
            <v>19-04237</v>
          </cell>
          <cell r="B4238" t="str">
            <v>H. MANCHA</v>
          </cell>
          <cell r="C4238" t="str">
            <v>A</v>
          </cell>
          <cell r="D4238" t="str">
            <v>NO</v>
          </cell>
          <cell r="E4238" t="str">
            <v>MARCADORES FINE LINER 0.4 EST. RIGIDO 12 COL</v>
          </cell>
          <cell r="F4238" t="str">
            <v>CRAYONES</v>
          </cell>
          <cell r="G4238">
            <v>8070010</v>
          </cell>
          <cell r="H4238" t="str">
            <v>H. MANCHA</v>
          </cell>
          <cell r="I4238">
            <v>0</v>
          </cell>
        </row>
        <row r="4239">
          <cell r="A4239" t="str">
            <v>19-04238</v>
          </cell>
          <cell r="B4239" t="str">
            <v>H. MANCHA</v>
          </cell>
          <cell r="C4239" t="str">
            <v>A</v>
          </cell>
          <cell r="D4239" t="str">
            <v>NO</v>
          </cell>
          <cell r="E4239" t="str">
            <v>LAPICES DE COLORES CAJA 24 COLORES</v>
          </cell>
          <cell r="F4239" t="str">
            <v>CRAYONES</v>
          </cell>
          <cell r="G4239">
            <v>8141000</v>
          </cell>
          <cell r="H4239" t="str">
            <v>H. MANCHA</v>
          </cell>
          <cell r="I4239">
            <v>0</v>
          </cell>
        </row>
        <row r="4240">
          <cell r="A4240" t="str">
            <v>19-04239</v>
          </cell>
          <cell r="B4240" t="str">
            <v>H. MANCHA</v>
          </cell>
          <cell r="C4240" t="str">
            <v>A</v>
          </cell>
          <cell r="D4240" t="str">
            <v>NO</v>
          </cell>
          <cell r="E4240" t="str">
            <v>LAPICES DE COLORES CAJA 12 COLORES</v>
          </cell>
          <cell r="F4240" t="str">
            <v>CRAYONES</v>
          </cell>
          <cell r="G4240">
            <v>8141004</v>
          </cell>
          <cell r="H4240" t="str">
            <v>H. MANCHA</v>
          </cell>
          <cell r="I4240">
            <v>0</v>
          </cell>
        </row>
        <row r="4241">
          <cell r="A4241" t="str">
            <v>19-04240</v>
          </cell>
          <cell r="B4241" t="str">
            <v>H. MANCHA</v>
          </cell>
          <cell r="C4241" t="str">
            <v>A</v>
          </cell>
          <cell r="D4241" t="str">
            <v>SI</v>
          </cell>
          <cell r="E4241" t="str">
            <v>QUIEN FUE ABRAHAM LINCOL</v>
          </cell>
          <cell r="F4241" t="str">
            <v>LIBRO</v>
          </cell>
          <cell r="G4241">
            <v>9780448458533</v>
          </cell>
          <cell r="H4241" t="str">
            <v>H. MANCHA</v>
          </cell>
          <cell r="I4241">
            <v>7.1630000000000003</v>
          </cell>
        </row>
        <row r="4242">
          <cell r="A4242" t="str">
            <v>19-04241</v>
          </cell>
          <cell r="B4242" t="str">
            <v>H. MANCHA</v>
          </cell>
          <cell r="C4242" t="str">
            <v>A</v>
          </cell>
          <cell r="D4242" t="str">
            <v>NO</v>
          </cell>
          <cell r="E4242" t="str">
            <v>QUIEN FUE MARCO POLO?</v>
          </cell>
          <cell r="F4242" t="str">
            <v>LIBRO</v>
          </cell>
          <cell r="G4242">
            <v>9780448461748</v>
          </cell>
          <cell r="H4242" t="str">
            <v>H. MANCHA</v>
          </cell>
          <cell r="I4242">
            <v>0</v>
          </cell>
        </row>
        <row r="4243">
          <cell r="A4243" t="str">
            <v>19-04242</v>
          </cell>
          <cell r="B4243" t="str">
            <v>H. MANCHA</v>
          </cell>
          <cell r="C4243" t="str">
            <v>A</v>
          </cell>
          <cell r="D4243" t="str">
            <v>NO</v>
          </cell>
          <cell r="E4243" t="str">
            <v>QUIEN FUE MARTIN LUTHER</v>
          </cell>
          <cell r="F4243" t="str">
            <v>LIBRO</v>
          </cell>
          <cell r="G4243">
            <v>9780448458557</v>
          </cell>
          <cell r="H4243" t="str">
            <v>H. MANCHA</v>
          </cell>
          <cell r="I4243">
            <v>0</v>
          </cell>
        </row>
        <row r="4244">
          <cell r="A4244" t="str">
            <v>19-04243</v>
          </cell>
          <cell r="B4244" t="str">
            <v>H. MANCHA</v>
          </cell>
          <cell r="C4244" t="str">
            <v>A</v>
          </cell>
          <cell r="D4244" t="str">
            <v>SI</v>
          </cell>
          <cell r="E4244" t="str">
            <v>QUIEN FUE PABLO PICASSO?</v>
          </cell>
          <cell r="F4244" t="str">
            <v>LIBRO</v>
          </cell>
          <cell r="G4244">
            <v>9780448461755</v>
          </cell>
          <cell r="H4244" t="str">
            <v>H. MANCHA</v>
          </cell>
          <cell r="I4244">
            <v>7.165</v>
          </cell>
        </row>
        <row r="4245">
          <cell r="A4245" t="str">
            <v>19-04244</v>
          </cell>
          <cell r="B4245" t="str">
            <v>H. MANCHA</v>
          </cell>
          <cell r="C4245" t="str">
            <v>A</v>
          </cell>
          <cell r="D4245" t="str">
            <v>SI</v>
          </cell>
          <cell r="E4245" t="str">
            <v>QUIEN FUE STEVE JOBS?</v>
          </cell>
          <cell r="F4245" t="str">
            <v>LIBRO</v>
          </cell>
          <cell r="G4245">
            <v>9780448462660</v>
          </cell>
          <cell r="H4245" t="str">
            <v>H. MANCHA</v>
          </cell>
          <cell r="I4245">
            <v>7.1630000000000003</v>
          </cell>
        </row>
        <row r="4246">
          <cell r="A4246" t="str">
            <v>19-04245</v>
          </cell>
          <cell r="B4246" t="str">
            <v>H. MANCHA</v>
          </cell>
          <cell r="C4246" t="str">
            <v>A</v>
          </cell>
          <cell r="D4246" t="str">
            <v>SI</v>
          </cell>
          <cell r="E4246" t="str">
            <v>QUIEN FUE WALT DISNEY?</v>
          </cell>
          <cell r="F4246" t="str">
            <v>LIBRO</v>
          </cell>
          <cell r="G4246">
            <v>9780448458762</v>
          </cell>
          <cell r="H4246" t="str">
            <v>H. MANCHA</v>
          </cell>
          <cell r="I4246">
            <v>7.1630000000000003</v>
          </cell>
        </row>
        <row r="4247">
          <cell r="A4247" t="str">
            <v>19-04246</v>
          </cell>
          <cell r="B4247" t="str">
            <v>H. MANCHA</v>
          </cell>
          <cell r="C4247" t="str">
            <v>A</v>
          </cell>
          <cell r="D4247" t="str">
            <v>NO</v>
          </cell>
          <cell r="E4247" t="str">
            <v>WHO CAN JUMP?</v>
          </cell>
          <cell r="F4247" t="str">
            <v>LIBRO</v>
          </cell>
          <cell r="G4247">
            <v>9781406338225</v>
          </cell>
          <cell r="H4247" t="str">
            <v>H. MANCHA</v>
          </cell>
          <cell r="I4247">
            <v>0</v>
          </cell>
        </row>
        <row r="4248">
          <cell r="A4248" t="str">
            <v>19-04247</v>
          </cell>
          <cell r="B4248" t="str">
            <v>H. MANCHA</v>
          </cell>
          <cell r="C4248" t="str">
            <v>A</v>
          </cell>
          <cell r="D4248" t="str">
            <v>NO</v>
          </cell>
          <cell r="E4248" t="str">
            <v>WHO IS BOB DYLAN</v>
          </cell>
          <cell r="F4248" t="str">
            <v>LIBRO</v>
          </cell>
          <cell r="G4248">
            <v>9780448464619</v>
          </cell>
          <cell r="H4248" t="str">
            <v>H. MANCHA</v>
          </cell>
          <cell r="I4248">
            <v>0</v>
          </cell>
        </row>
        <row r="4249">
          <cell r="A4249" t="str">
            <v>19-04248</v>
          </cell>
          <cell r="B4249" t="str">
            <v>H. MANCHA</v>
          </cell>
          <cell r="C4249" t="str">
            <v>A</v>
          </cell>
          <cell r="D4249" t="str">
            <v>NO</v>
          </cell>
          <cell r="E4249" t="str">
            <v>WHO IS ELTON JOHN</v>
          </cell>
          <cell r="F4249" t="str">
            <v>LIBRO</v>
          </cell>
          <cell r="G4249">
            <v>9780448488462</v>
          </cell>
          <cell r="H4249" t="str">
            <v>H. MANCHA</v>
          </cell>
          <cell r="I4249">
            <v>5.0030000000000001</v>
          </cell>
        </row>
        <row r="4250">
          <cell r="A4250" t="str">
            <v>19-04249</v>
          </cell>
          <cell r="B4250" t="str">
            <v>H. MANCHA</v>
          </cell>
          <cell r="C4250" t="str">
            <v>A</v>
          </cell>
          <cell r="D4250" t="str">
            <v>NO</v>
          </cell>
          <cell r="E4250" t="str">
            <v>WHO IS JEFF KINNEY</v>
          </cell>
          <cell r="F4250" t="str">
            <v>LIBRO</v>
          </cell>
          <cell r="G4250">
            <v>9780448486772</v>
          </cell>
          <cell r="H4250" t="str">
            <v>H. MANCHA</v>
          </cell>
          <cell r="I4250">
            <v>0</v>
          </cell>
        </row>
        <row r="4251">
          <cell r="A4251" t="str">
            <v>19-04250</v>
          </cell>
          <cell r="B4251" t="str">
            <v>H. MANCHA</v>
          </cell>
          <cell r="C4251" t="str">
            <v>A</v>
          </cell>
          <cell r="D4251" t="str">
            <v>NO</v>
          </cell>
          <cell r="E4251" t="str">
            <v>WHO IS MUHAMMAD ALI</v>
          </cell>
          <cell r="F4251" t="str">
            <v>LIBRO</v>
          </cell>
          <cell r="G4251">
            <v>9780448479552</v>
          </cell>
          <cell r="H4251" t="str">
            <v>H. MANCHA</v>
          </cell>
          <cell r="I4251">
            <v>5.0030000000000001</v>
          </cell>
        </row>
        <row r="4252">
          <cell r="A4252" t="str">
            <v>19-04251</v>
          </cell>
          <cell r="B4252" t="str">
            <v>H. MANCHA</v>
          </cell>
          <cell r="C4252" t="str">
            <v>A</v>
          </cell>
          <cell r="D4252" t="str">
            <v>NO</v>
          </cell>
          <cell r="E4252" t="str">
            <v>WHO IS STEINEM?</v>
          </cell>
          <cell r="F4252" t="str">
            <v>LIBRO</v>
          </cell>
          <cell r="G4252">
            <v>9780448482385</v>
          </cell>
          <cell r="H4252" t="str">
            <v>H. MANCHA</v>
          </cell>
          <cell r="I4252">
            <v>0</v>
          </cell>
        </row>
        <row r="4253">
          <cell r="A4253" t="str">
            <v>19-04252</v>
          </cell>
          <cell r="B4253" t="str">
            <v>H. MANCHA</v>
          </cell>
          <cell r="C4253" t="str">
            <v>A</v>
          </cell>
          <cell r="D4253" t="str">
            <v>NO</v>
          </cell>
          <cell r="E4253" t="str">
            <v>WHO IS STEVEN SPIELBERG</v>
          </cell>
          <cell r="F4253" t="str">
            <v>LIBRO</v>
          </cell>
          <cell r="G4253">
            <v>9780448479354</v>
          </cell>
          <cell r="H4253" t="str">
            <v>H. MANCHA</v>
          </cell>
          <cell r="I4253">
            <v>5.0030000000000001</v>
          </cell>
        </row>
        <row r="4254">
          <cell r="A4254" t="str">
            <v>19-04253</v>
          </cell>
          <cell r="B4254" t="str">
            <v>H. MANCHA</v>
          </cell>
          <cell r="C4254" t="str">
            <v>A</v>
          </cell>
          <cell r="D4254" t="str">
            <v>NO</v>
          </cell>
          <cell r="E4254" t="str">
            <v>WHO WAS ABRAHAM LINCOLN?</v>
          </cell>
          <cell r="F4254" t="str">
            <v>LIBRO</v>
          </cell>
          <cell r="G4254">
            <v>9780448448862</v>
          </cell>
          <cell r="H4254" t="str">
            <v>H. MANCHA</v>
          </cell>
          <cell r="I4254">
            <v>4.2830000000000004</v>
          </cell>
        </row>
        <row r="4255">
          <cell r="A4255" t="str">
            <v>19-04254</v>
          </cell>
          <cell r="B4255" t="str">
            <v>H. MANCHA</v>
          </cell>
          <cell r="C4255" t="str">
            <v>A</v>
          </cell>
          <cell r="D4255" t="str">
            <v>NO</v>
          </cell>
          <cell r="E4255" t="str">
            <v>WHO WAS ALEXANDER GRAHAM</v>
          </cell>
          <cell r="F4255" t="str">
            <v>LIBRO</v>
          </cell>
          <cell r="G4255">
            <v>9780448464602</v>
          </cell>
          <cell r="H4255" t="str">
            <v>H. MANCHA</v>
          </cell>
          <cell r="I4255">
            <v>5.0049999999999999</v>
          </cell>
        </row>
        <row r="4256">
          <cell r="A4256" t="str">
            <v>19-04255</v>
          </cell>
          <cell r="B4256" t="str">
            <v>H. MANCHA</v>
          </cell>
          <cell r="C4256" t="str">
            <v>A</v>
          </cell>
          <cell r="D4256" t="str">
            <v>SI</v>
          </cell>
          <cell r="E4256" t="str">
            <v>WHO WAS BRUCE LEE</v>
          </cell>
          <cell r="F4256" t="str">
            <v>LIBRO</v>
          </cell>
          <cell r="G4256">
            <v>9780448479491</v>
          </cell>
          <cell r="H4256" t="str">
            <v>H. MANCHA</v>
          </cell>
          <cell r="I4256">
            <v>5.0030000000000001</v>
          </cell>
        </row>
        <row r="4257">
          <cell r="A4257" t="str">
            <v>19-04256</v>
          </cell>
          <cell r="B4257" t="str">
            <v>H. MANCHA</v>
          </cell>
          <cell r="C4257" t="str">
            <v>A</v>
          </cell>
          <cell r="D4257" t="str">
            <v>NO</v>
          </cell>
          <cell r="E4257" t="str">
            <v>WHO WAS CHARLES DICKENS?</v>
          </cell>
          <cell r="F4257" t="str">
            <v>LIBRO</v>
          </cell>
          <cell r="G4257">
            <v>9780448479675</v>
          </cell>
          <cell r="H4257" t="str">
            <v>H. MANCHA</v>
          </cell>
          <cell r="I4257">
            <v>0</v>
          </cell>
        </row>
        <row r="4258">
          <cell r="A4258" t="str">
            <v>19-04257</v>
          </cell>
          <cell r="B4258" t="str">
            <v>H. MANCHA</v>
          </cell>
          <cell r="C4258" t="str">
            <v>A</v>
          </cell>
          <cell r="D4258" t="str">
            <v>NO</v>
          </cell>
          <cell r="E4258" t="str">
            <v>WHO WAS EDGAR ALLAN POE</v>
          </cell>
          <cell r="F4258" t="str">
            <v>LIBRO</v>
          </cell>
          <cell r="G4258">
            <v>9780448483115</v>
          </cell>
          <cell r="H4258" t="str">
            <v>H. MANCHA</v>
          </cell>
          <cell r="I4258">
            <v>0</v>
          </cell>
        </row>
        <row r="4259">
          <cell r="A4259" t="str">
            <v>19-04258</v>
          </cell>
          <cell r="B4259" t="str">
            <v>H. MANCHA</v>
          </cell>
          <cell r="C4259" t="str">
            <v>A</v>
          </cell>
          <cell r="D4259" t="str">
            <v>NO</v>
          </cell>
          <cell r="E4259" t="str">
            <v>WHO WAS FRANKLIN ROOSEVE</v>
          </cell>
          <cell r="F4259" t="str">
            <v>LIBRO</v>
          </cell>
          <cell r="G4259">
            <v>9780448453460</v>
          </cell>
          <cell r="H4259" t="str">
            <v>H. MANCHA</v>
          </cell>
          <cell r="I4259">
            <v>0</v>
          </cell>
        </row>
        <row r="4260">
          <cell r="A4260" t="str">
            <v>19-04259</v>
          </cell>
          <cell r="B4260" t="str">
            <v>H. MANCHA</v>
          </cell>
          <cell r="C4260" t="str">
            <v>A</v>
          </cell>
          <cell r="D4260" t="str">
            <v>SI</v>
          </cell>
          <cell r="E4260" t="str">
            <v>WHO WAS GANDHI?</v>
          </cell>
          <cell r="F4260" t="str">
            <v>LIBRO</v>
          </cell>
          <cell r="G4260">
            <v>9780448482354</v>
          </cell>
          <cell r="H4260" t="str">
            <v>H. MANCHA</v>
          </cell>
          <cell r="I4260">
            <v>5.0039999999999996</v>
          </cell>
        </row>
        <row r="4261">
          <cell r="A4261" t="str">
            <v>19-04260</v>
          </cell>
          <cell r="B4261" t="str">
            <v>H. MANCHA</v>
          </cell>
          <cell r="C4261" t="str">
            <v>A</v>
          </cell>
          <cell r="D4261" t="str">
            <v>NO</v>
          </cell>
          <cell r="E4261" t="str">
            <v>WHO WAS GEORGE WASHINGTO</v>
          </cell>
          <cell r="F4261" t="str">
            <v>LIBRO</v>
          </cell>
          <cell r="G4261">
            <v>9780448483122</v>
          </cell>
          <cell r="H4261" t="str">
            <v>H. MANCHA</v>
          </cell>
          <cell r="I4261">
            <v>0</v>
          </cell>
        </row>
        <row r="4262">
          <cell r="A4262" t="str">
            <v>19-04261</v>
          </cell>
          <cell r="B4262" t="str">
            <v>H. MANCHA</v>
          </cell>
          <cell r="C4262" t="str">
            <v>A</v>
          </cell>
          <cell r="D4262" t="str">
            <v>NO</v>
          </cell>
          <cell r="E4262" t="str">
            <v>WHO WAS HENRY FORD?</v>
          </cell>
          <cell r="F4262" t="str">
            <v>LIBRO</v>
          </cell>
          <cell r="G4262">
            <v>9780448479576</v>
          </cell>
          <cell r="H4262" t="str">
            <v>H. MANCHA</v>
          </cell>
          <cell r="I4262">
            <v>5.0030000000000001</v>
          </cell>
        </row>
        <row r="4263">
          <cell r="A4263" t="str">
            <v>19-04262</v>
          </cell>
          <cell r="B4263" t="str">
            <v>H. MANCHA</v>
          </cell>
          <cell r="C4263" t="str">
            <v>A</v>
          </cell>
          <cell r="D4263" t="str">
            <v>NO</v>
          </cell>
          <cell r="E4263" t="str">
            <v>WHO WAS ISAAC NEWTON</v>
          </cell>
          <cell r="F4263" t="str">
            <v>LIBRO</v>
          </cell>
          <cell r="G4263">
            <v>9780448479132</v>
          </cell>
          <cell r="H4263" t="str">
            <v>H. MANCHA</v>
          </cell>
          <cell r="I4263">
            <v>0</v>
          </cell>
        </row>
        <row r="4264">
          <cell r="A4264" t="str">
            <v>19-04263</v>
          </cell>
          <cell r="B4264" t="str">
            <v>H. MANCHA</v>
          </cell>
          <cell r="C4264" t="str">
            <v>A</v>
          </cell>
          <cell r="D4264" t="str">
            <v>NO</v>
          </cell>
          <cell r="E4264" t="str">
            <v>WHO WAS JOAN OF ARC</v>
          </cell>
          <cell r="F4264" t="str">
            <v>LIBRO</v>
          </cell>
          <cell r="G4264">
            <v>9780448483047</v>
          </cell>
          <cell r="H4264" t="str">
            <v>H. MANCHA</v>
          </cell>
          <cell r="I4264">
            <v>0</v>
          </cell>
        </row>
        <row r="4265">
          <cell r="A4265" t="str">
            <v>19-04264</v>
          </cell>
          <cell r="B4265" t="str">
            <v>H. MANCHA</v>
          </cell>
          <cell r="C4265" t="str">
            <v>A</v>
          </cell>
          <cell r="D4265" t="str">
            <v>SI</v>
          </cell>
          <cell r="E4265" t="str">
            <v>WHO WAS JONH KENNEDY?</v>
          </cell>
          <cell r="F4265" t="str">
            <v>LIBRO</v>
          </cell>
          <cell r="G4265">
            <v>9780448437439</v>
          </cell>
          <cell r="H4265" t="str">
            <v>H. MANCHA</v>
          </cell>
          <cell r="I4265">
            <v>4.2839999999999998</v>
          </cell>
        </row>
        <row r="4266">
          <cell r="A4266" t="str">
            <v>19-04265</v>
          </cell>
          <cell r="B4266" t="str">
            <v>H. MANCHA</v>
          </cell>
          <cell r="C4266" t="str">
            <v>A</v>
          </cell>
          <cell r="D4266" t="str">
            <v>NO</v>
          </cell>
          <cell r="E4266" t="str">
            <v>WHO WAS JRR TOLKIEN</v>
          </cell>
          <cell r="F4266" t="str">
            <v>LIBRO</v>
          </cell>
          <cell r="G4266">
            <v>9780448483023</v>
          </cell>
          <cell r="H4266" t="str">
            <v>H. MANCHA</v>
          </cell>
          <cell r="I4266">
            <v>5.0030000000000001</v>
          </cell>
        </row>
        <row r="4267">
          <cell r="A4267" t="str">
            <v>19-04266</v>
          </cell>
          <cell r="B4267" t="str">
            <v>H. MANCHA</v>
          </cell>
          <cell r="C4267" t="str">
            <v>A</v>
          </cell>
          <cell r="D4267" t="str">
            <v>NO</v>
          </cell>
          <cell r="E4267" t="str">
            <v>WHO WAS LOUIS ARMSTRONG</v>
          </cell>
          <cell r="F4267" t="str">
            <v>LIBRO</v>
          </cell>
          <cell r="G4267">
            <v>9780448433684</v>
          </cell>
          <cell r="H4267" t="str">
            <v>H. MANCHA</v>
          </cell>
          <cell r="I4267">
            <v>0</v>
          </cell>
        </row>
        <row r="4268">
          <cell r="A4268" t="str">
            <v>19-04267</v>
          </cell>
          <cell r="B4268" t="str">
            <v>H. MANCHA</v>
          </cell>
          <cell r="C4268" t="str">
            <v>A</v>
          </cell>
          <cell r="D4268" t="str">
            <v>SI</v>
          </cell>
          <cell r="E4268" t="str">
            <v>WHO WAS NELSON MANDELA</v>
          </cell>
          <cell r="F4268" t="str">
            <v>LIBRO</v>
          </cell>
          <cell r="G4268">
            <v>9780448479330</v>
          </cell>
          <cell r="H4268" t="str">
            <v>H. MANCHA</v>
          </cell>
          <cell r="I4268">
            <v>5.0039999999999996</v>
          </cell>
        </row>
        <row r="4269">
          <cell r="A4269" t="str">
            <v>19-04268</v>
          </cell>
          <cell r="B4269" t="str">
            <v>H. MANCHA</v>
          </cell>
          <cell r="C4269" t="str">
            <v>A</v>
          </cell>
          <cell r="D4269" t="str">
            <v>SI</v>
          </cell>
          <cell r="E4269" t="str">
            <v>WHO WAS PABLO PICASSO?</v>
          </cell>
          <cell r="F4269" t="str">
            <v>LIBRO</v>
          </cell>
          <cell r="G4269">
            <v>9780448449876</v>
          </cell>
          <cell r="H4269" t="str">
            <v>H. MANCHA</v>
          </cell>
          <cell r="I4269">
            <v>5.0039999999999996</v>
          </cell>
        </row>
        <row r="4270">
          <cell r="A4270" t="str">
            <v>19-04269</v>
          </cell>
          <cell r="B4270" t="str">
            <v>H. MANCHA</v>
          </cell>
          <cell r="C4270" t="str">
            <v>A</v>
          </cell>
          <cell r="D4270" t="str">
            <v>SI</v>
          </cell>
          <cell r="E4270" t="str">
            <v>WHO WAS RACHEL CARSON?</v>
          </cell>
          <cell r="F4270" t="str">
            <v>LIBRO</v>
          </cell>
          <cell r="G4270">
            <v>9780448479590</v>
          </cell>
          <cell r="H4270" t="str">
            <v>H. MANCHA</v>
          </cell>
          <cell r="I4270">
            <v>4.2830000000000004</v>
          </cell>
        </row>
        <row r="4271">
          <cell r="A4271" t="str">
            <v>19-04270</v>
          </cell>
          <cell r="B4271" t="str">
            <v>H. MANCHA</v>
          </cell>
          <cell r="C4271" t="str">
            <v>A</v>
          </cell>
          <cell r="D4271" t="str">
            <v>NO</v>
          </cell>
          <cell r="E4271" t="str">
            <v>WHO WAS ROBERT RIPLEY</v>
          </cell>
          <cell r="F4271" t="str">
            <v>LIBRO</v>
          </cell>
          <cell r="G4271">
            <v>9780448482989</v>
          </cell>
          <cell r="H4271" t="str">
            <v>H. MANCHA</v>
          </cell>
          <cell r="I4271">
            <v>5.0039999999999996</v>
          </cell>
        </row>
        <row r="4272">
          <cell r="A4272" t="str">
            <v>19-04271</v>
          </cell>
          <cell r="B4272" t="str">
            <v>H. MANCHA</v>
          </cell>
          <cell r="C4272" t="str">
            <v>A</v>
          </cell>
          <cell r="D4272" t="str">
            <v>SI</v>
          </cell>
          <cell r="E4272" t="str">
            <v>WHO WAS ROBERTO CLEMENTE</v>
          </cell>
          <cell r="F4272" t="str">
            <v>LIBRO</v>
          </cell>
          <cell r="G4272">
            <v>9780448479613</v>
          </cell>
          <cell r="H4272" t="str">
            <v>H. MANCHA</v>
          </cell>
          <cell r="I4272">
            <v>5.0030000000000001</v>
          </cell>
        </row>
        <row r="4273">
          <cell r="A4273" t="str">
            <v>19-04272</v>
          </cell>
          <cell r="B4273" t="str">
            <v>H. MANCHA</v>
          </cell>
          <cell r="C4273" t="str">
            <v>A</v>
          </cell>
          <cell r="D4273" t="str">
            <v>NO</v>
          </cell>
          <cell r="E4273" t="str">
            <v>WHO WAS RONALD REAGAN</v>
          </cell>
          <cell r="F4273" t="str">
            <v>LIBRO</v>
          </cell>
          <cell r="G4273">
            <v>9780448433448</v>
          </cell>
          <cell r="H4273" t="str">
            <v>H. MANCHA</v>
          </cell>
          <cell r="I4273">
            <v>0</v>
          </cell>
        </row>
        <row r="4274">
          <cell r="A4274" t="str">
            <v>19-04273</v>
          </cell>
          <cell r="B4274" t="str">
            <v>H. MANCHA</v>
          </cell>
          <cell r="C4274" t="str">
            <v>A</v>
          </cell>
          <cell r="D4274" t="str">
            <v>NO</v>
          </cell>
          <cell r="E4274" t="str">
            <v>WHO WAS SOJOURNER TRUTH</v>
          </cell>
          <cell r="F4274" t="str">
            <v>LIBRO</v>
          </cell>
          <cell r="G4274">
            <v>9780448486789</v>
          </cell>
          <cell r="H4274" t="str">
            <v>H. MANCHA</v>
          </cell>
          <cell r="I4274">
            <v>0</v>
          </cell>
        </row>
        <row r="4275">
          <cell r="A4275" t="str">
            <v>19-04274</v>
          </cell>
          <cell r="B4275" t="str">
            <v>H. MANCHA</v>
          </cell>
          <cell r="C4275" t="str">
            <v>A</v>
          </cell>
          <cell r="D4275" t="str">
            <v>SI</v>
          </cell>
          <cell r="E4275" t="str">
            <v>WHO WAS STEVE JOBS?</v>
          </cell>
          <cell r="F4275" t="str">
            <v>LIBRO</v>
          </cell>
          <cell r="G4275">
            <v>9780448462110</v>
          </cell>
          <cell r="H4275" t="str">
            <v>H. MANCHA</v>
          </cell>
          <cell r="I4275">
            <v>5.0030000000000001</v>
          </cell>
        </row>
        <row r="4276">
          <cell r="A4276" t="str">
            <v>19-04275</v>
          </cell>
          <cell r="B4276" t="str">
            <v>H. MANCHA</v>
          </cell>
          <cell r="C4276" t="str">
            <v>A</v>
          </cell>
          <cell r="D4276" t="str">
            <v>SI</v>
          </cell>
          <cell r="E4276" t="str">
            <v>WHO WAS SUSAN B. ANTHONY</v>
          </cell>
          <cell r="F4276" t="str">
            <v>LIBRO</v>
          </cell>
          <cell r="G4276">
            <v>9780448479637</v>
          </cell>
          <cell r="H4276" t="str">
            <v>H. MANCHA</v>
          </cell>
          <cell r="I4276">
            <v>5.0030000000000001</v>
          </cell>
        </row>
        <row r="4277">
          <cell r="A4277" t="str">
            <v>19-04276</v>
          </cell>
          <cell r="B4277" t="str">
            <v>H. MANCHA</v>
          </cell>
          <cell r="C4277" t="str">
            <v>A</v>
          </cell>
          <cell r="D4277" t="str">
            <v>NO</v>
          </cell>
          <cell r="E4277" t="str">
            <v>WHO WAS THEODORE ROOSEVE</v>
          </cell>
          <cell r="F4277" t="str">
            <v>LIBRO</v>
          </cell>
          <cell r="G4277">
            <v>9780448479453</v>
          </cell>
          <cell r="H4277" t="str">
            <v>H. MANCHA</v>
          </cell>
          <cell r="I4277">
            <v>0</v>
          </cell>
        </row>
        <row r="4278">
          <cell r="A4278" t="str">
            <v>19-04277</v>
          </cell>
          <cell r="B4278" t="str">
            <v>H. MANCHA</v>
          </cell>
          <cell r="C4278" t="str">
            <v>A</v>
          </cell>
          <cell r="D4278" t="str">
            <v>SI</v>
          </cell>
          <cell r="E4278" t="str">
            <v>WHO WAS WILLIAM SHAKESPE</v>
          </cell>
          <cell r="F4278" t="str">
            <v>LIBRO</v>
          </cell>
          <cell r="G4278">
            <v>9780448439044</v>
          </cell>
          <cell r="H4278" t="str">
            <v>H. MANCHA</v>
          </cell>
          <cell r="I4278">
            <v>5.0049999999999999</v>
          </cell>
        </row>
        <row r="4279">
          <cell r="A4279" t="str">
            <v>19-04278</v>
          </cell>
          <cell r="B4279" t="str">
            <v>H. MANCHA</v>
          </cell>
          <cell r="C4279" t="str">
            <v>A</v>
          </cell>
          <cell r="D4279" t="str">
            <v>NO</v>
          </cell>
          <cell r="E4279" t="str">
            <v>WHO WAS WINSTON CHURCHIL</v>
          </cell>
          <cell r="F4279" t="str">
            <v>LIBRO</v>
          </cell>
          <cell r="G4279">
            <v>9780448483009</v>
          </cell>
          <cell r="H4279" t="str">
            <v>H. MANCHA</v>
          </cell>
          <cell r="I4279">
            <v>5.0030000000000001</v>
          </cell>
        </row>
        <row r="4280">
          <cell r="A4280" t="str">
            <v>19-04279</v>
          </cell>
          <cell r="B4280" t="str">
            <v>H. MANCHA</v>
          </cell>
          <cell r="C4280" t="str">
            <v>A</v>
          </cell>
          <cell r="D4280" t="str">
            <v>SI</v>
          </cell>
          <cell r="E4280" t="str">
            <v>WHAT IS THE PANAMA CANAL</v>
          </cell>
          <cell r="F4280" t="str">
            <v>LIBRO</v>
          </cell>
          <cell r="G4280">
            <v>9780448478999</v>
          </cell>
          <cell r="H4280" t="str">
            <v>H. MANCHA</v>
          </cell>
          <cell r="I4280">
            <v>5.0030000000000001</v>
          </cell>
        </row>
        <row r="4281">
          <cell r="A4281" t="str">
            <v>19-04280</v>
          </cell>
          <cell r="B4281" t="str">
            <v>H. MANCHA</v>
          </cell>
          <cell r="C4281" t="str">
            <v>A</v>
          </cell>
          <cell r="D4281" t="str">
            <v>NO</v>
          </cell>
          <cell r="E4281" t="str">
            <v>ART ON THE GO</v>
          </cell>
          <cell r="F4281" t="str">
            <v>LIBRO</v>
          </cell>
          <cell r="G4281">
            <v>742832054331</v>
          </cell>
          <cell r="H4281" t="str">
            <v>H. MANCHA</v>
          </cell>
          <cell r="I4281">
            <v>20.123000000000001</v>
          </cell>
        </row>
        <row r="4282">
          <cell r="A4282" t="str">
            <v>19-04281</v>
          </cell>
          <cell r="B4282" t="str">
            <v>H. MANCHA</v>
          </cell>
          <cell r="C4282" t="str">
            <v>A</v>
          </cell>
          <cell r="D4282" t="str">
            <v>NO</v>
          </cell>
          <cell r="E4282" t="str">
            <v>MAP PANAMA ADVENTURE SET GUIDE</v>
          </cell>
          <cell r="F4282" t="str">
            <v>LIBRO</v>
          </cell>
          <cell r="G4282">
            <v>9781583559413</v>
          </cell>
          <cell r="H4282" t="str">
            <v>H. MANCHA</v>
          </cell>
          <cell r="I4282">
            <v>0</v>
          </cell>
        </row>
        <row r="4283">
          <cell r="A4283" t="str">
            <v>19-04282</v>
          </cell>
          <cell r="B4283" t="str">
            <v>H. MANCHA</v>
          </cell>
          <cell r="C4283" t="str">
            <v>A</v>
          </cell>
          <cell r="D4283" t="str">
            <v>SI</v>
          </cell>
          <cell r="E4283" t="str">
            <v>JUDIO ERRANTE, EL</v>
          </cell>
          <cell r="F4283" t="str">
            <v>LIBRO</v>
          </cell>
          <cell r="G4283">
            <v>9788499081540</v>
          </cell>
          <cell r="H4283" t="str">
            <v>H. MANCHA</v>
          </cell>
          <cell r="I4283">
            <v>8.6029999999999998</v>
          </cell>
        </row>
        <row r="4284">
          <cell r="A4284" t="str">
            <v>19-04283</v>
          </cell>
          <cell r="B4284" t="str">
            <v>SEVA GROUP</v>
          </cell>
          <cell r="C4284" t="str">
            <v>A</v>
          </cell>
          <cell r="D4284" t="str">
            <v>NO</v>
          </cell>
          <cell r="E4284" t="str">
            <v>MAGNETIC ACTIVITY FUN: FROZEN</v>
          </cell>
          <cell r="F4284" t="str">
            <v>LIBRO</v>
          </cell>
          <cell r="G4284" t="str">
            <v>TOY-928923-CAT</v>
          </cell>
          <cell r="H4284" t="str">
            <v>SEVA</v>
          </cell>
          <cell r="I4284">
            <v>5.0999999999999996</v>
          </cell>
        </row>
        <row r="4285">
          <cell r="A4285" t="str">
            <v>19-04284</v>
          </cell>
          <cell r="B4285" t="str">
            <v>SEVA GROUP</v>
          </cell>
          <cell r="C4285" t="str">
            <v>A</v>
          </cell>
          <cell r="D4285" t="str">
            <v>NO</v>
          </cell>
          <cell r="E4285" t="str">
            <v>MAGNETIC ACTIVITY FUN: MINIONS</v>
          </cell>
          <cell r="F4285" t="str">
            <v>LIBRO</v>
          </cell>
          <cell r="G4285" t="str">
            <v>TOY-821217-CAT</v>
          </cell>
          <cell r="H4285" t="str">
            <v>SEVA</v>
          </cell>
          <cell r="I4285">
            <v>5.0999999999999996</v>
          </cell>
        </row>
        <row r="4286">
          <cell r="A4286" t="str">
            <v>19-04285</v>
          </cell>
          <cell r="B4286" t="str">
            <v>SEVA GROUP</v>
          </cell>
          <cell r="C4286" t="str">
            <v>A</v>
          </cell>
          <cell r="D4286" t="str">
            <v>NO</v>
          </cell>
          <cell r="E4286" t="str">
            <v>MAGNETIC SCENES: STAR WARS</v>
          </cell>
          <cell r="F4286" t="str">
            <v>LIBRO</v>
          </cell>
          <cell r="G4286" t="str">
            <v>TOY-605114-CAT</v>
          </cell>
          <cell r="H4286" t="str">
            <v>SEVA</v>
          </cell>
          <cell r="I4286">
            <v>5.0999999999999996</v>
          </cell>
        </row>
        <row r="4287">
          <cell r="A4287" t="str">
            <v>19-04286</v>
          </cell>
          <cell r="B4287" t="str">
            <v>SEVA GROUP</v>
          </cell>
          <cell r="C4287" t="str">
            <v>A</v>
          </cell>
          <cell r="D4287" t="str">
            <v>NO</v>
          </cell>
          <cell r="E4287" t="str">
            <v>CARRY ALONG: PLANES</v>
          </cell>
          <cell r="F4287" t="str">
            <v>LIBRO</v>
          </cell>
          <cell r="G4287" t="str">
            <v>TOY-102596-CAT</v>
          </cell>
          <cell r="H4287" t="str">
            <v>SEVA</v>
          </cell>
          <cell r="I4287">
            <v>0</v>
          </cell>
        </row>
        <row r="4288">
          <cell r="A4288" t="str">
            <v>19-04287</v>
          </cell>
          <cell r="B4288" t="str">
            <v>SEVA GROUP</v>
          </cell>
          <cell r="C4288" t="str">
            <v>P</v>
          </cell>
          <cell r="D4288" t="str">
            <v>N/A</v>
          </cell>
          <cell r="E4288" t="str">
            <v>CARRY ALONG: CARS</v>
          </cell>
          <cell r="F4288" t="str">
            <v>LIBRO</v>
          </cell>
          <cell r="G4288" t="str">
            <v>TOY-260012-CAT</v>
          </cell>
          <cell r="H4288" t="str">
            <v>SEVA</v>
          </cell>
          <cell r="I4288">
            <v>4.7</v>
          </cell>
        </row>
        <row r="4289">
          <cell r="A4289" t="str">
            <v>19-04288</v>
          </cell>
          <cell r="B4289" t="str">
            <v>SEVA GROUP</v>
          </cell>
          <cell r="C4289" t="str">
            <v>P</v>
          </cell>
          <cell r="D4289" t="str">
            <v>N/A</v>
          </cell>
          <cell r="E4289" t="str">
            <v>CARRY ALONG: PRINCESS</v>
          </cell>
          <cell r="F4289" t="str">
            <v>LIBRO</v>
          </cell>
          <cell r="G4289" t="str">
            <v>TOY-260036-CAT</v>
          </cell>
          <cell r="H4289" t="str">
            <v>SEVA</v>
          </cell>
          <cell r="I4289">
            <v>4.7</v>
          </cell>
        </row>
        <row r="4290">
          <cell r="A4290" t="str">
            <v>19-04289</v>
          </cell>
          <cell r="B4290" t="str">
            <v>SEVA GROUP</v>
          </cell>
          <cell r="C4290" t="str">
            <v>A</v>
          </cell>
          <cell r="D4290" t="str">
            <v>NO</v>
          </cell>
          <cell r="E4290" t="str">
            <v>CARRY ALONG: DORA</v>
          </cell>
          <cell r="F4290" t="str">
            <v>LIBRO</v>
          </cell>
          <cell r="G4290" t="str">
            <v>TOY-260043-CAT</v>
          </cell>
          <cell r="H4290" t="str">
            <v>SEVA</v>
          </cell>
          <cell r="I4290">
            <v>0</v>
          </cell>
        </row>
        <row r="4291">
          <cell r="A4291" t="str">
            <v>19-04290</v>
          </cell>
          <cell r="B4291" t="str">
            <v>SEVA GROUP</v>
          </cell>
          <cell r="C4291" t="str">
            <v>D</v>
          </cell>
          <cell r="D4291" t="str">
            <v>N/A</v>
          </cell>
          <cell r="E4291" t="str">
            <v>CARRY ALONG: SPONGEBOB DISCONTINUED</v>
          </cell>
          <cell r="F4291" t="str">
            <v>LIBRO</v>
          </cell>
          <cell r="G4291" t="str">
            <v>TOY-260050-CAT</v>
          </cell>
          <cell r="H4291" t="str">
            <v>SEVA</v>
          </cell>
          <cell r="I4291">
            <v>4.7</v>
          </cell>
        </row>
        <row r="4292">
          <cell r="A4292" t="str">
            <v>19-04291</v>
          </cell>
          <cell r="B4292" t="str">
            <v>SEVA GROUP</v>
          </cell>
          <cell r="C4292" t="str">
            <v>A</v>
          </cell>
          <cell r="D4292" t="str">
            <v>NO</v>
          </cell>
          <cell r="E4292" t="str">
            <v>CARRY ALONG: CHUGGINGTON</v>
          </cell>
          <cell r="F4292" t="str">
            <v>LIBRO</v>
          </cell>
          <cell r="G4292" t="str">
            <v>TOY-260005-CAT</v>
          </cell>
          <cell r="H4292" t="str">
            <v>SEVA</v>
          </cell>
          <cell r="I4292">
            <v>0</v>
          </cell>
        </row>
        <row r="4293">
          <cell r="A4293" t="str">
            <v>19-04292</v>
          </cell>
          <cell r="B4293" t="str">
            <v>SEVA GROUP</v>
          </cell>
          <cell r="C4293" t="str">
            <v>A</v>
          </cell>
          <cell r="D4293" t="str">
            <v>NO</v>
          </cell>
          <cell r="E4293" t="str">
            <v>CARRY ALONG: HELLO KITTY</v>
          </cell>
          <cell r="F4293" t="str">
            <v>LIBRO</v>
          </cell>
          <cell r="G4293" t="str">
            <v>TOY-260401-CAT</v>
          </cell>
          <cell r="H4293" t="str">
            <v>SEVA</v>
          </cell>
          <cell r="I4293">
            <v>0</v>
          </cell>
        </row>
        <row r="4294">
          <cell r="A4294" t="str">
            <v>19-04293</v>
          </cell>
          <cell r="B4294" t="str">
            <v>SEVA GROUP</v>
          </cell>
          <cell r="C4294" t="str">
            <v>P</v>
          </cell>
          <cell r="D4294" t="str">
            <v>N/A</v>
          </cell>
          <cell r="E4294" t="str">
            <v>CARRY ALONG: DOC MCSTUFFINS</v>
          </cell>
          <cell r="F4294" t="str">
            <v>LIBRO</v>
          </cell>
          <cell r="G4294" t="str">
            <v>TOY-260456-CAT</v>
          </cell>
          <cell r="H4294" t="str">
            <v>SEVA</v>
          </cell>
          <cell r="I4294">
            <v>0</v>
          </cell>
        </row>
        <row r="4295">
          <cell r="A4295" t="str">
            <v>19-04294</v>
          </cell>
          <cell r="B4295" t="str">
            <v>SEVA GROUP</v>
          </cell>
          <cell r="C4295" t="str">
            <v>P</v>
          </cell>
          <cell r="D4295" t="str">
            <v>N/A</v>
          </cell>
          <cell r="E4295" t="str">
            <v>CARRY ALONG: TMN TURTLES</v>
          </cell>
          <cell r="F4295" t="str">
            <v>LIBRO</v>
          </cell>
          <cell r="G4295" t="str">
            <v>TOY-463325-CAT</v>
          </cell>
          <cell r="H4295" t="str">
            <v>SEVA</v>
          </cell>
          <cell r="I4295">
            <v>0</v>
          </cell>
        </row>
        <row r="4296">
          <cell r="A4296" t="str">
            <v>19-04295</v>
          </cell>
          <cell r="B4296" t="str">
            <v>SEVA GROUP</v>
          </cell>
          <cell r="C4296" t="str">
            <v>A</v>
          </cell>
          <cell r="D4296" t="str">
            <v>NO</v>
          </cell>
          <cell r="E4296" t="str">
            <v>MAGIC INK COLOR CHANGE: CARS</v>
          </cell>
          <cell r="F4296" t="str">
            <v>LIBRO</v>
          </cell>
          <cell r="G4296" t="str">
            <v>TOY-260104-CAT</v>
          </cell>
          <cell r="H4296" t="str">
            <v>SEVA</v>
          </cell>
          <cell r="I4296">
            <v>0</v>
          </cell>
        </row>
        <row r="4297">
          <cell r="A4297" t="str">
            <v>19-04296</v>
          </cell>
          <cell r="B4297" t="str">
            <v>SEVA GROUP</v>
          </cell>
          <cell r="C4297" t="str">
            <v>A</v>
          </cell>
          <cell r="D4297" t="str">
            <v>NO</v>
          </cell>
          <cell r="E4297" t="str">
            <v>MAGIC INK COLOR CHANGE: PRINCESS</v>
          </cell>
          <cell r="F4297" t="str">
            <v>LIBRO</v>
          </cell>
          <cell r="G4297" t="str">
            <v>TOY-260128-CAT</v>
          </cell>
          <cell r="H4297" t="str">
            <v>SEVA</v>
          </cell>
          <cell r="I4297">
            <v>3.55</v>
          </cell>
        </row>
        <row r="4298">
          <cell r="A4298" t="str">
            <v>19-04297</v>
          </cell>
          <cell r="B4298" t="str">
            <v>SEVA GROUP</v>
          </cell>
          <cell r="C4298" t="str">
            <v>P</v>
          </cell>
          <cell r="D4298" t="str">
            <v>N/A</v>
          </cell>
          <cell r="E4298" t="str">
            <v>MAGIC INK COLOR CHANGE: MICKEY</v>
          </cell>
          <cell r="F4298" t="str">
            <v>LIBRO</v>
          </cell>
          <cell r="G4298" t="str">
            <v>TOY-260135-CAT</v>
          </cell>
          <cell r="H4298" t="str">
            <v>SEVA</v>
          </cell>
          <cell r="I4298">
            <v>3.55</v>
          </cell>
        </row>
        <row r="4299">
          <cell r="A4299" t="str">
            <v>19-04298</v>
          </cell>
          <cell r="B4299" t="str">
            <v>SEVA GROUP</v>
          </cell>
          <cell r="C4299" t="str">
            <v>P</v>
          </cell>
          <cell r="D4299" t="str">
            <v>N/A</v>
          </cell>
          <cell r="E4299" t="str">
            <v>MAGIC INK COLOR CHANGE: SOFIA THE FIRST</v>
          </cell>
          <cell r="F4299" t="str">
            <v>LIBRO</v>
          </cell>
          <cell r="G4299" t="str">
            <v>TOY-260654-CAT</v>
          </cell>
          <cell r="H4299" t="str">
            <v>SEVA</v>
          </cell>
          <cell r="I4299">
            <v>3.55</v>
          </cell>
        </row>
        <row r="4300">
          <cell r="A4300" t="str">
            <v>19-04299</v>
          </cell>
          <cell r="B4300" t="str">
            <v>SEVA GROUP</v>
          </cell>
          <cell r="C4300" t="str">
            <v>A</v>
          </cell>
          <cell r="D4300" t="str">
            <v>NO</v>
          </cell>
          <cell r="E4300" t="str">
            <v>MAGIC INK COLOR CHANGE: FROZEN</v>
          </cell>
          <cell r="F4300" t="str">
            <v>LIBRO</v>
          </cell>
          <cell r="G4300" t="str">
            <v>TOY-096600-CAT</v>
          </cell>
          <cell r="H4300" t="str">
            <v>SEVA</v>
          </cell>
          <cell r="I4300">
            <v>3.55</v>
          </cell>
        </row>
        <row r="4301">
          <cell r="A4301" t="str">
            <v>19-04300</v>
          </cell>
          <cell r="B4301" t="str">
            <v>SEVA GROUP</v>
          </cell>
          <cell r="C4301" t="str">
            <v>A</v>
          </cell>
          <cell r="D4301" t="str">
            <v>NO</v>
          </cell>
          <cell r="E4301" t="str">
            <v>MAGIC INK COLOR CHANGE: FAIRIES</v>
          </cell>
          <cell r="F4301" t="str">
            <v>LIBRO</v>
          </cell>
          <cell r="G4301" t="str">
            <v>TOY-260111-CAT</v>
          </cell>
          <cell r="H4301" t="str">
            <v>SEVA</v>
          </cell>
          <cell r="I4301">
            <v>0</v>
          </cell>
        </row>
        <row r="4302">
          <cell r="A4302" t="str">
            <v>19-04301</v>
          </cell>
          <cell r="B4302" t="str">
            <v>SEVA GROUP</v>
          </cell>
          <cell r="C4302" t="str">
            <v>A</v>
          </cell>
          <cell r="D4302" t="str">
            <v>NO</v>
          </cell>
          <cell r="E4302" t="str">
            <v>MAGIC INK COLOR CHANGE: MY LITTLE PONY</v>
          </cell>
          <cell r="F4302" t="str">
            <v>LIBRO</v>
          </cell>
          <cell r="G4302" t="str">
            <v>TOY-260142-CAT</v>
          </cell>
          <cell r="H4302" t="str">
            <v>SEVA</v>
          </cell>
          <cell r="I4302">
            <v>0</v>
          </cell>
        </row>
        <row r="4303">
          <cell r="A4303" t="str">
            <v>19-04302</v>
          </cell>
          <cell r="B4303" t="str">
            <v>SEVA GROUP</v>
          </cell>
          <cell r="C4303" t="str">
            <v>A</v>
          </cell>
          <cell r="D4303" t="str">
            <v>NO</v>
          </cell>
          <cell r="E4303" t="str">
            <v>MAGIC INK COLOR CHANGE: THOMAS</v>
          </cell>
          <cell r="F4303" t="str">
            <v>LIBRO</v>
          </cell>
          <cell r="G4303" t="str">
            <v>TOY-260425-CAT</v>
          </cell>
          <cell r="H4303" t="str">
            <v>SEVA</v>
          </cell>
          <cell r="I4303">
            <v>0</v>
          </cell>
        </row>
        <row r="4304">
          <cell r="A4304" t="str">
            <v>19-04303</v>
          </cell>
          <cell r="B4304" t="str">
            <v>SEVA GROUP</v>
          </cell>
          <cell r="C4304" t="str">
            <v>A</v>
          </cell>
          <cell r="D4304" t="str">
            <v>NO</v>
          </cell>
          <cell r="E4304" t="str">
            <v>MAGIC INK COLOR CHANGE: BARBIE</v>
          </cell>
          <cell r="F4304" t="str">
            <v>LIBRO</v>
          </cell>
          <cell r="G4304" t="str">
            <v>TOY-260586-CAT</v>
          </cell>
          <cell r="H4304" t="str">
            <v>SEVA</v>
          </cell>
          <cell r="I4304">
            <v>0</v>
          </cell>
        </row>
        <row r="4305">
          <cell r="A4305" t="str">
            <v>19-04304</v>
          </cell>
          <cell r="B4305" t="str">
            <v>SEVA GROUP</v>
          </cell>
          <cell r="C4305" t="str">
            <v>D</v>
          </cell>
          <cell r="D4305" t="str">
            <v>N/A</v>
          </cell>
          <cell r="E4305" t="str">
            <v>IMAGINE INK MESS FREE BOOKS: PLANES DISCONTINUED</v>
          </cell>
          <cell r="F4305" t="str">
            <v>LIBRO</v>
          </cell>
          <cell r="G4305" t="str">
            <v>TOY-102589-CAT</v>
          </cell>
          <cell r="H4305" t="str">
            <v>SEVA</v>
          </cell>
          <cell r="I4305">
            <v>3.55</v>
          </cell>
        </row>
        <row r="4306">
          <cell r="A4306" t="str">
            <v>19-04305</v>
          </cell>
          <cell r="B4306" t="str">
            <v>SEVA GROUP</v>
          </cell>
          <cell r="C4306" t="str">
            <v>A</v>
          </cell>
          <cell r="D4306" t="str">
            <v>NO</v>
          </cell>
          <cell r="E4306" t="str">
            <v>IMAGINE INK MESS FREE BOOKS: PRINCESS</v>
          </cell>
          <cell r="F4306" t="str">
            <v>LIBRO</v>
          </cell>
          <cell r="G4306" t="str">
            <v>TOY-260081-CAT</v>
          </cell>
          <cell r="H4306" t="str">
            <v>SEVA</v>
          </cell>
          <cell r="I4306">
            <v>3.55</v>
          </cell>
        </row>
        <row r="4307">
          <cell r="A4307" t="str">
            <v>19-04306</v>
          </cell>
          <cell r="B4307" t="str">
            <v>SEVA GROUP</v>
          </cell>
          <cell r="C4307" t="str">
            <v>A</v>
          </cell>
          <cell r="D4307" t="str">
            <v>NO</v>
          </cell>
          <cell r="E4307" t="str">
            <v>IMAGINE INK MESS FREE BOOKS: MICKEY</v>
          </cell>
          <cell r="F4307" t="str">
            <v>LIBRO</v>
          </cell>
          <cell r="G4307" t="str">
            <v>TOY-260173-CAT</v>
          </cell>
          <cell r="H4307" t="str">
            <v>SEVA</v>
          </cell>
          <cell r="I4307">
            <v>3.55</v>
          </cell>
        </row>
        <row r="4308">
          <cell r="A4308" t="str">
            <v>19-04307</v>
          </cell>
          <cell r="B4308" t="str">
            <v>SEVA GROUP</v>
          </cell>
          <cell r="C4308" t="str">
            <v>A</v>
          </cell>
          <cell r="D4308" t="str">
            <v>NO</v>
          </cell>
          <cell r="E4308" t="str">
            <v>IMAGINE INK MESS FREE BOOKS: MINNIE</v>
          </cell>
          <cell r="F4308" t="str">
            <v>LIBRO</v>
          </cell>
          <cell r="G4308" t="str">
            <v>TOY-260623-CAT</v>
          </cell>
          <cell r="H4308" t="str">
            <v>SEVA</v>
          </cell>
          <cell r="I4308">
            <v>3.55</v>
          </cell>
        </row>
        <row r="4309">
          <cell r="A4309" t="str">
            <v>19-04308</v>
          </cell>
          <cell r="B4309" t="str">
            <v>SEVA GROUP</v>
          </cell>
          <cell r="C4309" t="str">
            <v>A</v>
          </cell>
          <cell r="D4309" t="str">
            <v>NO</v>
          </cell>
          <cell r="E4309" t="str">
            <v>IMAGINE INK MESS FREE BOOKS: FROZEN</v>
          </cell>
          <cell r="F4309" t="str">
            <v>LIBRO</v>
          </cell>
          <cell r="G4309" t="str">
            <v>TOY-097157-CAT</v>
          </cell>
          <cell r="H4309" t="str">
            <v>SEVA</v>
          </cell>
          <cell r="I4309">
            <v>3.55</v>
          </cell>
        </row>
        <row r="4310">
          <cell r="A4310" t="str">
            <v>19-04309</v>
          </cell>
          <cell r="B4310" t="str">
            <v>SEVA GROUP</v>
          </cell>
          <cell r="C4310" t="str">
            <v>D</v>
          </cell>
          <cell r="D4310" t="str">
            <v>N/A</v>
          </cell>
          <cell r="E4310" t="str">
            <v>IMAGINE INK MESS FREE BOOKS: DESPICABLE DISCONTINUED</v>
          </cell>
          <cell r="F4310" t="str">
            <v>LIBRO</v>
          </cell>
          <cell r="G4310" t="str">
            <v>TOY-315163-CAT</v>
          </cell>
          <cell r="H4310" t="str">
            <v>SEVA</v>
          </cell>
          <cell r="I4310">
            <v>3.55</v>
          </cell>
        </row>
        <row r="4311">
          <cell r="A4311" t="str">
            <v>19-04310</v>
          </cell>
          <cell r="B4311" t="str">
            <v>SEVA GROUP</v>
          </cell>
          <cell r="C4311" t="str">
            <v>P</v>
          </cell>
          <cell r="D4311" t="str">
            <v>N/A</v>
          </cell>
          <cell r="E4311" t="str">
            <v>IMAGINE INK MESS FREE BOOKS: DORA</v>
          </cell>
          <cell r="F4311" t="str">
            <v>LIBRO</v>
          </cell>
          <cell r="G4311" t="str">
            <v>TOY-260098-CAT</v>
          </cell>
          <cell r="H4311" t="str">
            <v>SEVA</v>
          </cell>
          <cell r="I4311">
            <v>0</v>
          </cell>
        </row>
        <row r="4312">
          <cell r="A4312" t="str">
            <v>19-04311</v>
          </cell>
          <cell r="B4312" t="str">
            <v>SEVA GROUP</v>
          </cell>
          <cell r="C4312" t="str">
            <v>A</v>
          </cell>
          <cell r="D4312" t="str">
            <v>NO</v>
          </cell>
          <cell r="E4312" t="str">
            <v>IMAGINE INK MESS FREE BOOKS: HELLO KITTY</v>
          </cell>
          <cell r="F4312" t="str">
            <v>LIBRO</v>
          </cell>
          <cell r="G4312" t="str">
            <v>TOY-260418-CAT</v>
          </cell>
          <cell r="H4312" t="str">
            <v>SEVA</v>
          </cell>
          <cell r="I4312">
            <v>3.55</v>
          </cell>
        </row>
        <row r="4313">
          <cell r="A4313" t="str">
            <v>19-04312</v>
          </cell>
          <cell r="B4313" t="str">
            <v>SEVA GROUP</v>
          </cell>
          <cell r="C4313" t="str">
            <v>P</v>
          </cell>
          <cell r="D4313" t="str">
            <v>N/A</v>
          </cell>
          <cell r="E4313" t="str">
            <v>IMAGINE INK MESS FREE BOOKS: DOC MCSTUF</v>
          </cell>
          <cell r="F4313" t="str">
            <v>LIBRO</v>
          </cell>
          <cell r="G4313" t="str">
            <v>TOY-260630-CAT</v>
          </cell>
          <cell r="H4313" t="str">
            <v>SEVA</v>
          </cell>
          <cell r="I4313">
            <v>0</v>
          </cell>
        </row>
        <row r="4314">
          <cell r="A4314" t="str">
            <v>19-04313</v>
          </cell>
          <cell r="B4314" t="str">
            <v>SEVA GROUP</v>
          </cell>
          <cell r="C4314" t="str">
            <v>A</v>
          </cell>
          <cell r="D4314" t="str">
            <v>NO</v>
          </cell>
          <cell r="E4314" t="str">
            <v>COLOR N' GO (DRI ERASE): PRINCESS</v>
          </cell>
          <cell r="F4314" t="str">
            <v>LIBRO</v>
          </cell>
          <cell r="G4314" t="str">
            <v>TOY-920039-CAT</v>
          </cell>
          <cell r="H4314" t="str">
            <v>SEVA</v>
          </cell>
          <cell r="I4314">
            <v>0</v>
          </cell>
        </row>
        <row r="4315">
          <cell r="A4315" t="str">
            <v>19-04314</v>
          </cell>
          <cell r="B4315" t="str">
            <v>SEVA GROUP</v>
          </cell>
          <cell r="C4315" t="str">
            <v>D</v>
          </cell>
          <cell r="D4315" t="str">
            <v>N/A</v>
          </cell>
          <cell r="E4315" t="str">
            <v>COLOR N' GO (DRI ERASE): MICKEY DISCONTINUED</v>
          </cell>
          <cell r="F4315" t="str">
            <v>LIBRO</v>
          </cell>
          <cell r="G4315" t="str">
            <v>TOY-920053-CAT</v>
          </cell>
          <cell r="H4315" t="str">
            <v>SEVA</v>
          </cell>
          <cell r="I4315">
            <v>3.4</v>
          </cell>
        </row>
        <row r="4316">
          <cell r="A4316" t="str">
            <v>19-04315</v>
          </cell>
          <cell r="B4316" t="str">
            <v>SEVA GROUP</v>
          </cell>
          <cell r="C4316" t="str">
            <v>A</v>
          </cell>
          <cell r="D4316" t="str">
            <v>NO</v>
          </cell>
          <cell r="E4316" t="str">
            <v>COLOR N' GO (DRI ERASE): MINNIE</v>
          </cell>
          <cell r="F4316" t="str">
            <v>LIBRO</v>
          </cell>
          <cell r="G4316" t="str">
            <v>TOY-920046-CAT</v>
          </cell>
          <cell r="H4316" t="str">
            <v>SEVA</v>
          </cell>
          <cell r="I4316">
            <v>0</v>
          </cell>
        </row>
        <row r="4317">
          <cell r="A4317" t="str">
            <v>19-04316</v>
          </cell>
          <cell r="B4317" t="str">
            <v>SEVA GROUP</v>
          </cell>
          <cell r="C4317" t="str">
            <v>A</v>
          </cell>
          <cell r="D4317" t="str">
            <v>NO</v>
          </cell>
          <cell r="E4317" t="str">
            <v>COLOR N' GO (DRI ERASE): CARS</v>
          </cell>
          <cell r="F4317" t="str">
            <v>LIBRO</v>
          </cell>
          <cell r="G4317" t="str">
            <v>TOY-920060-CAT</v>
          </cell>
          <cell r="H4317" t="str">
            <v>SEVA</v>
          </cell>
          <cell r="I4317">
            <v>0</v>
          </cell>
        </row>
        <row r="4318">
          <cell r="A4318" t="str">
            <v>19-04317</v>
          </cell>
          <cell r="B4318" t="str">
            <v>SEVA GROUP</v>
          </cell>
          <cell r="C4318" t="str">
            <v>A</v>
          </cell>
          <cell r="D4318" t="str">
            <v>NO</v>
          </cell>
          <cell r="E4318" t="str">
            <v>COLOR N' GO DRI ERASE: JAKE THE PIRATE</v>
          </cell>
          <cell r="F4318" t="str">
            <v>LIBRO</v>
          </cell>
          <cell r="G4318" t="str">
            <v>TOY-920077-CAT</v>
          </cell>
          <cell r="H4318" t="str">
            <v>SEVA</v>
          </cell>
          <cell r="I4318">
            <v>0</v>
          </cell>
        </row>
        <row r="4319">
          <cell r="A4319" t="str">
            <v>19-04318</v>
          </cell>
          <cell r="B4319" t="str">
            <v>SEVA GROUP</v>
          </cell>
          <cell r="C4319" t="str">
            <v>A</v>
          </cell>
          <cell r="D4319" t="str">
            <v>NO</v>
          </cell>
          <cell r="E4319" t="str">
            <v>COLOR N' GO (DRI ERASE): DOC MCSTUFFINS</v>
          </cell>
          <cell r="F4319" t="str">
            <v>LIBRO</v>
          </cell>
          <cell r="G4319" t="str">
            <v>TOY-304585-CAT</v>
          </cell>
          <cell r="H4319" t="str">
            <v>SEVA</v>
          </cell>
          <cell r="I4319">
            <v>0</v>
          </cell>
        </row>
        <row r="4320">
          <cell r="A4320" t="str">
            <v>19-04319</v>
          </cell>
          <cell r="B4320" t="str">
            <v>SEVA GROUP</v>
          </cell>
          <cell r="C4320" t="str">
            <v>A</v>
          </cell>
          <cell r="D4320" t="str">
            <v>NO</v>
          </cell>
          <cell r="E4320" t="str">
            <v>COLOR N' GO (DRI ERASE): SOFIA</v>
          </cell>
          <cell r="F4320" t="str">
            <v>LIBRO</v>
          </cell>
          <cell r="G4320" t="str">
            <v>TOY-301461-CAT</v>
          </cell>
          <cell r="H4320" t="str">
            <v>SEVA</v>
          </cell>
          <cell r="I4320">
            <v>0</v>
          </cell>
        </row>
        <row r="4321">
          <cell r="A4321" t="str">
            <v>19-04320</v>
          </cell>
          <cell r="B4321" t="str">
            <v>SEVA GROUP</v>
          </cell>
          <cell r="C4321" t="str">
            <v>A</v>
          </cell>
          <cell r="D4321" t="str">
            <v>NO</v>
          </cell>
          <cell r="E4321" t="str">
            <v>FUN ON THE GO: FROZEN - ELSA</v>
          </cell>
          <cell r="F4321" t="str">
            <v>LIBRO</v>
          </cell>
          <cell r="G4321" t="str">
            <v>TOY-928961-CAT</v>
          </cell>
          <cell r="H4321" t="str">
            <v>SEVA</v>
          </cell>
          <cell r="I4321">
            <v>0</v>
          </cell>
        </row>
        <row r="4322">
          <cell r="A4322" t="str">
            <v>19-04321</v>
          </cell>
          <cell r="B4322" t="str">
            <v>SEVA GROUP</v>
          </cell>
          <cell r="C4322" t="str">
            <v>A</v>
          </cell>
          <cell r="D4322" t="str">
            <v>NO</v>
          </cell>
          <cell r="E4322" t="str">
            <v>FUN ON THE GO: FROZEN - OLAF</v>
          </cell>
          <cell r="F4322" t="str">
            <v>LIBRO</v>
          </cell>
          <cell r="G4322" t="str">
            <v>TOY-929432-CAT</v>
          </cell>
          <cell r="H4322" t="str">
            <v>SEVA</v>
          </cell>
          <cell r="I4322">
            <v>2.8</v>
          </cell>
        </row>
        <row r="4323">
          <cell r="A4323" t="str">
            <v>19-04322</v>
          </cell>
          <cell r="B4323" t="str">
            <v>SEVA GROUP</v>
          </cell>
          <cell r="C4323" t="str">
            <v>A</v>
          </cell>
          <cell r="D4323" t="str">
            <v>NO</v>
          </cell>
          <cell r="E4323" t="str">
            <v>LICENSED COLOR &amp; STYLE PURSES: FROZEN</v>
          </cell>
          <cell r="F4323" t="str">
            <v>LIBRO</v>
          </cell>
          <cell r="G4323" t="str">
            <v>TOY-929623-CAT</v>
          </cell>
          <cell r="H4323" t="str">
            <v>SEVA</v>
          </cell>
          <cell r="I4323">
            <v>0</v>
          </cell>
        </row>
        <row r="4324">
          <cell r="A4324" t="str">
            <v>19-04323</v>
          </cell>
          <cell r="B4324" t="str">
            <v>SEVA GROUP</v>
          </cell>
          <cell r="C4324" t="str">
            <v>A</v>
          </cell>
          <cell r="D4324" t="str">
            <v>NO</v>
          </cell>
          <cell r="E4324" t="str">
            <v>LICENSED COLOR &amp; STYLE PURSES: BARBIE</v>
          </cell>
          <cell r="F4324" t="str">
            <v>LIBRO</v>
          </cell>
          <cell r="G4324" t="str">
            <v>TOY-924747-CAT</v>
          </cell>
          <cell r="H4324" t="str">
            <v>SEVA</v>
          </cell>
          <cell r="I4324">
            <v>0</v>
          </cell>
        </row>
        <row r="4325">
          <cell r="A4325" t="str">
            <v>19-04324</v>
          </cell>
          <cell r="B4325" t="str">
            <v>SEVA GROUP</v>
          </cell>
          <cell r="C4325" t="str">
            <v>A</v>
          </cell>
          <cell r="D4325" t="str">
            <v>NO</v>
          </cell>
          <cell r="E4325" t="str">
            <v>LICENSED COLOR &amp; STYLE PURSES: DOC MCSTUF</v>
          </cell>
          <cell r="F4325" t="str">
            <v>LIBRO</v>
          </cell>
          <cell r="G4325" t="str">
            <v>TOY-817982-CAT</v>
          </cell>
          <cell r="H4325" t="str">
            <v>SEVA</v>
          </cell>
          <cell r="I4325">
            <v>0</v>
          </cell>
        </row>
        <row r="4326">
          <cell r="A4326" t="str">
            <v>19-04325</v>
          </cell>
          <cell r="B4326" t="str">
            <v>SEVA GROUP</v>
          </cell>
          <cell r="C4326" t="str">
            <v>A</v>
          </cell>
          <cell r="D4326" t="str">
            <v>NO</v>
          </cell>
          <cell r="E4326" t="str">
            <v>LICENSED COLOR &amp; STYLE PURSES: MINNIE</v>
          </cell>
          <cell r="F4326" t="str">
            <v>LIBRO</v>
          </cell>
          <cell r="G4326" t="str">
            <v>TOY-924761-CAT</v>
          </cell>
          <cell r="H4326" t="str">
            <v>SEVA</v>
          </cell>
          <cell r="I4326">
            <v>0</v>
          </cell>
        </row>
        <row r="4327">
          <cell r="A4327" t="str">
            <v>19-04326</v>
          </cell>
          <cell r="B4327" t="str">
            <v>SEVA GROUP</v>
          </cell>
          <cell r="C4327" t="str">
            <v>A</v>
          </cell>
          <cell r="D4327" t="str">
            <v>NO</v>
          </cell>
          <cell r="E4327" t="str">
            <v>LICENSED COLOR &amp; STYLE PURSES: SOFIA</v>
          </cell>
          <cell r="F4327" t="str">
            <v>LIBRO</v>
          </cell>
          <cell r="G4327" t="str">
            <v>TOY-935907-CAT</v>
          </cell>
          <cell r="H4327" t="str">
            <v>SEVA</v>
          </cell>
          <cell r="I4327">
            <v>0</v>
          </cell>
        </row>
        <row r="4328">
          <cell r="A4328" t="str">
            <v>19-04327</v>
          </cell>
          <cell r="B4328" t="str">
            <v>SEVA GROUP</v>
          </cell>
          <cell r="C4328" t="str">
            <v>A</v>
          </cell>
          <cell r="D4328" t="str">
            <v>NO</v>
          </cell>
          <cell r="E4328" t="str">
            <v>LICENSED COLOR &amp; STYLE PURSES: PRINCESS</v>
          </cell>
          <cell r="F4328" t="str">
            <v>LIBRO</v>
          </cell>
          <cell r="G4328" t="str">
            <v>TOY-924754-CAT</v>
          </cell>
          <cell r="H4328" t="str">
            <v>SEVA</v>
          </cell>
          <cell r="I4328">
            <v>0</v>
          </cell>
        </row>
        <row r="4329">
          <cell r="A4329" t="str">
            <v>19-04328</v>
          </cell>
          <cell r="B4329" t="str">
            <v>SEVA GROUP</v>
          </cell>
          <cell r="C4329" t="str">
            <v>D</v>
          </cell>
          <cell r="D4329" t="str">
            <v>N/A</v>
          </cell>
          <cell r="E4329" t="str">
            <v>DESTINATION FUN GRAB-N-GO BOOKS: CARS DISCONTINUED</v>
          </cell>
          <cell r="F4329" t="str">
            <v>LIBRO</v>
          </cell>
          <cell r="G4329" t="str">
            <v>TOY-340057-CAT</v>
          </cell>
          <cell r="H4329" t="str">
            <v>SEVA</v>
          </cell>
          <cell r="I4329">
            <v>0</v>
          </cell>
        </row>
        <row r="4330">
          <cell r="A4330" t="str">
            <v>19-04329</v>
          </cell>
          <cell r="B4330" t="str">
            <v>SEVA GROUP</v>
          </cell>
          <cell r="C4330" t="str">
            <v>D</v>
          </cell>
          <cell r="D4330" t="str">
            <v>N/A</v>
          </cell>
          <cell r="E4330" t="str">
            <v>DESTINATION FUN GRAB-N-GO BOOKS: PRINCESS DISCONTINUED</v>
          </cell>
          <cell r="F4330" t="str">
            <v>LIBRO</v>
          </cell>
          <cell r="G4330" t="str">
            <v>TOY-340033-CAT</v>
          </cell>
          <cell r="H4330" t="str">
            <v>SEVA</v>
          </cell>
          <cell r="I4330">
            <v>0</v>
          </cell>
        </row>
        <row r="4331">
          <cell r="A4331" t="str">
            <v>19-04330</v>
          </cell>
          <cell r="B4331" t="str">
            <v>SEVA GROUP</v>
          </cell>
          <cell r="C4331" t="str">
            <v>A</v>
          </cell>
          <cell r="D4331" t="str">
            <v>NO</v>
          </cell>
          <cell r="E4331" t="str">
            <v>DESTINATION FUN GRAB-N-GO BOOKS: MICKEY</v>
          </cell>
          <cell r="F4331" t="str">
            <v>LIBRO</v>
          </cell>
          <cell r="G4331" t="str">
            <v>TOY-349500-CAT</v>
          </cell>
          <cell r="H4331" t="str">
            <v>SEVA</v>
          </cell>
          <cell r="I4331">
            <v>0</v>
          </cell>
        </row>
        <row r="4332">
          <cell r="A4332" t="str">
            <v>19-04331</v>
          </cell>
          <cell r="B4332" t="str">
            <v>SEVA GROUP</v>
          </cell>
          <cell r="C4332" t="str">
            <v>P</v>
          </cell>
          <cell r="D4332" t="str">
            <v>N/A</v>
          </cell>
          <cell r="E4332" t="str">
            <v>DESTINATION FUN GRAB-N-GO BOOKS: MINNIE</v>
          </cell>
          <cell r="F4332" t="str">
            <v>LIBRO</v>
          </cell>
          <cell r="G4332" t="str">
            <v>TOY-349494-CAT</v>
          </cell>
          <cell r="H4332" t="str">
            <v>SEVA</v>
          </cell>
          <cell r="I4332">
            <v>0</v>
          </cell>
        </row>
        <row r="4333">
          <cell r="A4333" t="str">
            <v>19-04332</v>
          </cell>
          <cell r="B4333" t="str">
            <v>SEVA GROUP</v>
          </cell>
          <cell r="C4333" t="str">
            <v>A</v>
          </cell>
          <cell r="D4333" t="str">
            <v>NO</v>
          </cell>
          <cell r="E4333" t="str">
            <v>INVISIBLE INK: CARS</v>
          </cell>
          <cell r="F4333" t="str">
            <v>LIBRO</v>
          </cell>
          <cell r="G4333" t="str">
            <v>TOY-917961-CAT</v>
          </cell>
          <cell r="H4333" t="str">
            <v>SEVA</v>
          </cell>
          <cell r="I4333">
            <v>0</v>
          </cell>
        </row>
        <row r="4334">
          <cell r="A4334" t="str">
            <v>19-04333</v>
          </cell>
          <cell r="B4334" t="str">
            <v>SEVA GROUP</v>
          </cell>
          <cell r="C4334" t="str">
            <v>P</v>
          </cell>
          <cell r="D4334" t="str">
            <v>N/A</v>
          </cell>
          <cell r="E4334" t="str">
            <v>INVISIBLE INK: NEMO</v>
          </cell>
          <cell r="F4334" t="str">
            <v>LIBRO</v>
          </cell>
          <cell r="G4334" t="str">
            <v>TOY-917985-CAT</v>
          </cell>
          <cell r="H4334" t="str">
            <v>SEVA</v>
          </cell>
          <cell r="I4334">
            <v>0</v>
          </cell>
        </row>
        <row r="4335">
          <cell r="A4335" t="str">
            <v>19-04334</v>
          </cell>
          <cell r="B4335" t="str">
            <v>SEVA GROUP</v>
          </cell>
          <cell r="C4335" t="str">
            <v>P</v>
          </cell>
          <cell r="D4335" t="str">
            <v>N/A</v>
          </cell>
          <cell r="E4335" t="str">
            <v>MAGIC INK BOOKS 2-IN-1: FROZEN - CHILLY</v>
          </cell>
          <cell r="F4335" t="str">
            <v>LIBRO</v>
          </cell>
          <cell r="G4335" t="str">
            <v>TOY-002215-CAT</v>
          </cell>
          <cell r="H4335" t="str">
            <v>SEVA</v>
          </cell>
          <cell r="I4335">
            <v>0</v>
          </cell>
        </row>
        <row r="4336">
          <cell r="A4336" t="str">
            <v>19-04335</v>
          </cell>
          <cell r="B4336" t="str">
            <v>SEVA GROUP</v>
          </cell>
          <cell r="C4336" t="str">
            <v>A</v>
          </cell>
          <cell r="D4336" t="str">
            <v>NO</v>
          </cell>
          <cell r="E4336" t="str">
            <v>MAGIC INK BOOKS 2-IN-1: FROZEN-SISTERS</v>
          </cell>
          <cell r="F4336" t="str">
            <v>LIBRO</v>
          </cell>
          <cell r="G4336" t="str">
            <v>TOY-002208-CAT</v>
          </cell>
          <cell r="H4336" t="str">
            <v>SEVA</v>
          </cell>
          <cell r="I4336">
            <v>0</v>
          </cell>
        </row>
        <row r="4337">
          <cell r="A4337" t="str">
            <v>19-04336</v>
          </cell>
          <cell r="B4337" t="str">
            <v>SEVA GROUP</v>
          </cell>
          <cell r="C4337" t="str">
            <v>P</v>
          </cell>
          <cell r="D4337" t="str">
            <v>N/A</v>
          </cell>
          <cell r="E4337" t="str">
            <v>INVISIBLE INK: MINNIE</v>
          </cell>
          <cell r="F4337" t="str">
            <v>LIBRO</v>
          </cell>
          <cell r="G4337" t="str">
            <v>TOY-009405-CAT</v>
          </cell>
          <cell r="H4337" t="str">
            <v>SEVA</v>
          </cell>
          <cell r="I4337">
            <v>0</v>
          </cell>
        </row>
        <row r="4338">
          <cell r="A4338" t="str">
            <v>19-04337</v>
          </cell>
          <cell r="B4338" t="str">
            <v>SEVA GROUP</v>
          </cell>
          <cell r="C4338" t="str">
            <v>P</v>
          </cell>
          <cell r="D4338" t="str">
            <v>N/A</v>
          </cell>
          <cell r="E4338" t="str">
            <v>INVISIBLE INK: MICKEY</v>
          </cell>
          <cell r="F4338" t="str">
            <v>LIBRO</v>
          </cell>
          <cell r="G4338" t="str">
            <v>TOY-009429-CAT</v>
          </cell>
          <cell r="H4338" t="str">
            <v>SEVA</v>
          </cell>
          <cell r="I4338">
            <v>0</v>
          </cell>
        </row>
        <row r="4339">
          <cell r="A4339" t="str">
            <v>19-04338</v>
          </cell>
          <cell r="B4339" t="str">
            <v>SEVA GROUP</v>
          </cell>
          <cell r="C4339" t="str">
            <v>P</v>
          </cell>
          <cell r="D4339" t="str">
            <v>N/A</v>
          </cell>
          <cell r="E4339" t="str">
            <v>INVISIBLE INK: LALA LOOPSY</v>
          </cell>
          <cell r="F4339" t="str">
            <v>LIBRO</v>
          </cell>
          <cell r="G4339" t="str">
            <v>TOY-032205-CAT</v>
          </cell>
          <cell r="H4339" t="str">
            <v>SEVA</v>
          </cell>
          <cell r="I4339">
            <v>0</v>
          </cell>
        </row>
        <row r="4340">
          <cell r="A4340" t="str">
            <v>19-04339</v>
          </cell>
          <cell r="B4340" t="str">
            <v>SEVA GROUP</v>
          </cell>
          <cell r="C4340" t="str">
            <v>D</v>
          </cell>
          <cell r="D4340" t="str">
            <v>N/A</v>
          </cell>
          <cell r="E4340" t="str">
            <v>INVISIBLE INK: MARVEL SUPERHEROS</v>
          </cell>
          <cell r="F4340" t="str">
            <v>LIBRO</v>
          </cell>
          <cell r="G4340" t="str">
            <v>TOY-455026-CAT</v>
          </cell>
          <cell r="H4340" t="str">
            <v>SEVA</v>
          </cell>
          <cell r="I4340">
            <v>0</v>
          </cell>
        </row>
        <row r="4341">
          <cell r="A4341" t="str">
            <v>19-04340</v>
          </cell>
          <cell r="B4341" t="str">
            <v>SEVA GROUP</v>
          </cell>
          <cell r="C4341" t="str">
            <v>P</v>
          </cell>
          <cell r="D4341" t="str">
            <v>N/A</v>
          </cell>
          <cell r="E4341" t="str">
            <v>INVISIBLE INK: PRINCESS</v>
          </cell>
          <cell r="F4341" t="str">
            <v>LIBRO</v>
          </cell>
          <cell r="G4341" t="str">
            <v>TOY-917978-CAT</v>
          </cell>
          <cell r="H4341" t="str">
            <v>SEVA</v>
          </cell>
          <cell r="I4341">
            <v>0</v>
          </cell>
        </row>
        <row r="4342">
          <cell r="A4342" t="str">
            <v>19-04341</v>
          </cell>
          <cell r="B4342" t="str">
            <v>SEVA GROUP</v>
          </cell>
          <cell r="C4342" t="str">
            <v>A</v>
          </cell>
          <cell r="D4342" t="str">
            <v>NO</v>
          </cell>
          <cell r="E4342" t="str">
            <v>MAGNETIC FUN TINS - SLEEPING BEAUTY</v>
          </cell>
          <cell r="F4342" t="str">
            <v>LIBRO</v>
          </cell>
          <cell r="G4342" t="str">
            <v>TOY-061388-CAT</v>
          </cell>
          <cell r="H4342" t="str">
            <v>SEVA</v>
          </cell>
          <cell r="I4342">
            <v>5.3</v>
          </cell>
        </row>
        <row r="4343">
          <cell r="A4343" t="str">
            <v>19-04342</v>
          </cell>
          <cell r="B4343" t="str">
            <v>SEVA GROUP</v>
          </cell>
          <cell r="C4343" t="str">
            <v>A</v>
          </cell>
          <cell r="D4343" t="str">
            <v>NO</v>
          </cell>
          <cell r="E4343" t="str">
            <v>MAGNETIC FUN TINS - SNOW WHITE</v>
          </cell>
          <cell r="F4343" t="str">
            <v>LIBRO</v>
          </cell>
          <cell r="G4343" t="str">
            <v>TOY-061456-CAT</v>
          </cell>
          <cell r="H4343" t="str">
            <v>SEVA</v>
          </cell>
          <cell r="I4343">
            <v>0</v>
          </cell>
        </row>
        <row r="4344">
          <cell r="A4344" t="str">
            <v>19-04343</v>
          </cell>
          <cell r="B4344" t="str">
            <v>SEVA GROUP</v>
          </cell>
          <cell r="C4344" t="str">
            <v>A</v>
          </cell>
          <cell r="D4344" t="str">
            <v>NO</v>
          </cell>
          <cell r="E4344" t="str">
            <v>MAGNETIC FUN TINS - TINKERBELL</v>
          </cell>
          <cell r="F4344" t="str">
            <v>LIBRO</v>
          </cell>
          <cell r="G4344" t="str">
            <v>TOY-210007-CAT</v>
          </cell>
          <cell r="H4344" t="str">
            <v>SEVA</v>
          </cell>
          <cell r="I4344">
            <v>5.3</v>
          </cell>
        </row>
        <row r="4345">
          <cell r="A4345" t="str">
            <v>19-04344</v>
          </cell>
          <cell r="B4345" t="str">
            <v>SEVA GROUP</v>
          </cell>
          <cell r="C4345" t="str">
            <v>A</v>
          </cell>
          <cell r="D4345" t="str">
            <v>NO</v>
          </cell>
          <cell r="E4345" t="str">
            <v>MAGNETIC FUN TINS - CINDERELLA</v>
          </cell>
          <cell r="F4345" t="str">
            <v>LIBRO</v>
          </cell>
          <cell r="G4345" t="str">
            <v>TOY-918050-CAT</v>
          </cell>
          <cell r="H4345" t="str">
            <v>SEVA</v>
          </cell>
          <cell r="I4345">
            <v>0</v>
          </cell>
        </row>
        <row r="4346">
          <cell r="A4346" t="str">
            <v>19-04345</v>
          </cell>
          <cell r="B4346" t="str">
            <v>SEVA GROUP</v>
          </cell>
          <cell r="C4346" t="str">
            <v>A</v>
          </cell>
          <cell r="D4346" t="str">
            <v>NO</v>
          </cell>
          <cell r="E4346" t="str">
            <v>MAGNETIC FUN TINS - LITTLE MERMAID</v>
          </cell>
          <cell r="F4346" t="str">
            <v>LIBRO</v>
          </cell>
          <cell r="G4346" t="str">
            <v>TOY-918074-CAT</v>
          </cell>
          <cell r="H4346" t="str">
            <v>SEVA</v>
          </cell>
          <cell r="I4346">
            <v>5.3</v>
          </cell>
        </row>
        <row r="4347">
          <cell r="A4347" t="str">
            <v>19-04346</v>
          </cell>
          <cell r="B4347" t="str">
            <v>SEVA GROUP</v>
          </cell>
          <cell r="C4347" t="str">
            <v>A</v>
          </cell>
          <cell r="D4347" t="str">
            <v>NO</v>
          </cell>
          <cell r="E4347" t="str">
            <v>MAGNETIC FUN TINS - BEAUTY &amp; BEAST</v>
          </cell>
          <cell r="F4347" t="str">
            <v>LIBRO</v>
          </cell>
          <cell r="G4347" t="str">
            <v>TOY-918081-CAT</v>
          </cell>
          <cell r="H4347" t="str">
            <v>SEVA</v>
          </cell>
          <cell r="I4347">
            <v>0</v>
          </cell>
        </row>
        <row r="4348">
          <cell r="A4348" t="str">
            <v>19-04347</v>
          </cell>
          <cell r="B4348" t="str">
            <v>SEVA GROUP</v>
          </cell>
          <cell r="C4348" t="str">
            <v>A</v>
          </cell>
          <cell r="D4348" t="str">
            <v>NO</v>
          </cell>
          <cell r="E4348" t="str">
            <v>MAGNETIC FUN TINS - FROZEN - PAPER DOLL</v>
          </cell>
          <cell r="F4348" t="str">
            <v>LIBRO</v>
          </cell>
          <cell r="G4348" t="str">
            <v>TOY-006220-CAT</v>
          </cell>
          <cell r="H4348" t="str">
            <v>SEVA</v>
          </cell>
          <cell r="I4348">
            <v>0</v>
          </cell>
        </row>
        <row r="4349">
          <cell r="A4349" t="str">
            <v>19-04348</v>
          </cell>
          <cell r="B4349" t="str">
            <v>SEVA GROUP</v>
          </cell>
          <cell r="C4349" t="str">
            <v>A</v>
          </cell>
          <cell r="D4349" t="str">
            <v>NO</v>
          </cell>
          <cell r="E4349" t="str">
            <v>PLASTIC DISPLAY &amp; SLATWALL HOOKS</v>
          </cell>
          <cell r="F4349" t="str">
            <v>DISPLAY</v>
          </cell>
          <cell r="G4349" t="str">
            <v>TOY-006220-CAT</v>
          </cell>
          <cell r="H4349" t="str">
            <v>SEVA</v>
          </cell>
          <cell r="I4349">
            <v>0</v>
          </cell>
        </row>
        <row r="4350">
          <cell r="A4350" t="str">
            <v>19-04349</v>
          </cell>
          <cell r="B4350" t="str">
            <v>DIST. LEWIS</v>
          </cell>
          <cell r="C4350" t="str">
            <v>A</v>
          </cell>
          <cell r="D4350" t="str">
            <v>SI</v>
          </cell>
          <cell r="E4350" t="str">
            <v>EXCELLENCE</v>
          </cell>
          <cell r="F4350" t="str">
            <v>MAGAZINE</v>
          </cell>
          <cell r="G4350">
            <v>1557</v>
          </cell>
          <cell r="H4350" t="str">
            <v>DIST. LEWIS</v>
          </cell>
          <cell r="I4350">
            <v>5.56</v>
          </cell>
        </row>
        <row r="4351">
          <cell r="A4351" t="str">
            <v>19-04350</v>
          </cell>
          <cell r="B4351" t="str">
            <v>TDL</v>
          </cell>
          <cell r="C4351" t="str">
            <v>A</v>
          </cell>
          <cell r="D4351" t="str">
            <v>NO</v>
          </cell>
          <cell r="E4351" t="str">
            <v>40213 BURT'S BEES ACNE MAXIMUM STRENGTH TREATMENT CREAM 12X14G</v>
          </cell>
          <cell r="F4351" t="str">
            <v>CREMA</v>
          </cell>
          <cell r="G4351" t="str">
            <v>79285-01387</v>
          </cell>
          <cell r="H4351" t="str">
            <v>BURT'S BEES</v>
          </cell>
          <cell r="I4351">
            <v>104.96</v>
          </cell>
        </row>
        <row r="4352">
          <cell r="A4352" t="str">
            <v>19-04351</v>
          </cell>
          <cell r="B4352" t="str">
            <v>TDL</v>
          </cell>
          <cell r="C4352" t="str">
            <v>A</v>
          </cell>
          <cell r="D4352" t="str">
            <v>NO</v>
          </cell>
          <cell r="E4352" t="str">
            <v>40477 BURT'S BEES BABY BEE KISSABLE CHEEKS 16X7G</v>
          </cell>
          <cell r="F4352" t="str">
            <v>CREMA</v>
          </cell>
          <cell r="G4352" t="str">
            <v>79285-00219</v>
          </cell>
          <cell r="H4352" t="str">
            <v>BURT'S BEES</v>
          </cell>
          <cell r="I4352">
            <v>0</v>
          </cell>
        </row>
        <row r="4353">
          <cell r="A4353" t="str">
            <v>19-04352</v>
          </cell>
          <cell r="B4353" t="str">
            <v>TDL</v>
          </cell>
          <cell r="C4353" t="str">
            <v>A</v>
          </cell>
          <cell r="D4353" t="str">
            <v>NO</v>
          </cell>
          <cell r="E4353" t="str">
            <v>40921 BURT'S BEES HAND CREAM - HONEY &amp; GRAPESEED 18X73.7G</v>
          </cell>
          <cell r="F4353" t="str">
            <v>CREMA</v>
          </cell>
          <cell r="G4353" t="str">
            <v>79285-64699</v>
          </cell>
          <cell r="H4353" t="str">
            <v>BURT'S BEES</v>
          </cell>
          <cell r="I4353">
            <v>121.15</v>
          </cell>
        </row>
        <row r="4354">
          <cell r="A4354" t="str">
            <v>19-04353</v>
          </cell>
          <cell r="B4354" t="str">
            <v>TDL</v>
          </cell>
          <cell r="C4354" t="str">
            <v>A</v>
          </cell>
          <cell r="D4354" t="str">
            <v>NO</v>
          </cell>
          <cell r="E4354" t="str">
            <v>40064 BURT'S BEES BODY LOTION - MILK &amp; HONEY  24X70G</v>
          </cell>
          <cell r="F4354" t="str">
            <v>CREMA</v>
          </cell>
          <cell r="G4354" t="str">
            <v>79285-00660</v>
          </cell>
          <cell r="H4354" t="str">
            <v>BURT'S BEES</v>
          </cell>
          <cell r="I4354">
            <v>80.77</v>
          </cell>
        </row>
        <row r="4355">
          <cell r="A4355" t="str">
            <v>19-04354</v>
          </cell>
          <cell r="B4355" t="str">
            <v>TDL</v>
          </cell>
          <cell r="C4355" t="str">
            <v>A</v>
          </cell>
          <cell r="D4355" t="str">
            <v>NO</v>
          </cell>
          <cell r="E4355" t="str">
            <v>40857 BURT'S BEES MEN'S AFTERSHAVE 24X73.8ML</v>
          </cell>
          <cell r="F4355" t="str">
            <v>AFTER SHAVE</v>
          </cell>
          <cell r="G4355" t="str">
            <v>79285-58899</v>
          </cell>
          <cell r="H4355" t="str">
            <v>BURT'S BEES</v>
          </cell>
          <cell r="I4355">
            <v>129.16</v>
          </cell>
        </row>
        <row r="4356">
          <cell r="A4356" t="str">
            <v>19-04355</v>
          </cell>
          <cell r="B4356" t="str">
            <v>TDL</v>
          </cell>
          <cell r="C4356" t="str">
            <v>A</v>
          </cell>
          <cell r="D4356" t="str">
            <v>NO</v>
          </cell>
          <cell r="E4356" t="str">
            <v>40850 BURT'S BEES MEN'S SHAVE CREAM  24X170G</v>
          </cell>
          <cell r="F4356" t="str">
            <v>SHAVE CREAM</v>
          </cell>
          <cell r="G4356" t="str">
            <v>79285-56999</v>
          </cell>
          <cell r="H4356" t="str">
            <v>BURT'S BEES</v>
          </cell>
          <cell r="I4356">
            <v>129.16</v>
          </cell>
        </row>
        <row r="4357">
          <cell r="A4357" t="str">
            <v>19-04356</v>
          </cell>
          <cell r="B4357" t="str">
            <v>TDL</v>
          </cell>
          <cell r="C4357" t="str">
            <v>A</v>
          </cell>
          <cell r="D4357" t="str">
            <v>NO</v>
          </cell>
          <cell r="E4357" t="str">
            <v>23909 BURT'S BEES HAND CREME - ALMOND MILK 32X57G</v>
          </cell>
          <cell r="F4357" t="str">
            <v>CREMA</v>
          </cell>
          <cell r="G4357" t="str">
            <v>79285-25999</v>
          </cell>
          <cell r="H4357" t="str">
            <v>BURT'S BEES</v>
          </cell>
          <cell r="I4357">
            <v>194.02</v>
          </cell>
        </row>
        <row r="4358">
          <cell r="A4358" t="str">
            <v>19-04357</v>
          </cell>
          <cell r="B4358" t="str">
            <v>TDL</v>
          </cell>
          <cell r="C4358" t="str">
            <v>A</v>
          </cell>
          <cell r="D4358" t="str">
            <v>NO</v>
          </cell>
          <cell r="E4358" t="str">
            <v>22237 BURT'S BEES BEESWAX LIP BALM SQUEEZE TUBE 54X9.92G</v>
          </cell>
          <cell r="F4358" t="str">
            <v>LIP BALM</v>
          </cell>
          <cell r="G4358" t="str">
            <v>79285-89250</v>
          </cell>
          <cell r="H4358" t="str">
            <v>BURT'S BEES</v>
          </cell>
          <cell r="I4358">
            <v>139.13999999999999</v>
          </cell>
        </row>
        <row r="4359">
          <cell r="A4359" t="str">
            <v>19-04358</v>
          </cell>
          <cell r="B4359" t="str">
            <v>TDL</v>
          </cell>
          <cell r="C4359" t="str">
            <v>A</v>
          </cell>
          <cell r="D4359" t="str">
            <v>NO</v>
          </cell>
          <cell r="E4359" t="str">
            <v>40088 BURT'S BEES ACAI  LIP BALM TUBE 72X4.25G</v>
          </cell>
          <cell r="F4359" t="str">
            <v>LIP BALM</v>
          </cell>
          <cell r="G4359" t="str">
            <v>79285-00760</v>
          </cell>
          <cell r="H4359" t="str">
            <v>BURT'S BEES</v>
          </cell>
          <cell r="I4359">
            <v>152.05000000000001</v>
          </cell>
        </row>
        <row r="4360">
          <cell r="A4360" t="str">
            <v>19-04359</v>
          </cell>
          <cell r="B4360" t="str">
            <v>TDL</v>
          </cell>
          <cell r="C4360" t="str">
            <v>A</v>
          </cell>
          <cell r="D4360" t="str">
            <v>NO</v>
          </cell>
          <cell r="E4360" t="str">
            <v>40712 BURT'S BEES BEESWAX LIP BALM TIN 72X8.5G</v>
          </cell>
          <cell r="F4360" t="str">
            <v>LIP BALM</v>
          </cell>
          <cell r="G4360" t="str">
            <v>79285-10999</v>
          </cell>
          <cell r="H4360" t="str">
            <v>BURT'S BEES</v>
          </cell>
          <cell r="I4360">
            <v>152.05000000000001</v>
          </cell>
        </row>
        <row r="4361">
          <cell r="A4361" t="str">
            <v>19-04360</v>
          </cell>
          <cell r="B4361" t="str">
            <v>TDL</v>
          </cell>
          <cell r="C4361" t="str">
            <v>A</v>
          </cell>
          <cell r="D4361" t="str">
            <v>NO</v>
          </cell>
          <cell r="E4361" t="str">
            <v>41118 BURT'S BEES BEESWAX LIP BALM TIN - BLISTER  72X8.5G</v>
          </cell>
          <cell r="F4361" t="str">
            <v>LIP BALM</v>
          </cell>
          <cell r="G4361" t="str">
            <v>79285-14399</v>
          </cell>
          <cell r="H4361" t="str">
            <v>BURT'S BEES</v>
          </cell>
          <cell r="I4361">
            <v>152.05000000000001</v>
          </cell>
        </row>
        <row r="4362">
          <cell r="A4362" t="str">
            <v>19-04361</v>
          </cell>
          <cell r="B4362" t="str">
            <v>TDL</v>
          </cell>
          <cell r="C4362" t="str">
            <v>A</v>
          </cell>
          <cell r="D4362" t="str">
            <v>NO</v>
          </cell>
          <cell r="E4362" t="str">
            <v>40467 BURT'S BEES BLUEBERRY &amp; DARK CHOCOLATE LIP BALM TUBE 72X4.25G</v>
          </cell>
          <cell r="F4362" t="str">
            <v>LIP BALM</v>
          </cell>
          <cell r="G4362" t="str">
            <v>79285-02130</v>
          </cell>
          <cell r="H4362" t="str">
            <v>BURT'S BEES</v>
          </cell>
          <cell r="I4362">
            <v>152.05000000000001</v>
          </cell>
        </row>
        <row r="4363">
          <cell r="A4363" t="str">
            <v>19-04362</v>
          </cell>
          <cell r="B4363" t="str">
            <v>TDL</v>
          </cell>
          <cell r="C4363" t="str">
            <v>A</v>
          </cell>
          <cell r="D4363" t="str">
            <v>NO</v>
          </cell>
          <cell r="E4363" t="str">
            <v>23357 BURT'S BEES COCONUT &amp; PEAR LIP BALM TUBE 72X4.25G</v>
          </cell>
          <cell r="F4363" t="str">
            <v>LIP BALM</v>
          </cell>
          <cell r="G4363" t="str">
            <v>79285-02500</v>
          </cell>
          <cell r="H4363" t="str">
            <v>BURT'S BEES</v>
          </cell>
          <cell r="I4363">
            <v>152.05000000000001</v>
          </cell>
        </row>
        <row r="4364">
          <cell r="A4364" t="str">
            <v>19-04363</v>
          </cell>
          <cell r="B4364" t="str">
            <v>TDL</v>
          </cell>
          <cell r="C4364" t="str">
            <v>A</v>
          </cell>
          <cell r="D4364" t="str">
            <v>NO</v>
          </cell>
          <cell r="E4364" t="str">
            <v>23035 BURT'S BEES HONEY LIP BALM TUBE 72X4.25G</v>
          </cell>
          <cell r="F4364" t="str">
            <v>LIP BALM</v>
          </cell>
          <cell r="G4364" t="str">
            <v>79285-13699</v>
          </cell>
          <cell r="H4364" t="str">
            <v>BURT'S BEES</v>
          </cell>
          <cell r="I4364">
            <v>152.05000000000001</v>
          </cell>
        </row>
        <row r="4365">
          <cell r="A4365" t="str">
            <v>19-04364</v>
          </cell>
          <cell r="B4365" t="str">
            <v>TDL</v>
          </cell>
          <cell r="C4365" t="str">
            <v>A</v>
          </cell>
          <cell r="D4365" t="str">
            <v>NO</v>
          </cell>
          <cell r="E4365" t="str">
            <v>23382 BURT'S BEES MANGO LIP BALM TUBE 72X4.25G</v>
          </cell>
          <cell r="F4365" t="str">
            <v>LIP BALM</v>
          </cell>
          <cell r="G4365" t="str">
            <v>79285-00740</v>
          </cell>
          <cell r="H4365" t="str">
            <v>BURT'S BEES</v>
          </cell>
          <cell r="I4365">
            <v>152.05000000000001</v>
          </cell>
        </row>
        <row r="4366">
          <cell r="A4366" t="str">
            <v>19-04365</v>
          </cell>
          <cell r="B4366" t="str">
            <v>TDL</v>
          </cell>
          <cell r="C4366" t="str">
            <v>A</v>
          </cell>
          <cell r="D4366" t="str">
            <v>NO</v>
          </cell>
          <cell r="E4366" t="str">
            <v>22807 BURT'S BEES PINK GRAPEFRUIT LIP BALM TUBE 72X4.25G</v>
          </cell>
          <cell r="F4366" t="str">
            <v>LIP BALM</v>
          </cell>
          <cell r="G4366" t="str">
            <v>79285-01450</v>
          </cell>
          <cell r="H4366" t="str">
            <v>BURT'S BEES</v>
          </cell>
          <cell r="I4366">
            <v>152.05000000000001</v>
          </cell>
        </row>
        <row r="4367">
          <cell r="A4367" t="str">
            <v>19-04366</v>
          </cell>
          <cell r="B4367" t="str">
            <v>TDL</v>
          </cell>
          <cell r="C4367" t="str">
            <v>A</v>
          </cell>
          <cell r="D4367" t="str">
            <v>NO</v>
          </cell>
          <cell r="E4367" t="str">
            <v>23277 BURT'S BEES POMEGRANATE LIP BALM TUBE 72X4.25G</v>
          </cell>
          <cell r="F4367" t="str">
            <v>LIP BALM</v>
          </cell>
          <cell r="G4367" t="str">
            <v>79285-15799</v>
          </cell>
          <cell r="H4367" t="str">
            <v>BURT'S BEES</v>
          </cell>
          <cell r="I4367">
            <v>152.05000000000001</v>
          </cell>
        </row>
        <row r="4368">
          <cell r="A4368" t="str">
            <v>19-04367</v>
          </cell>
          <cell r="B4368" t="str">
            <v>TDL</v>
          </cell>
          <cell r="C4368" t="str">
            <v>A</v>
          </cell>
          <cell r="D4368" t="str">
            <v>NO</v>
          </cell>
          <cell r="E4368" t="str">
            <v>25774 BURT'S BEES STRAWBERRY LIP BALM TUBE 72X4.25G</v>
          </cell>
          <cell r="F4368" t="str">
            <v>LIP BALM</v>
          </cell>
          <cell r="G4368" t="str">
            <v>79285-89768</v>
          </cell>
          <cell r="H4368" t="str">
            <v>BURT'S BEES</v>
          </cell>
          <cell r="I4368">
            <v>152.05000000000001</v>
          </cell>
        </row>
        <row r="4369">
          <cell r="A4369" t="str">
            <v>19-04368</v>
          </cell>
          <cell r="B4369" t="str">
            <v>TDL</v>
          </cell>
          <cell r="C4369" t="str">
            <v>A</v>
          </cell>
          <cell r="D4369" t="str">
            <v>NO</v>
          </cell>
          <cell r="E4369" t="str">
            <v>21810 BURT'S BEES VANILLA BEAN LIP BALM TUBE 72X4.25G</v>
          </cell>
          <cell r="F4369" t="str">
            <v>LIP BALM</v>
          </cell>
          <cell r="G4369" t="str">
            <v>79285-02671</v>
          </cell>
          <cell r="H4369" t="str">
            <v>BURT'S BEES</v>
          </cell>
          <cell r="I4369">
            <v>152.05000000000001</v>
          </cell>
        </row>
        <row r="4370">
          <cell r="A4370" t="str">
            <v>19-04369</v>
          </cell>
          <cell r="B4370" t="str">
            <v>TDL</v>
          </cell>
          <cell r="C4370" t="str">
            <v>A</v>
          </cell>
          <cell r="D4370" t="str">
            <v>NO</v>
          </cell>
          <cell r="E4370" t="str">
            <v>21811 BURT'S BEES WILD CHERRY LIP BALM TUBE 72X4.25G</v>
          </cell>
          <cell r="F4370" t="str">
            <v>LIP BALM</v>
          </cell>
          <cell r="G4370" t="str">
            <v>79285-02673</v>
          </cell>
          <cell r="H4370" t="str">
            <v>BURT'S BEES</v>
          </cell>
          <cell r="I4370">
            <v>152.05000000000001</v>
          </cell>
        </row>
        <row r="4371">
          <cell r="A4371" t="str">
            <v>19-04370</v>
          </cell>
          <cell r="B4371" t="str">
            <v>TDL</v>
          </cell>
          <cell r="C4371" t="str">
            <v>A</v>
          </cell>
          <cell r="D4371" t="str">
            <v>NO</v>
          </cell>
          <cell r="E4371" t="str">
            <v>40170 BURT'S BEES ULTRA CONDITIONING LIP BALM TUBE 48X4.25G</v>
          </cell>
          <cell r="F4371" t="str">
            <v>LIP BALM</v>
          </cell>
          <cell r="G4371" t="str">
            <v>79285-01222</v>
          </cell>
          <cell r="H4371" t="str">
            <v>BURT'S BEES</v>
          </cell>
          <cell r="I4371">
            <v>185.51</v>
          </cell>
        </row>
        <row r="4372">
          <cell r="A4372" t="str">
            <v>19-04371</v>
          </cell>
          <cell r="B4372" t="str">
            <v>TDL</v>
          </cell>
          <cell r="C4372" t="str">
            <v>A</v>
          </cell>
          <cell r="D4372" t="str">
            <v>NO</v>
          </cell>
          <cell r="E4372" t="str">
            <v>22315 BURT'S BEES RADIANCE DAY CREME 84X7G</v>
          </cell>
          <cell r="F4372" t="str">
            <v>CREMA</v>
          </cell>
          <cell r="G4372" t="str">
            <v>79285-89262</v>
          </cell>
          <cell r="H4372" t="str">
            <v>BURT'S BEES</v>
          </cell>
          <cell r="I4372">
            <v>122.65</v>
          </cell>
        </row>
        <row r="4373">
          <cell r="A4373" t="str">
            <v>19-04372</v>
          </cell>
          <cell r="B4373" t="str">
            <v>TDL</v>
          </cell>
          <cell r="C4373" t="str">
            <v>A</v>
          </cell>
          <cell r="D4373" t="str">
            <v>NO</v>
          </cell>
          <cell r="E4373" t="str">
            <v>41125 BURT'S BEES RADIANCE NIGHT CREME 84X7G</v>
          </cell>
          <cell r="F4373" t="str">
            <v>CREMA</v>
          </cell>
          <cell r="G4373" t="str">
            <v>79285-03038</v>
          </cell>
          <cell r="H4373" t="str">
            <v>BURT'S BEES</v>
          </cell>
          <cell r="I4373">
            <v>122.65</v>
          </cell>
        </row>
        <row r="4374">
          <cell r="A4374" t="str">
            <v>19-04373</v>
          </cell>
          <cell r="B4374" t="str">
            <v>TDL</v>
          </cell>
          <cell r="C4374" t="str">
            <v>A</v>
          </cell>
          <cell r="D4374" t="str">
            <v>NO</v>
          </cell>
          <cell r="E4374" t="str">
            <v>23911 BURT'S BEES HAND CREME ALMOND MILK 84X7G</v>
          </cell>
          <cell r="F4374" t="str">
            <v>CREMA</v>
          </cell>
          <cell r="G4374" t="str">
            <v>70285-03040</v>
          </cell>
          <cell r="H4374" t="str">
            <v>BURT'S BEES</v>
          </cell>
          <cell r="I4374">
            <v>141.34</v>
          </cell>
        </row>
        <row r="4375">
          <cell r="A4375" t="str">
            <v>19-04374</v>
          </cell>
          <cell r="B4375" t="str">
            <v>TDL</v>
          </cell>
          <cell r="C4375" t="str">
            <v>A</v>
          </cell>
          <cell r="D4375" t="str">
            <v>NO</v>
          </cell>
          <cell r="E4375" t="str">
            <v>24025 BURT'S BEES INTENSE HYDRATION NOURISHING WATER 96X30ML</v>
          </cell>
          <cell r="F4375" t="str">
            <v>CREMA</v>
          </cell>
          <cell r="G4375" t="str">
            <v>79285-89515</v>
          </cell>
          <cell r="H4375" t="str">
            <v>BURT'S BEES</v>
          </cell>
          <cell r="I4375">
            <v>140.16999999999999</v>
          </cell>
        </row>
        <row r="4376">
          <cell r="A4376" t="str">
            <v>19-04375</v>
          </cell>
          <cell r="B4376" t="str">
            <v>TDL</v>
          </cell>
          <cell r="C4376" t="str">
            <v>A</v>
          </cell>
          <cell r="D4376" t="str">
            <v>NO</v>
          </cell>
          <cell r="E4376" t="str">
            <v>24258 BURT'S BEES BABY BEE BUTTERMILK SOAP 120X99G</v>
          </cell>
          <cell r="F4376" t="str">
            <v>JABON</v>
          </cell>
          <cell r="G4376" t="str">
            <v>79285-70999</v>
          </cell>
          <cell r="H4376" t="str">
            <v>BURT'S BEES</v>
          </cell>
          <cell r="I4376">
            <v>367.13</v>
          </cell>
        </row>
        <row r="4377">
          <cell r="A4377" t="str">
            <v>19-04376</v>
          </cell>
          <cell r="B4377" t="str">
            <v>TDL</v>
          </cell>
          <cell r="C4377" t="str">
            <v>A</v>
          </cell>
          <cell r="D4377" t="str">
            <v>NO</v>
          </cell>
          <cell r="E4377" t="str">
            <v>40979 BURT'S BEES HAND SALVE - MINI W/ UPC 144X8.5G</v>
          </cell>
          <cell r="F4377" t="str">
            <v>CREMA</v>
          </cell>
          <cell r="G4377" t="str">
            <v>79285-10499</v>
          </cell>
          <cell r="H4377" t="str">
            <v>BURT'S BEES</v>
          </cell>
          <cell r="I4377">
            <v>242.3</v>
          </cell>
        </row>
        <row r="4378">
          <cell r="A4378" t="str">
            <v>19-04377</v>
          </cell>
          <cell r="B4378" t="str">
            <v>TDL</v>
          </cell>
          <cell r="C4378" t="str">
            <v>A</v>
          </cell>
          <cell r="D4378" t="str">
            <v>NO</v>
          </cell>
          <cell r="E4378" t="str">
            <v>24426 BURT'S BEES BODY LOTION - MILK &amp; HONEY 150X25G</v>
          </cell>
          <cell r="F4378" t="str">
            <v>CREMA</v>
          </cell>
          <cell r="G4378" t="str">
            <v>79285-05600</v>
          </cell>
          <cell r="H4378" t="str">
            <v>BURT'S BEES</v>
          </cell>
          <cell r="I4378">
            <v>200.25</v>
          </cell>
        </row>
        <row r="4379">
          <cell r="A4379" t="str">
            <v>19-04378</v>
          </cell>
          <cell r="B4379" t="str">
            <v>TDL</v>
          </cell>
          <cell r="C4379" t="str">
            <v>A</v>
          </cell>
          <cell r="D4379" t="str">
            <v>NO</v>
          </cell>
          <cell r="E4379" t="str">
            <v>41112 BURT'S BEES COCONUT FOOT CREME 150X20G</v>
          </cell>
          <cell r="F4379" t="str">
            <v>CREMA</v>
          </cell>
          <cell r="G4379" t="str">
            <v>79285-03030</v>
          </cell>
          <cell r="H4379" t="str">
            <v>BURT'S BEES</v>
          </cell>
          <cell r="I4379">
            <v>200.25</v>
          </cell>
        </row>
        <row r="4380">
          <cell r="A4380" t="str">
            <v>19-04379</v>
          </cell>
          <cell r="B4380" t="str">
            <v>TDL</v>
          </cell>
          <cell r="C4380" t="str">
            <v>A</v>
          </cell>
          <cell r="D4380" t="str">
            <v>NO</v>
          </cell>
          <cell r="E4380" t="str">
            <v>23908 BURT'S BEES FACIAL CLEANSER SOAP BARK 150X20G</v>
          </cell>
          <cell r="F4380" t="str">
            <v>JABON</v>
          </cell>
          <cell r="G4380" t="str">
            <v>79285-03045</v>
          </cell>
          <cell r="H4380" t="str">
            <v>BURT'S BEES</v>
          </cell>
          <cell r="I4380">
            <v>200.25</v>
          </cell>
        </row>
        <row r="4381">
          <cell r="A4381" t="str">
            <v>19-04380</v>
          </cell>
          <cell r="B4381" t="str">
            <v>TDL</v>
          </cell>
          <cell r="C4381" t="str">
            <v>A</v>
          </cell>
          <cell r="D4381" t="str">
            <v>NO</v>
          </cell>
          <cell r="E4381" t="str">
            <v>40992 BURT'S BEES RADIANCE FACIAL CLEANSER 150X20ML</v>
          </cell>
          <cell r="F4381" t="str">
            <v>LOCION</v>
          </cell>
          <cell r="G4381" t="str">
            <v>79285-03000</v>
          </cell>
          <cell r="H4381" t="str">
            <v>BURT'S BEES</v>
          </cell>
          <cell r="I4381">
            <v>219.02</v>
          </cell>
        </row>
        <row r="4382">
          <cell r="A4382" t="str">
            <v>19-04381</v>
          </cell>
          <cell r="B4382" t="str">
            <v>TDL</v>
          </cell>
          <cell r="C4382" t="str">
            <v>A</v>
          </cell>
          <cell r="D4382" t="str">
            <v>NO</v>
          </cell>
          <cell r="E4382" t="str">
            <v>23907 BURT'S BEES BABY BEE CREAM TO POWDER 150X21.26 G</v>
          </cell>
          <cell r="F4382" t="str">
            <v>CREMA</v>
          </cell>
          <cell r="G4382" t="str">
            <v>70285-08949</v>
          </cell>
          <cell r="H4382" t="str">
            <v>BURT'S BEES</v>
          </cell>
          <cell r="I4382">
            <v>0</v>
          </cell>
        </row>
        <row r="4383">
          <cell r="A4383" t="str">
            <v>19-04382</v>
          </cell>
          <cell r="B4383" t="str">
            <v>SEVA GROUP</v>
          </cell>
          <cell r="C4383" t="str">
            <v>A</v>
          </cell>
          <cell r="D4383" t="str">
            <v>NO</v>
          </cell>
          <cell r="E4383" t="str">
            <v>CARRY ALONG: MINIONS</v>
          </cell>
          <cell r="F4383" t="str">
            <v>LIBRO</v>
          </cell>
          <cell r="G4383" t="str">
            <v>TOY-721001-CAT</v>
          </cell>
          <cell r="H4383" t="str">
            <v>SEVA</v>
          </cell>
          <cell r="I4383">
            <v>4.7</v>
          </cell>
        </row>
        <row r="4384">
          <cell r="A4384" t="str">
            <v>19-04383</v>
          </cell>
          <cell r="B4384" t="str">
            <v>SEVA GROUP</v>
          </cell>
          <cell r="C4384" t="str">
            <v>A</v>
          </cell>
          <cell r="D4384" t="str">
            <v>NO</v>
          </cell>
          <cell r="E4384" t="str">
            <v>CARRY ALONG: PAW PATROL</v>
          </cell>
          <cell r="F4384" t="str">
            <v>LIBRO</v>
          </cell>
          <cell r="G4384" t="str">
            <v>TOY-363232-CAT</v>
          </cell>
          <cell r="H4384" t="str">
            <v>SEVA</v>
          </cell>
          <cell r="I4384">
            <v>4.7</v>
          </cell>
        </row>
        <row r="4385">
          <cell r="A4385" t="str">
            <v>19-04384</v>
          </cell>
          <cell r="B4385" t="str">
            <v>SEVA GROUP</v>
          </cell>
          <cell r="C4385" t="str">
            <v>D</v>
          </cell>
          <cell r="D4385" t="str">
            <v>N/A</v>
          </cell>
          <cell r="E4385" t="str">
            <v>CARRY ALONG: LISA FRANK DISCONTINUED</v>
          </cell>
          <cell r="F4385" t="str">
            <v>LIBRO</v>
          </cell>
          <cell r="G4385" t="str">
            <v>TOY-270066-CAT</v>
          </cell>
          <cell r="H4385" t="str">
            <v>SEVA</v>
          </cell>
          <cell r="I4385">
            <v>4.7</v>
          </cell>
        </row>
        <row r="4386">
          <cell r="A4386" t="str">
            <v>19-04385</v>
          </cell>
          <cell r="B4386" t="str">
            <v>SEVA GROUP</v>
          </cell>
          <cell r="C4386" t="str">
            <v>A</v>
          </cell>
          <cell r="D4386" t="str">
            <v>NO</v>
          </cell>
          <cell r="E4386" t="str">
            <v>CARRY ALONG: DOC MCSTUFFINS</v>
          </cell>
          <cell r="F4386" t="str">
            <v>LIBRO</v>
          </cell>
          <cell r="G4386" t="str">
            <v>TOY-260456-CAT</v>
          </cell>
          <cell r="H4386" t="str">
            <v>SEVA</v>
          </cell>
          <cell r="I4386">
            <v>4.7</v>
          </cell>
        </row>
        <row r="4387">
          <cell r="A4387" t="str">
            <v>19-04386</v>
          </cell>
          <cell r="B4387" t="str">
            <v>SEVA GROUP</v>
          </cell>
          <cell r="C4387" t="str">
            <v>D</v>
          </cell>
          <cell r="D4387" t="str">
            <v>N/A</v>
          </cell>
          <cell r="E4387" t="str">
            <v>GRAB-N-GO W/ CRAYONS: CARS DISCONTINUED</v>
          </cell>
          <cell r="F4387" t="str">
            <v>LIBRO</v>
          </cell>
          <cell r="G4387" t="str">
            <v>TOY-340057-CAT</v>
          </cell>
          <cell r="H4387" t="str">
            <v>SEVA</v>
          </cell>
          <cell r="I4387">
            <v>5.3</v>
          </cell>
        </row>
        <row r="4388">
          <cell r="A4388" t="str">
            <v>19-04387</v>
          </cell>
          <cell r="B4388" t="str">
            <v>SEVA GROUP</v>
          </cell>
          <cell r="C4388" t="str">
            <v>D</v>
          </cell>
          <cell r="D4388" t="str">
            <v>N/A</v>
          </cell>
          <cell r="E4388" t="str">
            <v>GRAB-N-GO W/ MARKERS: PRINCESS DISCONTINUED</v>
          </cell>
          <cell r="F4388" t="str">
            <v>LIBRO</v>
          </cell>
          <cell r="G4388" t="str">
            <v>TOY-340033-CAT</v>
          </cell>
          <cell r="H4388" t="str">
            <v>SEVA</v>
          </cell>
          <cell r="I4388">
            <v>5.3</v>
          </cell>
        </row>
        <row r="4389">
          <cell r="A4389" t="str">
            <v>19-04388</v>
          </cell>
          <cell r="B4389" t="str">
            <v>SEVA GROUP</v>
          </cell>
          <cell r="C4389" t="str">
            <v>A</v>
          </cell>
          <cell r="D4389" t="str">
            <v>NO</v>
          </cell>
          <cell r="E4389" t="str">
            <v>MAGIC INK COLOR CHANGE: INSIDE OUT</v>
          </cell>
          <cell r="F4389" t="str">
            <v>LIBRO</v>
          </cell>
          <cell r="G4389" t="str">
            <v>TOY-907429-CAT</v>
          </cell>
          <cell r="H4389" t="str">
            <v>SEVA</v>
          </cell>
          <cell r="I4389">
            <v>3.55</v>
          </cell>
        </row>
        <row r="4390">
          <cell r="A4390" t="str">
            <v>19-04389</v>
          </cell>
          <cell r="B4390" t="str">
            <v>SEVA GROUP</v>
          </cell>
          <cell r="C4390" t="str">
            <v>D</v>
          </cell>
          <cell r="D4390" t="str">
            <v>N/A</v>
          </cell>
          <cell r="E4390" t="str">
            <v>MAGIC INK COLOR CHANGE - DESPICABLE ME DISCONTINUED</v>
          </cell>
          <cell r="F4390" t="str">
            <v>LIBRO</v>
          </cell>
          <cell r="G4390" t="str">
            <v>TOY-315163-CAT</v>
          </cell>
          <cell r="H4390" t="str">
            <v>SEVA</v>
          </cell>
          <cell r="I4390">
            <v>3.55</v>
          </cell>
        </row>
        <row r="4391">
          <cell r="A4391" t="str">
            <v>19-04390</v>
          </cell>
          <cell r="B4391" t="str">
            <v>SEVA GROUP</v>
          </cell>
          <cell r="C4391" t="str">
            <v>A</v>
          </cell>
          <cell r="D4391" t="str">
            <v>NO</v>
          </cell>
          <cell r="E4391" t="str">
            <v>MAGIC INK COLOR CHANGE - FINDING DORY</v>
          </cell>
          <cell r="F4391" t="str">
            <v>LIBRO</v>
          </cell>
          <cell r="G4391" t="str">
            <v>TOY-445648-CAT</v>
          </cell>
          <cell r="H4391" t="str">
            <v>SEVA</v>
          </cell>
          <cell r="I4391">
            <v>3.55</v>
          </cell>
        </row>
        <row r="4392">
          <cell r="A4392" t="str">
            <v>19-04391</v>
          </cell>
          <cell r="B4392" t="str">
            <v>SEVA GROUP</v>
          </cell>
          <cell r="C4392" t="str">
            <v>P</v>
          </cell>
          <cell r="D4392" t="str">
            <v>N/A</v>
          </cell>
          <cell r="E4392" t="str">
            <v>IMAGINE INK MESS FREE GAMES: DORA</v>
          </cell>
          <cell r="F4392" t="str">
            <v>LIBRO</v>
          </cell>
          <cell r="G4392" t="str">
            <v>TOY-260098-CAT</v>
          </cell>
          <cell r="H4392" t="str">
            <v>SEVA</v>
          </cell>
          <cell r="I4392">
            <v>3.55</v>
          </cell>
        </row>
        <row r="4393">
          <cell r="A4393" t="str">
            <v>19-04392</v>
          </cell>
          <cell r="B4393" t="str">
            <v>SEVA GROUP</v>
          </cell>
          <cell r="C4393" t="str">
            <v>P</v>
          </cell>
          <cell r="D4393" t="str">
            <v>N/A</v>
          </cell>
          <cell r="E4393" t="str">
            <v>IMAGINE INK MESS FREE GAMES: DOC</v>
          </cell>
          <cell r="F4393" t="str">
            <v>LIBRO</v>
          </cell>
          <cell r="G4393" t="str">
            <v>TOY-260630-CAT</v>
          </cell>
          <cell r="H4393" t="str">
            <v>SEVA</v>
          </cell>
          <cell r="I4393">
            <v>3.55</v>
          </cell>
        </row>
        <row r="4394">
          <cell r="A4394" t="str">
            <v>19-04393</v>
          </cell>
          <cell r="B4394" t="str">
            <v>SEVA GROUP</v>
          </cell>
          <cell r="C4394" t="str">
            <v>A</v>
          </cell>
          <cell r="D4394" t="str">
            <v>NO</v>
          </cell>
          <cell r="E4394" t="str">
            <v>FUN ON THE GO: MINIONS</v>
          </cell>
          <cell r="F4394" t="str">
            <v>LIBRO</v>
          </cell>
          <cell r="G4394" t="str">
            <v>TOY-821200-CAT</v>
          </cell>
          <cell r="H4394" t="str">
            <v>SEVA</v>
          </cell>
          <cell r="I4394">
            <v>2.8</v>
          </cell>
        </row>
        <row r="4395">
          <cell r="A4395" t="str">
            <v>19-04394</v>
          </cell>
          <cell r="B4395" t="str">
            <v>SEVA GROUP</v>
          </cell>
          <cell r="C4395" t="str">
            <v>A</v>
          </cell>
          <cell r="D4395" t="str">
            <v>NO</v>
          </cell>
          <cell r="E4395" t="str">
            <v>FUN ON THE GO: STAR WARS - FORCE</v>
          </cell>
          <cell r="F4395" t="str">
            <v>LIBRO</v>
          </cell>
          <cell r="G4395" t="str">
            <v>TOY-605107-CAT</v>
          </cell>
          <cell r="H4395" t="str">
            <v>SEVA</v>
          </cell>
          <cell r="I4395">
            <v>2.8</v>
          </cell>
        </row>
        <row r="4396">
          <cell r="A4396" t="str">
            <v>19-04395</v>
          </cell>
          <cell r="B4396" t="str">
            <v>SEVA GROUP</v>
          </cell>
          <cell r="C4396" t="str">
            <v>A</v>
          </cell>
          <cell r="D4396" t="str">
            <v>NO</v>
          </cell>
          <cell r="E4396" t="str">
            <v>INVISIBLE INK: MINNIE</v>
          </cell>
          <cell r="F4396" t="str">
            <v>LIBRO</v>
          </cell>
          <cell r="G4396" t="str">
            <v>TOY-009405-CAT</v>
          </cell>
          <cell r="H4396" t="str">
            <v>SEVA</v>
          </cell>
          <cell r="I4396">
            <v>2.95</v>
          </cell>
        </row>
        <row r="4397">
          <cell r="A4397" t="str">
            <v>19-04396</v>
          </cell>
          <cell r="B4397" t="str">
            <v>SEVA GROUP</v>
          </cell>
          <cell r="C4397" t="str">
            <v>A</v>
          </cell>
          <cell r="D4397" t="str">
            <v>NO</v>
          </cell>
          <cell r="E4397" t="str">
            <v>INVISIBLE INK: MICKEY</v>
          </cell>
          <cell r="F4397" t="str">
            <v>LIBRO</v>
          </cell>
          <cell r="G4397" t="str">
            <v>TOY-009429-CAT</v>
          </cell>
          <cell r="H4397" t="str">
            <v>SEVA</v>
          </cell>
          <cell r="I4397">
            <v>2.95</v>
          </cell>
        </row>
        <row r="4398">
          <cell r="A4398" t="str">
            <v>19-04397</v>
          </cell>
          <cell r="B4398" t="str">
            <v>SEVA GROUP</v>
          </cell>
          <cell r="C4398" t="str">
            <v>A</v>
          </cell>
          <cell r="D4398" t="str">
            <v>NO</v>
          </cell>
          <cell r="E4398" t="str">
            <v>INVISIBLE INK: LALA LOOPSY</v>
          </cell>
          <cell r="F4398" t="str">
            <v>LIBRO</v>
          </cell>
          <cell r="G4398" t="str">
            <v>TOY-032205-CAT</v>
          </cell>
          <cell r="H4398" t="str">
            <v>SEVA</v>
          </cell>
          <cell r="I4398">
            <v>2.95</v>
          </cell>
        </row>
        <row r="4399">
          <cell r="A4399" t="str">
            <v>19-04398</v>
          </cell>
          <cell r="B4399" t="str">
            <v>SEVA GROUP</v>
          </cell>
          <cell r="C4399" t="str">
            <v>A</v>
          </cell>
          <cell r="D4399" t="str">
            <v>NO</v>
          </cell>
          <cell r="E4399" t="str">
            <v>INVISIBLE INK: MARVEL SUPERHEROS</v>
          </cell>
          <cell r="F4399" t="str">
            <v>LIBRO</v>
          </cell>
          <cell r="G4399" t="str">
            <v>TOY-455026-CAT</v>
          </cell>
          <cell r="H4399" t="str">
            <v>SEVA</v>
          </cell>
          <cell r="I4399">
            <v>2.95</v>
          </cell>
        </row>
        <row r="4400">
          <cell r="A4400" t="str">
            <v>19-04399</v>
          </cell>
          <cell r="B4400" t="str">
            <v>SEVA GROUP</v>
          </cell>
          <cell r="C4400" t="str">
            <v>A</v>
          </cell>
          <cell r="D4400" t="str">
            <v>NO</v>
          </cell>
          <cell r="E4400" t="str">
            <v>INVISIBLE INK: FROZEN - CHILLY FUN</v>
          </cell>
          <cell r="F4400" t="str">
            <v>LIBRO</v>
          </cell>
          <cell r="G4400" t="str">
            <v>TOY-002215-CAT</v>
          </cell>
          <cell r="H4400" t="str">
            <v>SEVA</v>
          </cell>
          <cell r="I4400">
            <v>2.95</v>
          </cell>
        </row>
        <row r="4401">
          <cell r="A4401" t="str">
            <v>19-04400</v>
          </cell>
          <cell r="B4401" t="str">
            <v>SEVA GROUP</v>
          </cell>
          <cell r="C4401" t="str">
            <v>A</v>
          </cell>
          <cell r="D4401" t="str">
            <v>NO</v>
          </cell>
          <cell r="E4401" t="str">
            <v>INVISIBLE INK: PRINCESS</v>
          </cell>
          <cell r="F4401" t="str">
            <v>LIBRO</v>
          </cell>
          <cell r="G4401" t="str">
            <v>TOY-917978-CAT</v>
          </cell>
          <cell r="H4401" t="str">
            <v>SEVA</v>
          </cell>
          <cell r="I4401">
            <v>2.95</v>
          </cell>
        </row>
        <row r="4402">
          <cell r="A4402" t="str">
            <v>19-04401</v>
          </cell>
          <cell r="B4402" t="str">
            <v>SEVA GROUP</v>
          </cell>
          <cell r="C4402" t="str">
            <v>A</v>
          </cell>
          <cell r="D4402" t="str">
            <v>NO</v>
          </cell>
          <cell r="E4402" t="str">
            <v>INVISIBLE INK: NEMO</v>
          </cell>
          <cell r="F4402" t="str">
            <v>LIBRO</v>
          </cell>
          <cell r="G4402" t="str">
            <v>TOY-917985-CAT</v>
          </cell>
          <cell r="H4402" t="str">
            <v>SEVA</v>
          </cell>
          <cell r="I4402">
            <v>2.95</v>
          </cell>
        </row>
        <row r="4403">
          <cell r="A4403" t="str">
            <v>19-04402</v>
          </cell>
          <cell r="B4403" t="str">
            <v>SEVA GROUP</v>
          </cell>
          <cell r="C4403" t="str">
            <v>A</v>
          </cell>
          <cell r="D4403" t="str">
            <v>NO</v>
          </cell>
          <cell r="E4403" t="str">
            <v>INVISIBLE INK LICENSED ACTIVITY BOOKS - FINDING DORY</v>
          </cell>
          <cell r="F4403" t="str">
            <v>LIBRO</v>
          </cell>
          <cell r="G4403" t="str">
            <v>TOY-016007-CAT</v>
          </cell>
          <cell r="H4403" t="str">
            <v>SEVA</v>
          </cell>
          <cell r="I4403">
            <v>2.95</v>
          </cell>
        </row>
        <row r="4404">
          <cell r="A4404" t="str">
            <v>19-04403</v>
          </cell>
          <cell r="B4404" t="str">
            <v>SEVA GROUP</v>
          </cell>
          <cell r="C4404" t="str">
            <v>A</v>
          </cell>
          <cell r="D4404" t="str">
            <v>NO</v>
          </cell>
          <cell r="E4404" t="str">
            <v>MAGNETIC PAPERDOLL FUN TINS: LALA LOOPSY</v>
          </cell>
          <cell r="F4404" t="str">
            <v>LIBRO</v>
          </cell>
          <cell r="G4404" t="str">
            <v>TOY-031017-CAT</v>
          </cell>
          <cell r="H4404" t="str">
            <v>SEVA</v>
          </cell>
          <cell r="I4404">
            <v>5.3</v>
          </cell>
        </row>
        <row r="4405">
          <cell r="A4405" t="str">
            <v>19-04404</v>
          </cell>
          <cell r="B4405" t="str">
            <v>BOING GLOBAL</v>
          </cell>
          <cell r="C4405" t="str">
            <v>A</v>
          </cell>
          <cell r="D4405" t="str">
            <v>NO</v>
          </cell>
          <cell r="E4405" t="str">
            <v>TY BEANIE BOOS ROCCO - MAPACHE GRIS CLIP</v>
          </cell>
          <cell r="F4405" t="str">
            <v>PELUCHE</v>
          </cell>
          <cell r="G4405">
            <v>33007</v>
          </cell>
          <cell r="H4405" t="str">
            <v>TY</v>
          </cell>
          <cell r="I4405">
            <v>1.67</v>
          </cell>
        </row>
        <row r="4406">
          <cell r="A4406" t="str">
            <v>19-04405</v>
          </cell>
          <cell r="B4406" t="str">
            <v>BOING GLOBAL</v>
          </cell>
          <cell r="C4406" t="str">
            <v>A</v>
          </cell>
          <cell r="D4406" t="str">
            <v>NO</v>
          </cell>
          <cell r="E4406" t="str">
            <v>TY BEANIE BOOS COCONUT - MONO CLIP</v>
          </cell>
          <cell r="F4406" t="str">
            <v>PELUCHE</v>
          </cell>
          <cell r="G4406">
            <v>36501</v>
          </cell>
          <cell r="H4406" t="str">
            <v>TY</v>
          </cell>
          <cell r="I4406">
            <v>1.67</v>
          </cell>
        </row>
        <row r="4407">
          <cell r="A4407" t="str">
            <v>19-04406</v>
          </cell>
          <cell r="B4407" t="str">
            <v>BOING GLOBAL</v>
          </cell>
          <cell r="C4407" t="str">
            <v>A</v>
          </cell>
          <cell r="D4407" t="str">
            <v>NO</v>
          </cell>
          <cell r="E4407" t="str">
            <v>TY BEANIE BOOS SLICK - ZORRO CAFE  CLIP</v>
          </cell>
          <cell r="F4407" t="str">
            <v>PELUCHE</v>
          </cell>
          <cell r="G4407">
            <v>36613</v>
          </cell>
          <cell r="H4407" t="str">
            <v>TY</v>
          </cell>
          <cell r="I4407">
            <v>1.67</v>
          </cell>
        </row>
        <row r="4408">
          <cell r="A4408" t="str">
            <v>19-04407</v>
          </cell>
          <cell r="B4408" t="str">
            <v>BOING GLOBAL</v>
          </cell>
          <cell r="C4408" t="str">
            <v>A</v>
          </cell>
          <cell r="D4408" t="str">
            <v>NO</v>
          </cell>
          <cell r="E4408" t="str">
            <v>TY BEANIE BOOS ROXIE - MAPACHE ROSADO/MORADO CLIP</v>
          </cell>
          <cell r="F4408" t="str">
            <v>PELUCHE</v>
          </cell>
          <cell r="G4408">
            <v>36614</v>
          </cell>
          <cell r="H4408" t="str">
            <v>TY</v>
          </cell>
          <cell r="I4408">
            <v>1.67</v>
          </cell>
        </row>
        <row r="4409">
          <cell r="A4409" t="str">
            <v>19-04408</v>
          </cell>
          <cell r="B4409" t="str">
            <v>BOING GLOBAL</v>
          </cell>
          <cell r="C4409" t="str">
            <v>A</v>
          </cell>
          <cell r="D4409" t="str">
            <v>NO</v>
          </cell>
          <cell r="E4409" t="str">
            <v>TY BEANIE BOOS SPECKS - ELEFANTE GRIS CLIP</v>
          </cell>
          <cell r="F4409" t="str">
            <v>PELUCHE</v>
          </cell>
          <cell r="G4409">
            <v>36617</v>
          </cell>
          <cell r="H4409" t="str">
            <v>TY</v>
          </cell>
          <cell r="I4409">
            <v>1.67</v>
          </cell>
        </row>
        <row r="4410">
          <cell r="A4410" t="str">
            <v>19-04409</v>
          </cell>
          <cell r="B4410" t="str">
            <v>BOING GLOBAL</v>
          </cell>
          <cell r="C4410" t="str">
            <v>A</v>
          </cell>
          <cell r="D4410" t="str">
            <v>NO</v>
          </cell>
          <cell r="E4410" t="str">
            <v>TY BEANIE BOOS SOPHIE - GATO ROSADO CLIP</v>
          </cell>
          <cell r="F4410" t="str">
            <v>PELUCHE</v>
          </cell>
          <cell r="G4410">
            <v>36634</v>
          </cell>
          <cell r="H4410" t="str">
            <v>TY</v>
          </cell>
          <cell r="I4410">
            <v>1.67</v>
          </cell>
        </row>
        <row r="4411">
          <cell r="A4411" t="str">
            <v>19-04410</v>
          </cell>
          <cell r="B4411" t="str">
            <v>BOING GLOBAL</v>
          </cell>
          <cell r="C4411" t="str">
            <v>A</v>
          </cell>
          <cell r="D4411" t="str">
            <v>NO</v>
          </cell>
          <cell r="E4411" t="str">
            <v>TY BEANIE BOOS WADDLES - PINGUINO MEDIANO</v>
          </cell>
          <cell r="F4411" t="str">
            <v>PELUCHE</v>
          </cell>
          <cell r="G4411">
            <v>36904</v>
          </cell>
          <cell r="H4411" t="str">
            <v>TY</v>
          </cell>
          <cell r="I4411">
            <v>5.53</v>
          </cell>
        </row>
        <row r="4412">
          <cell r="A4412" t="str">
            <v>19-04411</v>
          </cell>
          <cell r="B4412" t="str">
            <v>BOING GLOBAL</v>
          </cell>
          <cell r="C4412" t="str">
            <v>A</v>
          </cell>
          <cell r="D4412" t="str">
            <v>NO</v>
          </cell>
          <cell r="E4412" t="str">
            <v>TY BEANIE BOOS LINDI - GATO MEDIANO</v>
          </cell>
          <cell r="F4412" t="str">
            <v>PELUCHE</v>
          </cell>
          <cell r="G4412">
            <v>37067</v>
          </cell>
          <cell r="H4412" t="str">
            <v>TY</v>
          </cell>
          <cell r="I4412">
            <v>5.53</v>
          </cell>
        </row>
        <row r="4413">
          <cell r="A4413" t="str">
            <v>19-04412</v>
          </cell>
          <cell r="B4413" t="str">
            <v>BOING GLOBAL</v>
          </cell>
          <cell r="C4413" t="str">
            <v>A</v>
          </cell>
          <cell r="D4413" t="str">
            <v>NO</v>
          </cell>
          <cell r="E4413" t="str">
            <v>TY LA VIDA SECRETA DE LAS MASCOTAS MEL - PERRO REGULAR PELUCHE</v>
          </cell>
          <cell r="F4413" t="str">
            <v>PELUCHE</v>
          </cell>
          <cell r="G4413">
            <v>41164</v>
          </cell>
          <cell r="H4413" t="str">
            <v>TY</v>
          </cell>
          <cell r="I4413">
            <v>2.74</v>
          </cell>
        </row>
        <row r="4414">
          <cell r="A4414" t="str">
            <v>19-04413</v>
          </cell>
          <cell r="B4414" t="str">
            <v>BOING GLOBAL</v>
          </cell>
          <cell r="C4414" t="str">
            <v>A</v>
          </cell>
          <cell r="D4414" t="str">
            <v>NO</v>
          </cell>
          <cell r="E4414" t="str">
            <v>TY LA VIDA SECRETA DE LAS MASCOTAS MAX - PERRO REGULAR PELUCHE</v>
          </cell>
          <cell r="F4414" t="str">
            <v>PELUCHE</v>
          </cell>
          <cell r="G4414">
            <v>41165</v>
          </cell>
          <cell r="H4414" t="str">
            <v>TY</v>
          </cell>
          <cell r="I4414">
            <v>2.74</v>
          </cell>
        </row>
        <row r="4415">
          <cell r="A4415" t="str">
            <v>19-04414</v>
          </cell>
          <cell r="B4415" t="str">
            <v>BOING GLOBAL</v>
          </cell>
          <cell r="C4415" t="str">
            <v>A</v>
          </cell>
          <cell r="D4415" t="str">
            <v>NO</v>
          </cell>
          <cell r="E4415" t="str">
            <v>TY LA VIDA SECRETA DE LAS MASCOTAS DUKE - PERRO REGULAR PELUCHE</v>
          </cell>
          <cell r="F4415" t="str">
            <v>PELUCHE</v>
          </cell>
          <cell r="G4415">
            <v>41166</v>
          </cell>
          <cell r="H4415" t="str">
            <v>TY</v>
          </cell>
          <cell r="I4415">
            <v>2.74</v>
          </cell>
        </row>
        <row r="4416">
          <cell r="A4416" t="str">
            <v>19-04415</v>
          </cell>
          <cell r="B4416" t="str">
            <v>BOING GLOBAL</v>
          </cell>
          <cell r="C4416" t="str">
            <v>A</v>
          </cell>
          <cell r="D4416" t="str">
            <v>NO</v>
          </cell>
          <cell r="E4416" t="str">
            <v>TY LA VIDA SECRETA DE LAS MASCOTAS GIDGET - PERRO REGULAR PELUCHE</v>
          </cell>
          <cell r="F4416" t="str">
            <v>PELUCHE</v>
          </cell>
          <cell r="G4416">
            <v>41167</v>
          </cell>
          <cell r="H4416" t="str">
            <v>TY</v>
          </cell>
          <cell r="I4416">
            <v>2.74</v>
          </cell>
        </row>
        <row r="4417">
          <cell r="A4417" t="str">
            <v>19-04416</v>
          </cell>
          <cell r="B4417" t="str">
            <v>BOING GLOBAL</v>
          </cell>
          <cell r="C4417" t="str">
            <v>A</v>
          </cell>
          <cell r="D4417" t="str">
            <v>NO</v>
          </cell>
          <cell r="E4417" t="str">
            <v>TY LA VIDA SECRETA DE LAS MASCOTAS SNOWBALL - CONEJO REGULAR PELUCHE</v>
          </cell>
          <cell r="F4417" t="str">
            <v>PELUCHE</v>
          </cell>
          <cell r="G4417">
            <v>41168</v>
          </cell>
          <cell r="H4417" t="str">
            <v>TY</v>
          </cell>
          <cell r="I4417">
            <v>2.74</v>
          </cell>
        </row>
        <row r="4418">
          <cell r="A4418" t="str">
            <v>19-04417</v>
          </cell>
          <cell r="B4418" t="str">
            <v>BOING GLOBAL</v>
          </cell>
          <cell r="C4418" t="str">
            <v>A</v>
          </cell>
          <cell r="D4418" t="str">
            <v>NO</v>
          </cell>
          <cell r="E4418" t="str">
            <v>TY BEANNIE BABY PEPPA PIG PELUCHE</v>
          </cell>
          <cell r="F4418" t="str">
            <v>PELUCHE</v>
          </cell>
          <cell r="G4418">
            <v>46128</v>
          </cell>
          <cell r="H4418" t="str">
            <v>TY</v>
          </cell>
          <cell r="I4418">
            <v>2.74</v>
          </cell>
        </row>
        <row r="4419">
          <cell r="A4419" t="str">
            <v>19-04418</v>
          </cell>
          <cell r="B4419" t="str">
            <v>BOING GLOBAL</v>
          </cell>
          <cell r="C4419" t="str">
            <v>A</v>
          </cell>
          <cell r="D4419" t="str">
            <v>NO</v>
          </cell>
          <cell r="E4419" t="str">
            <v>TY BEANNIE BABY PEPPA PIG PRINCESA PELUCHE</v>
          </cell>
          <cell r="F4419" t="str">
            <v>PELUCHE</v>
          </cell>
          <cell r="G4419">
            <v>46129</v>
          </cell>
          <cell r="H4419" t="str">
            <v>TY</v>
          </cell>
          <cell r="I4419">
            <v>2.74</v>
          </cell>
        </row>
        <row r="4420">
          <cell r="A4420" t="str">
            <v>19-04419</v>
          </cell>
          <cell r="B4420" t="str">
            <v>BOING GLOBAL</v>
          </cell>
          <cell r="C4420" t="str">
            <v>A</v>
          </cell>
          <cell r="D4420" t="str">
            <v>NO</v>
          </cell>
          <cell r="E4420" t="str">
            <v>TY BEANNIE BABY PEPPA PIG GEORGE CON DINOSAURIO PELUCHE</v>
          </cell>
          <cell r="F4420" t="str">
            <v>PELUCHE</v>
          </cell>
          <cell r="G4420">
            <v>46130</v>
          </cell>
          <cell r="H4420" t="str">
            <v>TY</v>
          </cell>
          <cell r="I4420">
            <v>3.58</v>
          </cell>
        </row>
        <row r="4421">
          <cell r="A4421" t="str">
            <v>19-04420</v>
          </cell>
          <cell r="B4421" t="str">
            <v>BOING GLOBAL</v>
          </cell>
          <cell r="C4421" t="str">
            <v>A</v>
          </cell>
          <cell r="D4421" t="str">
            <v>NO</v>
          </cell>
          <cell r="E4421" t="str">
            <v>TY PEPPA PIG PELUCHE - CLIP</v>
          </cell>
          <cell r="F4421" t="str">
            <v>PELUCHE</v>
          </cell>
          <cell r="G4421">
            <v>46131</v>
          </cell>
          <cell r="H4421" t="str">
            <v>TY</v>
          </cell>
          <cell r="I4421">
            <v>1.85</v>
          </cell>
        </row>
        <row r="4422">
          <cell r="A4422" t="str">
            <v>19-04421</v>
          </cell>
          <cell r="B4422" t="str">
            <v>BOING GLOBAL</v>
          </cell>
          <cell r="C4422" t="str">
            <v>A</v>
          </cell>
          <cell r="D4422" t="str">
            <v>NO</v>
          </cell>
          <cell r="E4422" t="str">
            <v>TY BEANNIE BABY PEPPA PIG - BAILARINA PELUCHE</v>
          </cell>
          <cell r="F4422" t="str">
            <v>PELUCHE</v>
          </cell>
          <cell r="G4422">
            <v>46151</v>
          </cell>
          <cell r="H4422" t="str">
            <v>TY</v>
          </cell>
          <cell r="I4422">
            <v>2.74</v>
          </cell>
        </row>
        <row r="4423">
          <cell r="A4423" t="str">
            <v>19-04422</v>
          </cell>
          <cell r="B4423" t="str">
            <v>BOING GLOBAL</v>
          </cell>
          <cell r="C4423" t="str">
            <v>A</v>
          </cell>
          <cell r="D4423" t="str">
            <v>NO</v>
          </cell>
          <cell r="E4423" t="str">
            <v>TY BEANNIE BABY PEPPA PIG - GEORGE PIRATA</v>
          </cell>
          <cell r="F4423" t="str">
            <v>PELUCHE</v>
          </cell>
          <cell r="G4423">
            <v>46152</v>
          </cell>
          <cell r="H4423" t="str">
            <v>TY</v>
          </cell>
          <cell r="I4423">
            <v>3.58</v>
          </cell>
        </row>
        <row r="4424">
          <cell r="A4424" t="str">
            <v>19-04423</v>
          </cell>
          <cell r="B4424" t="str">
            <v>BOING GLOBAL</v>
          </cell>
          <cell r="C4424" t="str">
            <v>A</v>
          </cell>
          <cell r="D4424" t="str">
            <v>NO</v>
          </cell>
          <cell r="E4424" t="str">
            <v>TY BEANNIE BABY PEPPA PIG - GEORGE SUPER HEROE</v>
          </cell>
          <cell r="F4424" t="str">
            <v>PELUCHE</v>
          </cell>
          <cell r="G4424">
            <v>46188</v>
          </cell>
          <cell r="H4424" t="str">
            <v>TY</v>
          </cell>
          <cell r="I4424">
            <v>2.74</v>
          </cell>
        </row>
        <row r="4425">
          <cell r="A4425" t="str">
            <v>19-04424</v>
          </cell>
          <cell r="B4425" t="str">
            <v>BOING GLOBAL</v>
          </cell>
          <cell r="C4425" t="str">
            <v>A</v>
          </cell>
          <cell r="D4425" t="str">
            <v>NO</v>
          </cell>
          <cell r="E4425" t="str">
            <v>TY BEANNIE BABY PEPPA PIG - PEPPA INVIERNO</v>
          </cell>
          <cell r="F4425" t="str">
            <v>PELUCHE</v>
          </cell>
          <cell r="G4425">
            <v>46206</v>
          </cell>
          <cell r="H4425" t="str">
            <v>TY</v>
          </cell>
          <cell r="I4425">
            <v>2.74</v>
          </cell>
        </row>
        <row r="4426">
          <cell r="A4426" t="str">
            <v>19-04425</v>
          </cell>
          <cell r="B4426" t="str">
            <v>BOING GLOBAL</v>
          </cell>
          <cell r="C4426" t="str">
            <v>A</v>
          </cell>
          <cell r="D4426" t="str">
            <v>NO</v>
          </cell>
          <cell r="E4426" t="str">
            <v>TY BEANNIE BABY PEPPA PIG - PEPPA  EN EL CHARCO</v>
          </cell>
          <cell r="F4426" t="str">
            <v>PELUCHE</v>
          </cell>
          <cell r="G4426">
            <v>46208</v>
          </cell>
          <cell r="H4426" t="str">
            <v>TY</v>
          </cell>
          <cell r="I4426">
            <v>2.74</v>
          </cell>
        </row>
        <row r="4427">
          <cell r="A4427" t="str">
            <v>19-04426</v>
          </cell>
          <cell r="B4427" t="str">
            <v>BOING GLOBAL</v>
          </cell>
          <cell r="C4427" t="str">
            <v>A</v>
          </cell>
          <cell r="D4427" t="str">
            <v>NO</v>
          </cell>
          <cell r="E4427" t="str">
            <v>TY BEANNIE BABY PEPPA PIC - GEORGE MEDIUM</v>
          </cell>
          <cell r="F4427" t="str">
            <v>PELUCHE</v>
          </cell>
          <cell r="G4427">
            <v>96231</v>
          </cell>
          <cell r="H4427" t="str">
            <v>TY</v>
          </cell>
          <cell r="I4427">
            <v>5.53</v>
          </cell>
        </row>
        <row r="4428">
          <cell r="A4428" t="str">
            <v>19-04427</v>
          </cell>
          <cell r="B4428" t="str">
            <v>BOING GLOBAL</v>
          </cell>
          <cell r="C4428" t="str">
            <v>A</v>
          </cell>
          <cell r="D4428" t="str">
            <v>NO</v>
          </cell>
          <cell r="E4428" t="str">
            <v>TY PEPPA PIG PRINCESA MEDIANO PELUCHE</v>
          </cell>
          <cell r="F4428" t="str">
            <v>PELUCHE</v>
          </cell>
          <cell r="G4428">
            <v>96234</v>
          </cell>
          <cell r="H4428" t="str">
            <v>TY</v>
          </cell>
          <cell r="I4428">
            <v>5.53</v>
          </cell>
        </row>
        <row r="4429">
          <cell r="A4429" t="str">
            <v>19-04428</v>
          </cell>
          <cell r="B4429" t="str">
            <v>BOING GLOBAL</v>
          </cell>
          <cell r="C4429" t="str">
            <v>A</v>
          </cell>
          <cell r="D4429" t="str">
            <v>NO</v>
          </cell>
          <cell r="E4429" t="str">
            <v>TY PEPPA PIG BAILARINA MEDIANO PELUCHE</v>
          </cell>
          <cell r="F4429" t="str">
            <v>PELUCHE</v>
          </cell>
          <cell r="G4429">
            <v>96260</v>
          </cell>
          <cell r="H4429" t="str">
            <v>TY</v>
          </cell>
          <cell r="I4429">
            <v>5.53</v>
          </cell>
        </row>
        <row r="4430">
          <cell r="A4430" t="str">
            <v>19-04429</v>
          </cell>
          <cell r="B4430" t="str">
            <v>BOING GLOBAL</v>
          </cell>
          <cell r="C4430" t="str">
            <v>A</v>
          </cell>
          <cell r="D4430" t="str">
            <v>NO</v>
          </cell>
          <cell r="E4430" t="str">
            <v>TY BEANIE BABY PEPPA PIG  - GEORGE SUPER HEROE MEDIUM</v>
          </cell>
          <cell r="F4430" t="str">
            <v>PELUCHE</v>
          </cell>
          <cell r="G4430">
            <v>96282</v>
          </cell>
          <cell r="H4430" t="str">
            <v>TY</v>
          </cell>
          <cell r="I4430">
            <v>5.53</v>
          </cell>
        </row>
        <row r="4431">
          <cell r="A4431" t="str">
            <v>19-04430</v>
          </cell>
          <cell r="B4431" t="str">
            <v>BOING GLOBAL</v>
          </cell>
          <cell r="C4431" t="str">
            <v>A</v>
          </cell>
          <cell r="D4431" t="str">
            <v>NO</v>
          </cell>
          <cell r="E4431" t="str">
            <v>TY LA VIDA SECRETA DE LAS MASCOTAS MEL - PERRO MEDIANO PELUCHE</v>
          </cell>
          <cell r="F4431" t="str">
            <v>PELUCHE</v>
          </cell>
          <cell r="G4431">
            <v>96293</v>
          </cell>
          <cell r="H4431" t="str">
            <v>TY</v>
          </cell>
          <cell r="I4431">
            <v>5.53</v>
          </cell>
        </row>
        <row r="4432">
          <cell r="A4432" t="str">
            <v>19-04431</v>
          </cell>
          <cell r="B4432" t="str">
            <v>BOING GLOBAL</v>
          </cell>
          <cell r="C4432" t="str">
            <v>A</v>
          </cell>
          <cell r="D4432" t="str">
            <v>NO</v>
          </cell>
          <cell r="E4432" t="str">
            <v>TY LA VIDA SECRETA DE LAS MASCOTAS MAX - PERRO MEDIANO PELUCHE</v>
          </cell>
          <cell r="F4432" t="str">
            <v>PELUCHE</v>
          </cell>
          <cell r="G4432">
            <v>96294</v>
          </cell>
          <cell r="H4432" t="str">
            <v>TY</v>
          </cell>
          <cell r="I4432">
            <v>5.53</v>
          </cell>
        </row>
        <row r="4433">
          <cell r="A4433" t="str">
            <v>19-04432</v>
          </cell>
          <cell r="B4433" t="str">
            <v>BOING GLOBAL</v>
          </cell>
          <cell r="C4433" t="str">
            <v>A</v>
          </cell>
          <cell r="D4433" t="str">
            <v>NO</v>
          </cell>
          <cell r="E4433" t="str">
            <v>TY LA VIDA SECRETA DE LAS MASCOTAS DUKE - PERRO MEDIANO PELUCHE</v>
          </cell>
          <cell r="F4433" t="str">
            <v>PELUCHE</v>
          </cell>
          <cell r="G4433">
            <v>96296</v>
          </cell>
          <cell r="H4433" t="str">
            <v>TY</v>
          </cell>
          <cell r="I4433">
            <v>5.53</v>
          </cell>
        </row>
        <row r="4434">
          <cell r="A4434" t="str">
            <v>19-04433</v>
          </cell>
          <cell r="B4434" t="str">
            <v>BOING GLOBAL</v>
          </cell>
          <cell r="C4434" t="str">
            <v>A</v>
          </cell>
          <cell r="D4434" t="str">
            <v>NO</v>
          </cell>
          <cell r="E4434" t="str">
            <v>TY LA VIDA SECRETA DE LAS MASCOTAS BUDDY - PERRO MEDIANO PELUCHE</v>
          </cell>
          <cell r="F4434" t="str">
            <v>PELUCHE</v>
          </cell>
          <cell r="G4434">
            <v>96297</v>
          </cell>
          <cell r="H4434" t="str">
            <v>TY</v>
          </cell>
          <cell r="I4434">
            <v>5.53</v>
          </cell>
        </row>
        <row r="4435">
          <cell r="A4435" t="str">
            <v>19-04434</v>
          </cell>
          <cell r="B4435" t="str">
            <v>BOING GLOBAL</v>
          </cell>
          <cell r="C4435" t="str">
            <v>A</v>
          </cell>
          <cell r="D4435" t="str">
            <v>NO</v>
          </cell>
          <cell r="E4435" t="str">
            <v>TY BEANIE BOOS PERRO DALMATA</v>
          </cell>
          <cell r="F4435" t="str">
            <v>PELUCHE</v>
          </cell>
          <cell r="G4435">
            <v>36042</v>
          </cell>
          <cell r="H4435" t="str">
            <v>TY</v>
          </cell>
          <cell r="I4435">
            <v>2.74</v>
          </cell>
        </row>
        <row r="4436">
          <cell r="A4436" t="str">
            <v>19-04435</v>
          </cell>
          <cell r="B4436" t="str">
            <v>BOING GLOBAL</v>
          </cell>
          <cell r="C4436" t="str">
            <v>A</v>
          </cell>
          <cell r="D4436" t="str">
            <v>NO</v>
          </cell>
          <cell r="E4436" t="str">
            <v>TY BEANIE BOOS DUKE - BROWN WHITE DOG REGULAR</v>
          </cell>
          <cell r="F4436" t="str">
            <v>PELUCHE</v>
          </cell>
          <cell r="G4436">
            <v>36125</v>
          </cell>
          <cell r="H4436" t="str">
            <v>TY</v>
          </cell>
          <cell r="I4436">
            <v>2.74</v>
          </cell>
        </row>
        <row r="4437">
          <cell r="A4437" t="str">
            <v>19-04436</v>
          </cell>
          <cell r="B4437" t="str">
            <v>BOING GLOBAL</v>
          </cell>
          <cell r="C4437" t="str">
            <v>A</v>
          </cell>
          <cell r="D4437" t="str">
            <v>NO</v>
          </cell>
          <cell r="E4437" t="str">
            <v>TY BEANIE BOOS ROXIE - MAPACHE ROSADO/LILA REGULAR</v>
          </cell>
          <cell r="F4437" t="str">
            <v>PELUCHE</v>
          </cell>
          <cell r="G4437">
            <v>36146</v>
          </cell>
          <cell r="H4437" t="str">
            <v>TY</v>
          </cell>
          <cell r="I4437">
            <v>2.74</v>
          </cell>
        </row>
        <row r="4438">
          <cell r="A4438" t="str">
            <v>19-04437</v>
          </cell>
          <cell r="B4438" t="str">
            <v>BOING GLOBAL</v>
          </cell>
          <cell r="C4438" t="str">
            <v>A</v>
          </cell>
          <cell r="D4438" t="str">
            <v>NO</v>
          </cell>
          <cell r="E4438" t="str">
            <v>TY BEANIE BOOS  WHISKERS - PERRO SCHNAUZER REGULAR</v>
          </cell>
          <cell r="F4438" t="str">
            <v>PELUCHE</v>
          </cell>
          <cell r="G4438">
            <v>36150</v>
          </cell>
          <cell r="H4438" t="str">
            <v>TY</v>
          </cell>
          <cell r="I4438">
            <v>2.74</v>
          </cell>
        </row>
        <row r="4439">
          <cell r="A4439" t="str">
            <v>19-04438</v>
          </cell>
          <cell r="B4439" t="str">
            <v>BOING GLOBAL</v>
          </cell>
          <cell r="C4439" t="str">
            <v>A</v>
          </cell>
          <cell r="D4439" t="str">
            <v>NO</v>
          </cell>
          <cell r="E4439" t="str">
            <v>TY BEANIE BOOS FANTASIA - UNICORNIO MULTICOLOR REGULAR</v>
          </cell>
          <cell r="F4439" t="str">
            <v>PELUCHE</v>
          </cell>
          <cell r="G4439">
            <v>36158</v>
          </cell>
          <cell r="H4439" t="str">
            <v>TY</v>
          </cell>
          <cell r="I4439">
            <v>2.74</v>
          </cell>
        </row>
        <row r="4440">
          <cell r="A4440" t="str">
            <v>19-04439</v>
          </cell>
          <cell r="B4440" t="str">
            <v>BOING GLOBAL</v>
          </cell>
          <cell r="C4440" t="str">
            <v>A</v>
          </cell>
          <cell r="D4440" t="str">
            <v>NO</v>
          </cell>
          <cell r="E4440" t="str">
            <v>TY BEANIE BOOS BARLEY - PERRO CHOW CAFE REGULAR</v>
          </cell>
          <cell r="F4440" t="str">
            <v>PELUCHE</v>
          </cell>
          <cell r="G4440">
            <v>36193</v>
          </cell>
          <cell r="H4440" t="str">
            <v>TY</v>
          </cell>
          <cell r="I4440">
            <v>2.74</v>
          </cell>
        </row>
        <row r="4441">
          <cell r="A4441" t="str">
            <v>19-04440</v>
          </cell>
          <cell r="B4441" t="str">
            <v>BOING GLOBAL</v>
          </cell>
          <cell r="C4441" t="str">
            <v>A</v>
          </cell>
          <cell r="D4441" t="str">
            <v>NO</v>
          </cell>
          <cell r="E4441" t="str">
            <v>TY BEANIE BOOS GLAMOUR - LEOPARDO ROSADO MEDIANO</v>
          </cell>
          <cell r="F4441" t="str">
            <v>PELUCHE</v>
          </cell>
          <cell r="G4441">
            <v>36985</v>
          </cell>
          <cell r="H4441" t="str">
            <v>TY</v>
          </cell>
          <cell r="I4441">
            <v>0</v>
          </cell>
        </row>
        <row r="4442">
          <cell r="A4442" t="str">
            <v>19-04441</v>
          </cell>
          <cell r="B4442" t="str">
            <v>BOING GLOBAL</v>
          </cell>
          <cell r="C4442" t="str">
            <v>A</v>
          </cell>
          <cell r="D4442" t="str">
            <v>NO</v>
          </cell>
          <cell r="E4442" t="str">
            <v>TY BEANIE BOOS ROXIE - MAPACHE ROSADO/MORADO MEDIUM</v>
          </cell>
          <cell r="F4442" t="str">
            <v>PELUCHE</v>
          </cell>
          <cell r="G4442">
            <v>37043</v>
          </cell>
          <cell r="H4442" t="str">
            <v>TY</v>
          </cell>
          <cell r="I4442">
            <v>5.53</v>
          </cell>
        </row>
        <row r="4443">
          <cell r="A4443" t="str">
            <v>19-04442</v>
          </cell>
          <cell r="B4443" t="str">
            <v>BOING GLOBAL</v>
          </cell>
          <cell r="C4443" t="str">
            <v>A</v>
          </cell>
          <cell r="D4443" t="str">
            <v>NO</v>
          </cell>
          <cell r="E4443" t="str">
            <v>TY BEANIE BOOS ICE CUBE - PINGÜINO AZUL MEDIANO</v>
          </cell>
          <cell r="F4443" t="str">
            <v>PELUCHE</v>
          </cell>
          <cell r="G4443">
            <v>37044</v>
          </cell>
          <cell r="H4443" t="str">
            <v>TY</v>
          </cell>
          <cell r="I4443">
            <v>0</v>
          </cell>
        </row>
        <row r="4444">
          <cell r="A4444" t="str">
            <v>19-04443</v>
          </cell>
          <cell r="B4444" t="str">
            <v>BOING GLOBAL</v>
          </cell>
          <cell r="C4444" t="str">
            <v>A</v>
          </cell>
          <cell r="D4444" t="str">
            <v>NO</v>
          </cell>
          <cell r="E4444" t="str">
            <v>TY BEANIE BOOS PIPPIE - PERRO BLANCO REGULAR</v>
          </cell>
          <cell r="F4444" t="str">
            <v>PELUCHE</v>
          </cell>
          <cell r="G4444">
            <v>37175</v>
          </cell>
          <cell r="H4444" t="str">
            <v>TY</v>
          </cell>
          <cell r="I4444">
            <v>2.74</v>
          </cell>
        </row>
        <row r="4445">
          <cell r="A4445" t="str">
            <v>19-04444</v>
          </cell>
          <cell r="B4445" t="str">
            <v>BOING GLOBAL</v>
          </cell>
          <cell r="C4445" t="str">
            <v>A</v>
          </cell>
          <cell r="D4445" t="str">
            <v>NO</v>
          </cell>
          <cell r="E4445" t="str">
            <v>TY BEANIE BOOS TAURI - GATO REGULAR</v>
          </cell>
          <cell r="F4445" t="str">
            <v>PELUCHE</v>
          </cell>
          <cell r="G4445">
            <v>37178</v>
          </cell>
          <cell r="H4445" t="str">
            <v>TY</v>
          </cell>
          <cell r="I4445">
            <v>2.74</v>
          </cell>
        </row>
        <row r="4446">
          <cell r="A4446" t="str">
            <v>19-04445</v>
          </cell>
          <cell r="B4446" t="str">
            <v>BOING GLOBAL</v>
          </cell>
          <cell r="C4446" t="str">
            <v>A</v>
          </cell>
          <cell r="D4446" t="str">
            <v>NO</v>
          </cell>
          <cell r="E4446" t="str">
            <v>TY PEPPA PIG GEORGE EN DISFRAZ DE DINOSAURO - CLIP</v>
          </cell>
          <cell r="F4446" t="str">
            <v>PELUCHE</v>
          </cell>
          <cell r="G4446">
            <v>46228</v>
          </cell>
          <cell r="H4446" t="str">
            <v>TY</v>
          </cell>
          <cell r="I4446">
            <v>1.95</v>
          </cell>
        </row>
        <row r="4447">
          <cell r="A4447" t="str">
            <v>19-04446</v>
          </cell>
          <cell r="B4447" t="str">
            <v>BOING GLOBAL</v>
          </cell>
          <cell r="C4447" t="str">
            <v>A</v>
          </cell>
          <cell r="D4447" t="str">
            <v>NO</v>
          </cell>
          <cell r="E4447" t="str">
            <v>TY PEPPA PIG GEORGE PELUCHE  CLIP</v>
          </cell>
          <cell r="F4447" t="str">
            <v>PELUCHE</v>
          </cell>
          <cell r="G4447">
            <v>46132</v>
          </cell>
          <cell r="H4447" t="str">
            <v>TY</v>
          </cell>
          <cell r="I4447">
            <v>0</v>
          </cell>
        </row>
        <row r="4448">
          <cell r="A4448" t="str">
            <v>19-04447</v>
          </cell>
          <cell r="B4448" t="str">
            <v>BOING GLOBAL</v>
          </cell>
          <cell r="C4448" t="str">
            <v>A</v>
          </cell>
          <cell r="D4448" t="str">
            <v>NO</v>
          </cell>
          <cell r="E4448" t="str">
            <v>TY BEANIE BOOS PERRO SLUSH</v>
          </cell>
          <cell r="F4448" t="str">
            <v>PELUCHE</v>
          </cell>
          <cell r="G4448">
            <v>36006</v>
          </cell>
          <cell r="H4448" t="str">
            <v>TY</v>
          </cell>
          <cell r="I4448">
            <v>2.74</v>
          </cell>
        </row>
        <row r="4449">
          <cell r="A4449" t="str">
            <v>19-04448</v>
          </cell>
          <cell r="B4449" t="str">
            <v>BOING GLOBAL</v>
          </cell>
          <cell r="C4449" t="str">
            <v>A</v>
          </cell>
          <cell r="D4449" t="str">
            <v>NO</v>
          </cell>
          <cell r="E4449" t="str">
            <v>TY BEANIE BOOS FLORA - ZORRILLO BLANCO Y NEGRO REGULAR</v>
          </cell>
          <cell r="F4449" t="str">
            <v>PELUCHE</v>
          </cell>
          <cell r="G4449">
            <v>36155</v>
          </cell>
          <cell r="H4449" t="str">
            <v>TY</v>
          </cell>
          <cell r="I4449">
            <v>2.74</v>
          </cell>
        </row>
        <row r="4450">
          <cell r="A4450" t="str">
            <v>19-04449</v>
          </cell>
          <cell r="B4450" t="str">
            <v>BOING GLOBAL</v>
          </cell>
          <cell r="C4450" t="str">
            <v>A</v>
          </cell>
          <cell r="D4450" t="str">
            <v>NO</v>
          </cell>
          <cell r="E4450" t="str">
            <v>TY BEANIE BOOS AUDREY MONO (RUSIA) REGULAR</v>
          </cell>
          <cell r="F4450" t="str">
            <v>PELUCHE</v>
          </cell>
          <cell r="G4450">
            <v>36181</v>
          </cell>
          <cell r="H4450" t="str">
            <v>TY</v>
          </cell>
          <cell r="I4450">
            <v>2.74</v>
          </cell>
        </row>
        <row r="4451">
          <cell r="A4451" t="str">
            <v>19-04450</v>
          </cell>
          <cell r="B4451" t="str">
            <v>BOING GLOBAL</v>
          </cell>
          <cell r="C4451" t="str">
            <v>A</v>
          </cell>
          <cell r="D4451" t="str">
            <v>NO</v>
          </cell>
          <cell r="E4451" t="str">
            <v>TY BEANIE BOOS NADYA MONO (RUSIA) REGULAR</v>
          </cell>
          <cell r="F4451" t="str">
            <v>PELUCHE</v>
          </cell>
          <cell r="G4451">
            <v>36184</v>
          </cell>
          <cell r="H4451" t="str">
            <v>TY</v>
          </cell>
          <cell r="I4451">
            <v>2.74</v>
          </cell>
        </row>
        <row r="4452">
          <cell r="A4452" t="str">
            <v>19-04451</v>
          </cell>
          <cell r="B4452" t="str">
            <v>BOING GLOBAL</v>
          </cell>
          <cell r="C4452" t="str">
            <v>A</v>
          </cell>
          <cell r="D4452" t="str">
            <v>NO</v>
          </cell>
          <cell r="E4452" t="str">
            <v>TY BEANNIE BOOS BRUTUS - PERRO BOXER REGULAR</v>
          </cell>
          <cell r="F4452" t="str">
            <v>PELUCHE</v>
          </cell>
          <cell r="G4452">
            <v>36188</v>
          </cell>
          <cell r="H4452" t="str">
            <v>TY</v>
          </cell>
          <cell r="I4452">
            <v>2.74</v>
          </cell>
        </row>
        <row r="4453">
          <cell r="A4453" t="str">
            <v>19-04452</v>
          </cell>
          <cell r="B4453" t="str">
            <v>BOING GLOBAL</v>
          </cell>
          <cell r="C4453" t="str">
            <v>A</v>
          </cell>
          <cell r="D4453" t="str">
            <v>NO</v>
          </cell>
          <cell r="E4453" t="str">
            <v>TY BEANIE BOOS BUCKWHEAT LINCE CAFE MEDIANO</v>
          </cell>
          <cell r="F4453" t="str">
            <v>PELUCHE</v>
          </cell>
          <cell r="G4453">
            <v>37055</v>
          </cell>
          <cell r="H4453" t="str">
            <v>TY</v>
          </cell>
          <cell r="I4453">
            <v>5.53</v>
          </cell>
        </row>
        <row r="4454">
          <cell r="A4454" t="str">
            <v>19-04453</v>
          </cell>
          <cell r="B4454" t="str">
            <v>BOING GLOBAL</v>
          </cell>
          <cell r="C4454" t="str">
            <v>A</v>
          </cell>
          <cell r="D4454" t="str">
            <v>NO</v>
          </cell>
          <cell r="E4454" t="str">
            <v>TY BEANIE BOOS TAURI GATO MEDIANO</v>
          </cell>
          <cell r="F4454" t="str">
            <v>PELUCHE</v>
          </cell>
          <cell r="G4454">
            <v>37064</v>
          </cell>
          <cell r="H4454" t="str">
            <v>TY</v>
          </cell>
          <cell r="I4454">
            <v>5.53</v>
          </cell>
        </row>
        <row r="4455">
          <cell r="A4455" t="str">
            <v>19-04454</v>
          </cell>
          <cell r="B4455" t="str">
            <v>BOING GLOBAL</v>
          </cell>
          <cell r="C4455" t="str">
            <v>A</v>
          </cell>
          <cell r="D4455" t="str">
            <v>NO</v>
          </cell>
          <cell r="E4455" t="str">
            <v>TY BEANIE BOOS  SAMMY - BUHO REGULAR</v>
          </cell>
          <cell r="F4455" t="str">
            <v>PELUCHE</v>
          </cell>
          <cell r="G4455">
            <v>37174</v>
          </cell>
          <cell r="H4455" t="str">
            <v>TY</v>
          </cell>
          <cell r="I4455">
            <v>2.74</v>
          </cell>
        </row>
        <row r="4456">
          <cell r="A4456" t="str">
            <v>19-04455</v>
          </cell>
          <cell r="B4456" t="str">
            <v>BOING GLOBAL</v>
          </cell>
          <cell r="C4456" t="str">
            <v>A</v>
          </cell>
          <cell r="D4456" t="str">
            <v>NO</v>
          </cell>
          <cell r="E4456" t="str">
            <v>TY BEANIE BOOS KIKI - GATO GRIS REGULAR</v>
          </cell>
          <cell r="F4456" t="str">
            <v>PELUCHE</v>
          </cell>
          <cell r="G4456">
            <v>37190</v>
          </cell>
          <cell r="H4456" t="str">
            <v>TY</v>
          </cell>
          <cell r="I4456">
            <v>2.74</v>
          </cell>
        </row>
        <row r="4457">
          <cell r="A4457" t="str">
            <v>19-04456</v>
          </cell>
          <cell r="B4457" t="str">
            <v>BOING GLOBAL</v>
          </cell>
          <cell r="C4457" t="str">
            <v>A</v>
          </cell>
          <cell r="D4457" t="str">
            <v>NO</v>
          </cell>
          <cell r="E4457" t="str">
            <v>TY BEANIE BOOS PATSY POODLE ROSADO REGULAR</v>
          </cell>
          <cell r="F4457" t="str">
            <v>PELUCHE</v>
          </cell>
          <cell r="G4457">
            <v>37203</v>
          </cell>
          <cell r="H4457" t="str">
            <v>TY</v>
          </cell>
          <cell r="I4457">
            <v>2.74</v>
          </cell>
        </row>
        <row r="4458">
          <cell r="A4458" t="str">
            <v>19-04457</v>
          </cell>
          <cell r="B4458" t="str">
            <v>BOING GLOBAL</v>
          </cell>
          <cell r="C4458" t="str">
            <v>A</v>
          </cell>
          <cell r="D4458" t="str">
            <v>NO</v>
          </cell>
          <cell r="E4458" t="str">
            <v>TY SPOT LITE DOCTORA JUGUETES/LAMBIE FIG. SUAVE C/LUZ</v>
          </cell>
          <cell r="F4458" t="str">
            <v>PELUCHE</v>
          </cell>
          <cell r="G4458">
            <v>40449</v>
          </cell>
          <cell r="H4458" t="str">
            <v>TY</v>
          </cell>
          <cell r="I4458">
            <v>0</v>
          </cell>
        </row>
        <row r="4459">
          <cell r="A4459" t="str">
            <v>19-04458</v>
          </cell>
          <cell r="B4459" t="str">
            <v>BOING GLOBAL</v>
          </cell>
          <cell r="C4459" t="str">
            <v>A</v>
          </cell>
          <cell r="D4459" t="str">
            <v>NO</v>
          </cell>
          <cell r="E4459" t="str">
            <v>BOING TOYS MOANA ADVENTURE TODDLER DOLL - 15INCHES - INCLUDES DIY SEASHELL BRACELET FOR GIRLS</v>
          </cell>
          <cell r="F4459" t="str">
            <v>JUGUETES</v>
          </cell>
          <cell r="G4459">
            <v>4703</v>
          </cell>
          <cell r="H4459" t="str">
            <v>BOING TOYS</v>
          </cell>
          <cell r="I4459">
            <v>18.55</v>
          </cell>
        </row>
        <row r="4460">
          <cell r="A4460" t="str">
            <v>19-04459</v>
          </cell>
          <cell r="B4460" t="str">
            <v>BOING GLOBAL</v>
          </cell>
          <cell r="C4460" t="str">
            <v>A</v>
          </cell>
          <cell r="D4460" t="str">
            <v>SI</v>
          </cell>
          <cell r="E4460" t="str">
            <v>BOING TOYS LION GUARD FIG 3" ASSORTED</v>
          </cell>
          <cell r="F4460" t="str">
            <v>JUGUETES</v>
          </cell>
          <cell r="G4460">
            <v>77105</v>
          </cell>
          <cell r="H4460" t="str">
            <v>BOING TOYS</v>
          </cell>
          <cell r="I4460">
            <v>3.26</v>
          </cell>
        </row>
        <row r="4461">
          <cell r="A4461" t="str">
            <v>19-04460</v>
          </cell>
          <cell r="B4461" t="str">
            <v>BOING GLOBAL</v>
          </cell>
          <cell r="C4461" t="str">
            <v>A</v>
          </cell>
          <cell r="D4461" t="str">
            <v>NO</v>
          </cell>
          <cell r="E4461" t="str">
            <v>BOING TOYS LION GUARD FIG 8" INCHES  ASSORTED</v>
          </cell>
          <cell r="F4461" t="str">
            <v>JUGUETES</v>
          </cell>
          <cell r="G4461">
            <v>77205</v>
          </cell>
          <cell r="H4461" t="str">
            <v>BOING TOYS</v>
          </cell>
          <cell r="I4461">
            <v>8.32</v>
          </cell>
        </row>
        <row r="4462">
          <cell r="A4462" t="str">
            <v>19-04461</v>
          </cell>
          <cell r="B4462" t="str">
            <v>BOING GLOBAL</v>
          </cell>
          <cell r="C4462" t="str">
            <v>A</v>
          </cell>
          <cell r="D4462" t="str">
            <v>NO</v>
          </cell>
          <cell r="E4462" t="str">
            <v>BOING TOYS LION GUARD ARTICULATED FIG 3" &amp; VILLIAN SLUG  WITH ACCESORY MECHANICAL FUNCTION</v>
          </cell>
          <cell r="F4462" t="str">
            <v>JUGUETES</v>
          </cell>
          <cell r="G4462">
            <v>77235</v>
          </cell>
          <cell r="H4462" t="str">
            <v>BOING TOYS</v>
          </cell>
          <cell r="I4462">
            <v>9.25</v>
          </cell>
        </row>
        <row r="4463">
          <cell r="A4463" t="str">
            <v>19-04462</v>
          </cell>
          <cell r="B4463" t="str">
            <v>BOING GLOBAL</v>
          </cell>
          <cell r="C4463" t="str">
            <v>A</v>
          </cell>
          <cell r="D4463" t="str">
            <v>SI</v>
          </cell>
          <cell r="E4463" t="str">
            <v>BOING TOYS PRINCESS PEPPA ROYAL TRAIN (WITH SOUND)</v>
          </cell>
          <cell r="F4463" t="str">
            <v>JUGUETES</v>
          </cell>
          <cell r="G4463">
            <v>5870</v>
          </cell>
          <cell r="H4463" t="str">
            <v>BOING TOYS</v>
          </cell>
          <cell r="I4463">
            <v>13.9</v>
          </cell>
        </row>
        <row r="4464">
          <cell r="A4464" t="str">
            <v>19-04463</v>
          </cell>
          <cell r="B4464" t="str">
            <v>BOING GLOBAL</v>
          </cell>
          <cell r="C4464" t="str">
            <v>A</v>
          </cell>
          <cell r="D4464" t="str">
            <v>SI</v>
          </cell>
          <cell r="E4464" t="str">
            <v>BOING TOYS PEPPA PIG HOLIDAY GRANDAD DOGS PLEASURE BOAT</v>
          </cell>
          <cell r="F4464" t="str">
            <v>JUGUETES</v>
          </cell>
          <cell r="G4464">
            <v>5584</v>
          </cell>
          <cell r="H4464" t="str">
            <v>BOING TOYS</v>
          </cell>
          <cell r="I4464">
            <v>15.76</v>
          </cell>
        </row>
        <row r="4465">
          <cell r="A4465" t="str">
            <v>19-04464</v>
          </cell>
          <cell r="B4465" t="str">
            <v>BOING GLOBAL</v>
          </cell>
          <cell r="C4465" t="str">
            <v>A</v>
          </cell>
          <cell r="D4465" t="str">
            <v>NO</v>
          </cell>
          <cell r="E4465" t="str">
            <v>BOING TOYS MASHA COOKING FUN</v>
          </cell>
          <cell r="F4465" t="str">
            <v>JUGUETES</v>
          </cell>
          <cell r="G4465">
            <v>109301987</v>
          </cell>
          <cell r="H4465" t="str">
            <v>BOING TOYS</v>
          </cell>
          <cell r="I4465">
            <v>8.32</v>
          </cell>
        </row>
        <row r="4466">
          <cell r="A4466" t="str">
            <v>19-04465</v>
          </cell>
          <cell r="B4466" t="str">
            <v>BOING GLOBAL</v>
          </cell>
          <cell r="C4466" t="str">
            <v>A</v>
          </cell>
          <cell r="D4466" t="str">
            <v>NO</v>
          </cell>
          <cell r="E4466" t="str">
            <v>BOING TOYS MASHA SCHOOL FUN</v>
          </cell>
          <cell r="F4466" t="str">
            <v>JUGUETES</v>
          </cell>
          <cell r="G4466">
            <v>109301944</v>
          </cell>
          <cell r="H4466" t="str">
            <v>BOING TOYS</v>
          </cell>
          <cell r="I4466">
            <v>8.32</v>
          </cell>
        </row>
        <row r="4467">
          <cell r="A4467" t="str">
            <v>19-04466</v>
          </cell>
          <cell r="B4467" t="str">
            <v>BOING GLOBAL</v>
          </cell>
          <cell r="C4467" t="str">
            <v>A</v>
          </cell>
          <cell r="D4467" t="str">
            <v>SI</v>
          </cell>
          <cell r="E4467" t="str">
            <v>BOING TOYS ZURU BUNCH O BALLOONS - LAUNCHER &amp; 1 BUNCH BULK</v>
          </cell>
          <cell r="F4467" t="str">
            <v>JUGUETES</v>
          </cell>
          <cell r="G4467">
            <v>1241</v>
          </cell>
          <cell r="H4467" t="str">
            <v>BOING TOYS</v>
          </cell>
          <cell r="I4467">
            <v>5.53</v>
          </cell>
        </row>
        <row r="4468">
          <cell r="A4468" t="str">
            <v>19-04467</v>
          </cell>
          <cell r="B4468" t="str">
            <v>BOING GLOBAL</v>
          </cell>
          <cell r="C4468" t="str">
            <v>A</v>
          </cell>
          <cell r="D4468" t="str">
            <v>SI</v>
          </cell>
          <cell r="E4468" t="str">
            <v>BOING TOYS ZURU BUNCH O BALLOONS - RAPID FILL 3PK FOILBAG 3X35 BALLOONS</v>
          </cell>
          <cell r="F4468" t="str">
            <v>JUGUETES</v>
          </cell>
          <cell r="G4468">
            <v>1213</v>
          </cell>
          <cell r="H4468" t="str">
            <v>BOING TOYS</v>
          </cell>
          <cell r="I4468">
            <v>5.12</v>
          </cell>
        </row>
        <row r="4469">
          <cell r="A4469" t="str">
            <v>19-04468</v>
          </cell>
          <cell r="B4469" t="str">
            <v>BOING GLOBAL</v>
          </cell>
          <cell r="C4469" t="str">
            <v>A</v>
          </cell>
          <cell r="D4469" t="str">
            <v>SI</v>
          </cell>
          <cell r="E4469" t="str">
            <v>BOING TOYS KARATE ACTION BUZZ LIGHTYEAR 12"</v>
          </cell>
          <cell r="F4469" t="str">
            <v>JUGUETES</v>
          </cell>
          <cell r="G4469">
            <v>64081</v>
          </cell>
          <cell r="H4469" t="str">
            <v>BOING TOYS</v>
          </cell>
          <cell r="I4469">
            <v>31.57</v>
          </cell>
        </row>
        <row r="4470">
          <cell r="A4470" t="str">
            <v>19-04469</v>
          </cell>
          <cell r="B4470" t="str">
            <v>BOING GLOBAL</v>
          </cell>
          <cell r="C4470" t="str">
            <v>A</v>
          </cell>
          <cell r="D4470" t="str">
            <v>SI</v>
          </cell>
          <cell r="E4470" t="str">
            <v>BOING TOYS BURBUJA MESSI SET MEDIA X 1 EN CDU</v>
          </cell>
          <cell r="F4470" t="str">
            <v>JUGUETES</v>
          </cell>
          <cell r="G4470" t="str">
            <v>UB0008</v>
          </cell>
          <cell r="H4470" t="str">
            <v>BOING TOYS</v>
          </cell>
          <cell r="I4470">
            <v>4.5999999999999996</v>
          </cell>
        </row>
        <row r="4471">
          <cell r="A4471" t="str">
            <v>19-04470</v>
          </cell>
          <cell r="B4471" t="str">
            <v>BOING GLOBAL</v>
          </cell>
          <cell r="C4471" t="str">
            <v>A</v>
          </cell>
          <cell r="D4471" t="str">
            <v>SI</v>
          </cell>
          <cell r="E4471" t="str">
            <v>BOING TOYS FIGURE MUTATION MIX AND MATCH BASIC FIGURE ASSORTED</v>
          </cell>
          <cell r="F4471" t="str">
            <v>JUGUETES</v>
          </cell>
          <cell r="G4471">
            <v>90380</v>
          </cell>
          <cell r="H4471" t="str">
            <v>BOING TOYS</v>
          </cell>
          <cell r="I4471">
            <v>5.53</v>
          </cell>
        </row>
        <row r="4472">
          <cell r="A4472" t="str">
            <v>19-04471</v>
          </cell>
          <cell r="B4472" t="str">
            <v>BOING GLOBAL</v>
          </cell>
          <cell r="C4472" t="str">
            <v>A</v>
          </cell>
          <cell r="D4472" t="str">
            <v>NO</v>
          </cell>
          <cell r="E4472" t="str">
            <v>BOING TOYS TMNT GIANT 11" FIGURE - MUTATION FIGURE</v>
          </cell>
          <cell r="F4472" t="str">
            <v>JUGUETES</v>
          </cell>
          <cell r="G4472">
            <v>91195</v>
          </cell>
          <cell r="H4472" t="str">
            <v>BOING TOYS</v>
          </cell>
          <cell r="I4472">
            <v>13.9</v>
          </cell>
        </row>
        <row r="4473">
          <cell r="A4473" t="str">
            <v>19-04472</v>
          </cell>
          <cell r="B4473" t="str">
            <v>BOING GLOBAL</v>
          </cell>
          <cell r="C4473" t="str">
            <v>A</v>
          </cell>
          <cell r="D4473" t="str">
            <v>SI</v>
          </cell>
          <cell r="E4473" t="str">
            <v>BOING TOYS TECH FIGURE - STRETCH N SHOUT ASSORTED</v>
          </cell>
          <cell r="F4473" t="str">
            <v>JUGUETES</v>
          </cell>
          <cell r="G4473">
            <v>91420</v>
          </cell>
          <cell r="H4473" t="str">
            <v>BOING TOYS</v>
          </cell>
          <cell r="I4473">
            <v>14.83</v>
          </cell>
        </row>
        <row r="4474">
          <cell r="A4474" t="str">
            <v>19-04473</v>
          </cell>
          <cell r="B4474" t="str">
            <v>BOING GLOBAL</v>
          </cell>
          <cell r="C4474" t="str">
            <v>A</v>
          </cell>
          <cell r="D4474" t="str">
            <v>NO</v>
          </cell>
          <cell r="E4474" t="str">
            <v>BOING TOYS BOING GAMES MAGIC JINN</v>
          </cell>
          <cell r="F4474" t="str">
            <v>JUGUETES</v>
          </cell>
          <cell r="G4474">
            <v>12363</v>
          </cell>
          <cell r="H4474" t="str">
            <v>BOING TOYS</v>
          </cell>
          <cell r="I4474">
            <v>12.04</v>
          </cell>
        </row>
        <row r="4475">
          <cell r="A4475" t="str">
            <v>19-04474</v>
          </cell>
          <cell r="B4475" t="str">
            <v>BOING GLOBAL</v>
          </cell>
          <cell r="C4475" t="str">
            <v>A</v>
          </cell>
          <cell r="D4475" t="str">
            <v>NO</v>
          </cell>
          <cell r="E4475" t="str">
            <v>BOING TOYS MY FIRST DISNEY TODDLER ASSORTED DOLLS 15 INCHES</v>
          </cell>
          <cell r="F4475" t="str">
            <v>JUGUETES</v>
          </cell>
          <cell r="G4475">
            <v>75005</v>
          </cell>
          <cell r="H4475" t="str">
            <v>BOING TOYS</v>
          </cell>
          <cell r="I4475">
            <v>17.62</v>
          </cell>
        </row>
        <row r="4476">
          <cell r="A4476" t="str">
            <v>19-04475</v>
          </cell>
          <cell r="B4476" t="str">
            <v>BOING GLOBAL</v>
          </cell>
          <cell r="C4476" t="str">
            <v>A</v>
          </cell>
          <cell r="D4476" t="str">
            <v>NO</v>
          </cell>
          <cell r="E4476" t="str">
            <v>BOING TOYS DISNEY PRINCESS SOFIA 6" DOLL ASSORTED</v>
          </cell>
          <cell r="F4476" t="str">
            <v>JUGUETES</v>
          </cell>
          <cell r="G4476">
            <v>1301</v>
          </cell>
          <cell r="H4476" t="str">
            <v>BOING TOYS</v>
          </cell>
          <cell r="I4476">
            <v>7.39</v>
          </cell>
        </row>
        <row r="4477">
          <cell r="A4477" t="str">
            <v>19-04476</v>
          </cell>
          <cell r="B4477" t="str">
            <v>DIST. LEWIS</v>
          </cell>
          <cell r="C4477" t="str">
            <v>A</v>
          </cell>
          <cell r="D4477" t="str">
            <v>SI</v>
          </cell>
          <cell r="E4477" t="str">
            <v>OCTANOS</v>
          </cell>
          <cell r="F4477" t="str">
            <v>MAGAZINE</v>
          </cell>
          <cell r="G4477">
            <v>34008</v>
          </cell>
          <cell r="H4477" t="str">
            <v>DIST. LEWIS</v>
          </cell>
          <cell r="I4477">
            <v>1.6</v>
          </cell>
        </row>
        <row r="4478">
          <cell r="A4478" t="str">
            <v>19-04477</v>
          </cell>
          <cell r="B4478" t="str">
            <v>ANDRO PROMOTIONS</v>
          </cell>
          <cell r="C4478" t="str">
            <v>A</v>
          </cell>
          <cell r="D4478" t="str">
            <v>NO</v>
          </cell>
          <cell r="E4478" t="str">
            <v>RUTA DE MANJARES</v>
          </cell>
          <cell r="F4478" t="str">
            <v>LIBRO</v>
          </cell>
          <cell r="H4478" t="str">
            <v>ANDRO</v>
          </cell>
          <cell r="I4478">
            <v>20</v>
          </cell>
        </row>
        <row r="4479">
          <cell r="A4479" t="str">
            <v>19-04478</v>
          </cell>
          <cell r="B4479" t="str">
            <v>ORKHON GROUP</v>
          </cell>
          <cell r="C4479" t="str">
            <v>A</v>
          </cell>
          <cell r="D4479" t="str">
            <v>N/A</v>
          </cell>
          <cell r="E4479" t="str">
            <v>A1507-151 ALTAMAR PULSERA CLOE</v>
          </cell>
          <cell r="F4479" t="str">
            <v>PULSERA</v>
          </cell>
          <cell r="G4479" t="str">
            <v>A007347</v>
          </cell>
          <cell r="H4479" t="str">
            <v>ALTAMAR</v>
          </cell>
          <cell r="I4479">
            <v>4.4180000000000001</v>
          </cell>
        </row>
        <row r="4480">
          <cell r="A4480" t="str">
            <v>19-04479</v>
          </cell>
          <cell r="B4480" t="str">
            <v>ORKHON GROUP</v>
          </cell>
          <cell r="C4480" t="str">
            <v>A</v>
          </cell>
          <cell r="D4480" t="str">
            <v>N/A</v>
          </cell>
          <cell r="E4480" t="str">
            <v>A1507-156 ALTAMAR PULSERA CLOE</v>
          </cell>
          <cell r="F4480" t="str">
            <v>PULSERA</v>
          </cell>
          <cell r="G4480" t="str">
            <v>A007350</v>
          </cell>
          <cell r="H4480" t="str">
            <v>ALTAMAR</v>
          </cell>
          <cell r="I4480">
            <v>2.2559999999999998</v>
          </cell>
        </row>
        <row r="4481">
          <cell r="A4481" t="str">
            <v>19-04480</v>
          </cell>
          <cell r="B4481" t="str">
            <v>ORKHON GROUP</v>
          </cell>
          <cell r="C4481" t="str">
            <v>A</v>
          </cell>
          <cell r="D4481" t="str">
            <v>N/A</v>
          </cell>
          <cell r="E4481" t="str">
            <v>A1507-155 ALTAMAR PULSERA CLOE</v>
          </cell>
          <cell r="F4481" t="str">
            <v>PULSERA</v>
          </cell>
          <cell r="G4481" t="str">
            <v>A007349</v>
          </cell>
          <cell r="H4481" t="str">
            <v>ALTAMAR</v>
          </cell>
          <cell r="I4481">
            <v>2.0680000000000001</v>
          </cell>
        </row>
        <row r="4482">
          <cell r="A4482" t="str">
            <v>19-04481</v>
          </cell>
          <cell r="B4482" t="str">
            <v>ORKHON GROUP</v>
          </cell>
          <cell r="C4482" t="str">
            <v>A</v>
          </cell>
          <cell r="D4482" t="str">
            <v>N/A</v>
          </cell>
          <cell r="E4482" t="str">
            <v>S1603-13 ALTAMAR SOMBRERO</v>
          </cell>
          <cell r="F4482" t="str">
            <v>SOMBRERO</v>
          </cell>
          <cell r="G4482" t="str">
            <v>A007792</v>
          </cell>
          <cell r="H4482" t="str">
            <v>ALTAMAR</v>
          </cell>
          <cell r="I4482">
            <v>4.9820000000000002</v>
          </cell>
        </row>
        <row r="4483">
          <cell r="A4483" t="str">
            <v>19-04482</v>
          </cell>
          <cell r="B4483" t="str">
            <v>ORKHON GROUP</v>
          </cell>
          <cell r="C4483" t="str">
            <v>A</v>
          </cell>
          <cell r="D4483" t="str">
            <v>N/A</v>
          </cell>
          <cell r="E4483" t="str">
            <v>S1603-15 ALTAMAR SOMBRERO</v>
          </cell>
          <cell r="F4483" t="str">
            <v>SOMBRERO</v>
          </cell>
          <cell r="G4483" t="str">
            <v>A007793</v>
          </cell>
          <cell r="H4483" t="str">
            <v>ALTAMAR</v>
          </cell>
          <cell r="I4483">
            <v>9.9640000000000004</v>
          </cell>
        </row>
        <row r="4484">
          <cell r="A4484" t="str">
            <v>19-04483</v>
          </cell>
          <cell r="B4484" t="str">
            <v>ORKHON GROUP</v>
          </cell>
          <cell r="C4484" t="str">
            <v>A</v>
          </cell>
          <cell r="D4484" t="str">
            <v>N/A</v>
          </cell>
          <cell r="E4484" t="str">
            <v>S1603-17 ALTAMAR SOMBRERO A/A</v>
          </cell>
          <cell r="F4484" t="str">
            <v>SOMBRERO</v>
          </cell>
          <cell r="G4484" t="str">
            <v>A007794</v>
          </cell>
          <cell r="H4484" t="str">
            <v>ALTAMAR</v>
          </cell>
          <cell r="I4484">
            <v>8.8360000000000003</v>
          </cell>
        </row>
        <row r="4485">
          <cell r="A4485" t="str">
            <v>19-04484</v>
          </cell>
          <cell r="B4485" t="str">
            <v>ORKHON GROUP</v>
          </cell>
          <cell r="C4485" t="str">
            <v>A</v>
          </cell>
          <cell r="D4485" t="str">
            <v>N/A</v>
          </cell>
          <cell r="E4485" t="str">
            <v>S1603-18 ALTAMAR SOMBRERO A/A</v>
          </cell>
          <cell r="F4485" t="str">
            <v>SOMBRERO</v>
          </cell>
          <cell r="G4485" t="str">
            <v>A007795</v>
          </cell>
          <cell r="H4485" t="str">
            <v>ALTAMAR</v>
          </cell>
          <cell r="I4485">
            <v>9.9640000000000004</v>
          </cell>
        </row>
        <row r="4486">
          <cell r="A4486" t="str">
            <v>19-04485</v>
          </cell>
          <cell r="B4486" t="str">
            <v>ORKHON GROUP</v>
          </cell>
          <cell r="C4486" t="str">
            <v>A</v>
          </cell>
          <cell r="D4486" t="str">
            <v>N/A</v>
          </cell>
          <cell r="E4486" t="str">
            <v>S1603-19 ALTAMAR SOMBRERO A/A</v>
          </cell>
          <cell r="F4486" t="str">
            <v>SOMBRERO</v>
          </cell>
          <cell r="G4486" t="str">
            <v>A007796</v>
          </cell>
          <cell r="H4486" t="str">
            <v>ALTAMAR</v>
          </cell>
          <cell r="I4486">
            <v>11.938000000000001</v>
          </cell>
        </row>
        <row r="4487">
          <cell r="A4487" t="str">
            <v>19-04486</v>
          </cell>
          <cell r="B4487" t="str">
            <v>ORKHON GROUP</v>
          </cell>
          <cell r="C4487" t="str">
            <v>A</v>
          </cell>
          <cell r="D4487" t="str">
            <v>N/A</v>
          </cell>
          <cell r="E4487" t="str">
            <v>S1603-20 ALTAMAR SOMBRERO A/A</v>
          </cell>
          <cell r="F4487" t="str">
            <v>SOMBRERO</v>
          </cell>
          <cell r="G4487" t="str">
            <v>A007797</v>
          </cell>
          <cell r="H4487" t="str">
            <v>ALTAMAR</v>
          </cell>
          <cell r="I4487">
            <v>8.2720000000000002</v>
          </cell>
        </row>
        <row r="4488">
          <cell r="A4488" t="str">
            <v>19-04487</v>
          </cell>
          <cell r="B4488" t="str">
            <v>ORKHON GROUP</v>
          </cell>
          <cell r="C4488" t="str">
            <v>A</v>
          </cell>
          <cell r="D4488" t="str">
            <v>N/A</v>
          </cell>
          <cell r="E4488" t="str">
            <v>S1603-21 ALTAMAR SOMBRERO A/A</v>
          </cell>
          <cell r="F4488" t="str">
            <v>SOMBRERO</v>
          </cell>
          <cell r="G4488" t="str">
            <v>A007798</v>
          </cell>
          <cell r="H4488" t="str">
            <v>ALTAMAR</v>
          </cell>
          <cell r="I4488">
            <v>9.2119999999999997</v>
          </cell>
        </row>
        <row r="4489">
          <cell r="A4489" t="str">
            <v>19-04488</v>
          </cell>
          <cell r="B4489" t="str">
            <v>ORKHON GROUP</v>
          </cell>
          <cell r="C4489" t="str">
            <v>A</v>
          </cell>
          <cell r="D4489" t="str">
            <v>N/A</v>
          </cell>
          <cell r="E4489" t="str">
            <v>S1603-22 ALTAMAR SOMBRERO A/A</v>
          </cell>
          <cell r="F4489" t="str">
            <v>SOMBRERO</v>
          </cell>
          <cell r="G4489" t="str">
            <v>A007799</v>
          </cell>
          <cell r="H4489" t="str">
            <v>ALTAMAR</v>
          </cell>
          <cell r="I4489">
            <v>9.9640000000000004</v>
          </cell>
        </row>
        <row r="4490">
          <cell r="A4490" t="str">
            <v>19-04489</v>
          </cell>
          <cell r="B4490" t="str">
            <v>ORKHON GROUP</v>
          </cell>
          <cell r="C4490" t="str">
            <v>A</v>
          </cell>
          <cell r="D4490" t="str">
            <v>N/A</v>
          </cell>
          <cell r="E4490" t="str">
            <v>S1603-24 ALTAMAR SOMBRERO A/A</v>
          </cell>
          <cell r="F4490" t="str">
            <v>SOMBRERO</v>
          </cell>
          <cell r="G4490" t="str">
            <v>A007800</v>
          </cell>
          <cell r="H4490" t="str">
            <v>ALTAMAR</v>
          </cell>
          <cell r="I4490">
            <v>8.8360000000000003</v>
          </cell>
        </row>
        <row r="4491">
          <cell r="A4491" t="str">
            <v>19-04490</v>
          </cell>
          <cell r="B4491" t="str">
            <v>ORKHON GROUP</v>
          </cell>
          <cell r="C4491" t="str">
            <v>A</v>
          </cell>
          <cell r="D4491" t="str">
            <v>N/A</v>
          </cell>
          <cell r="E4491" t="str">
            <v>S1603-25 ALTAMAR SOMBRERO A/A</v>
          </cell>
          <cell r="F4491" t="str">
            <v>SOMBRERO</v>
          </cell>
          <cell r="G4491" t="str">
            <v>A007801</v>
          </cell>
          <cell r="H4491" t="str">
            <v>ALTAMAR</v>
          </cell>
          <cell r="I4491">
            <v>8.5540000000000003</v>
          </cell>
        </row>
        <row r="4492">
          <cell r="A4492" t="str">
            <v>19-04491</v>
          </cell>
          <cell r="B4492" t="str">
            <v>ORKHON GROUP</v>
          </cell>
          <cell r="C4492" t="str">
            <v>A</v>
          </cell>
          <cell r="D4492" t="str">
            <v>N/A</v>
          </cell>
          <cell r="E4492" t="str">
            <v>S1603-26 ALTAMAR SOMBRERO A/A</v>
          </cell>
          <cell r="F4492" t="str">
            <v>SOMBRERO</v>
          </cell>
          <cell r="G4492" t="str">
            <v>A007802</v>
          </cell>
          <cell r="H4492" t="str">
            <v>ALTAMAR</v>
          </cell>
          <cell r="I4492">
            <v>8.2720000000000002</v>
          </cell>
        </row>
        <row r="4493">
          <cell r="A4493" t="str">
            <v>19-04492</v>
          </cell>
          <cell r="B4493" t="str">
            <v>ORKHON GROUP</v>
          </cell>
          <cell r="C4493" t="str">
            <v>A</v>
          </cell>
          <cell r="D4493" t="str">
            <v>N/A</v>
          </cell>
          <cell r="E4493" t="str">
            <v>S1603-27 ALTAMAR SOMBRERO</v>
          </cell>
          <cell r="F4493" t="str">
            <v>SOMBRERO</v>
          </cell>
          <cell r="G4493" t="str">
            <v>A007679</v>
          </cell>
          <cell r="H4493" t="str">
            <v>ALTAMAR</v>
          </cell>
          <cell r="I4493">
            <v>6.016</v>
          </cell>
        </row>
        <row r="4494">
          <cell r="A4494" t="str">
            <v>19-04493</v>
          </cell>
          <cell r="B4494" t="str">
            <v>ORKHON GROUP</v>
          </cell>
          <cell r="C4494" t="str">
            <v>A</v>
          </cell>
          <cell r="D4494" t="str">
            <v>N/A</v>
          </cell>
          <cell r="E4494" t="str">
            <v>S1603-28 ALTAMAR SOMBRERO</v>
          </cell>
          <cell r="F4494" t="str">
            <v>SOMBRERO</v>
          </cell>
          <cell r="G4494" t="str">
            <v>A007804</v>
          </cell>
          <cell r="H4494" t="str">
            <v>ALTAMAR</v>
          </cell>
          <cell r="I4494">
            <v>5.2640000000000002</v>
          </cell>
        </row>
        <row r="4495">
          <cell r="A4495" t="str">
            <v>19-04494</v>
          </cell>
          <cell r="B4495" t="str">
            <v>ORKHON GROUP</v>
          </cell>
          <cell r="C4495" t="str">
            <v>A</v>
          </cell>
          <cell r="D4495" t="str">
            <v>N/A</v>
          </cell>
          <cell r="E4495" t="str">
            <v>S1603-29 ALTAMAR SOMBRERO</v>
          </cell>
          <cell r="F4495" t="str">
            <v>SOMBRERO</v>
          </cell>
          <cell r="G4495" t="str">
            <v>A007805</v>
          </cell>
          <cell r="H4495" t="str">
            <v>ALTAMAR</v>
          </cell>
          <cell r="I4495">
            <v>6.7679999999999998</v>
          </cell>
        </row>
        <row r="4496">
          <cell r="A4496" t="str">
            <v>19-04495</v>
          </cell>
          <cell r="B4496" t="str">
            <v>ORKHON GROUP</v>
          </cell>
          <cell r="C4496" t="str">
            <v>A</v>
          </cell>
          <cell r="D4496" t="str">
            <v>N/A</v>
          </cell>
          <cell r="E4496" t="str">
            <v>S1603-31 ALTAMAR SOMBRERO</v>
          </cell>
          <cell r="F4496" t="str">
            <v>SOMBRERO</v>
          </cell>
          <cell r="G4496" t="str">
            <v>A007806</v>
          </cell>
          <cell r="H4496" t="str">
            <v>ALTAMAR</v>
          </cell>
          <cell r="I4496">
            <v>4.9820000000000002</v>
          </cell>
        </row>
        <row r="4497">
          <cell r="A4497" t="str">
            <v>19-04496</v>
          </cell>
          <cell r="B4497" t="str">
            <v>ORKHON GROUP</v>
          </cell>
          <cell r="C4497" t="str">
            <v>A</v>
          </cell>
          <cell r="D4497" t="str">
            <v>N/A</v>
          </cell>
          <cell r="E4497" t="str">
            <v>S1603-32 ALTAMAR SOMBRERO</v>
          </cell>
          <cell r="F4497" t="str">
            <v>SOMBRERO</v>
          </cell>
          <cell r="G4497" t="str">
            <v>A007807</v>
          </cell>
          <cell r="H4497" t="str">
            <v>ALTAMAR</v>
          </cell>
          <cell r="I4497">
            <v>4.9820000000000002</v>
          </cell>
        </row>
        <row r="4498">
          <cell r="A4498" t="str">
            <v>19-04497</v>
          </cell>
          <cell r="B4498" t="str">
            <v>ORKHON GROUP</v>
          </cell>
          <cell r="C4498" t="str">
            <v>A</v>
          </cell>
          <cell r="D4498" t="str">
            <v>N/A</v>
          </cell>
          <cell r="E4498" t="str">
            <v>S1603-34 ALTAMAR SOMBRERO</v>
          </cell>
          <cell r="F4498" t="str">
            <v>SOMBRERO</v>
          </cell>
          <cell r="G4498" t="str">
            <v>A007808</v>
          </cell>
          <cell r="H4498" t="str">
            <v>ALTAMAR</v>
          </cell>
          <cell r="I4498">
            <v>5.64</v>
          </cell>
        </row>
        <row r="4499">
          <cell r="A4499" t="str">
            <v>19-04498</v>
          </cell>
          <cell r="B4499" t="str">
            <v>ORKHON GROUP</v>
          </cell>
          <cell r="C4499" t="str">
            <v>A</v>
          </cell>
          <cell r="D4499" t="str">
            <v>N/A</v>
          </cell>
          <cell r="E4499" t="str">
            <v>S1603-36 ALTAMAR SOMBRERO</v>
          </cell>
          <cell r="F4499" t="str">
            <v>SOMBRERO</v>
          </cell>
          <cell r="G4499" t="str">
            <v>A007809</v>
          </cell>
          <cell r="H4499" t="str">
            <v>ALTAMAR</v>
          </cell>
          <cell r="I4499">
            <v>5.64</v>
          </cell>
        </row>
        <row r="4500">
          <cell r="A4500" t="str">
            <v>19-04499</v>
          </cell>
          <cell r="B4500" t="str">
            <v>ORKHON GROUP</v>
          </cell>
          <cell r="C4500" t="str">
            <v>A</v>
          </cell>
          <cell r="D4500" t="str">
            <v>N/A</v>
          </cell>
          <cell r="E4500" t="str">
            <v>S1603-38 ALTAMAR SOMBRERO</v>
          </cell>
          <cell r="F4500" t="str">
            <v>SOMBRERO</v>
          </cell>
          <cell r="G4500" t="str">
            <v>A007810</v>
          </cell>
          <cell r="H4500" t="str">
            <v>ALTAMAR</v>
          </cell>
          <cell r="I4500">
            <v>5.734</v>
          </cell>
        </row>
        <row r="4501">
          <cell r="A4501" t="str">
            <v>19-04500</v>
          </cell>
          <cell r="B4501" t="str">
            <v>ORKHON GROUP</v>
          </cell>
          <cell r="C4501" t="str">
            <v>A</v>
          </cell>
          <cell r="D4501" t="str">
            <v>N/A</v>
          </cell>
          <cell r="E4501" t="str">
            <v>S1603-39 ALTAMAR SOMBRERO</v>
          </cell>
          <cell r="F4501" t="str">
            <v>SOMBRERO</v>
          </cell>
          <cell r="G4501" t="str">
            <v>A007811</v>
          </cell>
          <cell r="H4501" t="str">
            <v>ALTAMAR</v>
          </cell>
          <cell r="I4501">
            <v>7.05</v>
          </cell>
        </row>
        <row r="4502">
          <cell r="A4502" t="str">
            <v>19-04501</v>
          </cell>
          <cell r="B4502" t="str">
            <v>ORKHON GROUP</v>
          </cell>
          <cell r="C4502" t="str">
            <v>A</v>
          </cell>
          <cell r="D4502" t="str">
            <v>N/A</v>
          </cell>
          <cell r="E4502" t="str">
            <v>S1603-42 ALTAMAR SOMBRERO</v>
          </cell>
          <cell r="F4502" t="str">
            <v>SOMBRERO</v>
          </cell>
          <cell r="G4502" t="str">
            <v>A007812</v>
          </cell>
          <cell r="H4502" t="str">
            <v>ALTAMAR</v>
          </cell>
          <cell r="I4502">
            <v>9.2119999999999997</v>
          </cell>
        </row>
        <row r="4503">
          <cell r="A4503" t="str">
            <v>19-04502</v>
          </cell>
          <cell r="B4503" t="str">
            <v>ORKHON GROUP</v>
          </cell>
          <cell r="C4503" t="str">
            <v>A</v>
          </cell>
          <cell r="D4503" t="str">
            <v>N/A</v>
          </cell>
          <cell r="E4503" t="str">
            <v>S1603-43 ALTAMAR SOMBRERO</v>
          </cell>
          <cell r="F4503" t="str">
            <v>SOMBRERO</v>
          </cell>
          <cell r="G4503" t="str">
            <v>A007813</v>
          </cell>
          <cell r="H4503" t="str">
            <v>ALTAMAR</v>
          </cell>
          <cell r="I4503">
            <v>9.7759999999999998</v>
          </cell>
        </row>
        <row r="4504">
          <cell r="A4504" t="str">
            <v>19-04503</v>
          </cell>
          <cell r="B4504" t="str">
            <v>ORKHON GROUP</v>
          </cell>
          <cell r="C4504" t="str">
            <v>A</v>
          </cell>
          <cell r="D4504" t="str">
            <v>N/A</v>
          </cell>
          <cell r="E4504" t="str">
            <v>S1603-44 ALTAMAR SOMBRERO</v>
          </cell>
          <cell r="F4504" t="str">
            <v>SOMBRERO</v>
          </cell>
          <cell r="G4504" t="str">
            <v>A007814</v>
          </cell>
          <cell r="H4504" t="str">
            <v>ALTAMAR</v>
          </cell>
          <cell r="I4504">
            <v>7.99</v>
          </cell>
        </row>
        <row r="4505">
          <cell r="A4505" t="str">
            <v>19-04504</v>
          </cell>
          <cell r="B4505" t="str">
            <v>ORKHON GROUP</v>
          </cell>
          <cell r="C4505" t="str">
            <v>A</v>
          </cell>
          <cell r="D4505" t="str">
            <v>N/A</v>
          </cell>
          <cell r="E4505" t="str">
            <v>S1603-46 ALTAMAR SOMBRERO</v>
          </cell>
          <cell r="F4505" t="str">
            <v>SOMBRERO</v>
          </cell>
          <cell r="G4505" t="str">
            <v>A007815</v>
          </cell>
          <cell r="H4505" t="str">
            <v>ALTAMAR</v>
          </cell>
          <cell r="I4505">
            <v>7.99</v>
          </cell>
        </row>
        <row r="4506">
          <cell r="A4506" t="str">
            <v>19-04505</v>
          </cell>
          <cell r="B4506" t="str">
            <v>ORKHON GROUP</v>
          </cell>
          <cell r="C4506" t="str">
            <v>A</v>
          </cell>
          <cell r="D4506" t="str">
            <v>N/A</v>
          </cell>
          <cell r="E4506" t="str">
            <v>S1603-47 ALTAMAR SOMBRERO</v>
          </cell>
          <cell r="F4506" t="str">
            <v>SOMBRERO</v>
          </cell>
          <cell r="G4506" t="str">
            <v>A007816</v>
          </cell>
          <cell r="H4506" t="str">
            <v>ALTAMAR</v>
          </cell>
          <cell r="I4506">
            <v>7.99</v>
          </cell>
        </row>
        <row r="4507">
          <cell r="A4507" t="str">
            <v>19-04506</v>
          </cell>
          <cell r="B4507" t="str">
            <v>ORKHON GROUP</v>
          </cell>
          <cell r="C4507" t="str">
            <v>A</v>
          </cell>
          <cell r="D4507" t="str">
            <v>N/A</v>
          </cell>
          <cell r="E4507" t="str">
            <v>S1603-48 ALTAMAR SOMBRERO</v>
          </cell>
          <cell r="F4507" t="str">
            <v>SOMBRERO</v>
          </cell>
          <cell r="G4507" t="str">
            <v>A007817</v>
          </cell>
          <cell r="H4507" t="str">
            <v>ALTAMAR</v>
          </cell>
          <cell r="I4507">
            <v>9.9640000000000004</v>
          </cell>
        </row>
        <row r="4508">
          <cell r="A4508" t="str">
            <v>19-04507</v>
          </cell>
          <cell r="B4508" t="str">
            <v>ORKHON GROUP</v>
          </cell>
          <cell r="C4508" t="str">
            <v>A</v>
          </cell>
          <cell r="D4508" t="str">
            <v>N/A</v>
          </cell>
          <cell r="E4508" t="str">
            <v>S1603-49 ALTAMAR SOMBRERO</v>
          </cell>
          <cell r="F4508" t="str">
            <v>SOMBRERO</v>
          </cell>
          <cell r="G4508" t="str">
            <v>A007818</v>
          </cell>
          <cell r="H4508" t="str">
            <v>ALTAMAR</v>
          </cell>
          <cell r="I4508">
            <v>9.8699999999999992</v>
          </cell>
        </row>
        <row r="4509">
          <cell r="A4509" t="str">
            <v>19-04508</v>
          </cell>
          <cell r="B4509" t="str">
            <v>ORKHON GROUP</v>
          </cell>
          <cell r="C4509" t="str">
            <v>A</v>
          </cell>
          <cell r="D4509" t="str">
            <v>N/A</v>
          </cell>
          <cell r="E4509" t="str">
            <v>S1603-50 ALTAMAR SOMBRERO</v>
          </cell>
          <cell r="F4509" t="str">
            <v>SOMBRERO</v>
          </cell>
          <cell r="G4509" t="str">
            <v>A007819</v>
          </cell>
          <cell r="H4509" t="str">
            <v>ALTAMAR</v>
          </cell>
          <cell r="I4509">
            <v>9.9640000000000004</v>
          </cell>
        </row>
        <row r="4510">
          <cell r="A4510" t="str">
            <v>19-04509</v>
          </cell>
          <cell r="B4510" t="str">
            <v>ORKHON GROUP</v>
          </cell>
          <cell r="C4510" t="str">
            <v>A</v>
          </cell>
          <cell r="D4510" t="str">
            <v>N/A</v>
          </cell>
          <cell r="E4510" t="str">
            <v>S1603-51 ALTAMAR SOMBRERO</v>
          </cell>
          <cell r="F4510" t="str">
            <v>SOMBRERO</v>
          </cell>
          <cell r="G4510" t="str">
            <v>A007820</v>
          </cell>
          <cell r="H4510" t="str">
            <v>ALTAMAR</v>
          </cell>
          <cell r="I4510">
            <v>9.6820000000000004</v>
          </cell>
        </row>
        <row r="4511">
          <cell r="A4511" t="str">
            <v>19-04510</v>
          </cell>
          <cell r="B4511" t="str">
            <v>ORKHON GROUP</v>
          </cell>
          <cell r="C4511" t="str">
            <v>A</v>
          </cell>
          <cell r="D4511" t="str">
            <v>N/A</v>
          </cell>
          <cell r="E4511" t="str">
            <v>A1603-30 ALTAMAR COLLAR</v>
          </cell>
          <cell r="F4511" t="str">
            <v>COLLAR</v>
          </cell>
          <cell r="G4511" t="str">
            <v>A007711</v>
          </cell>
          <cell r="H4511" t="str">
            <v>ALTAMAR</v>
          </cell>
          <cell r="I4511">
            <v>9.3059999999999992</v>
          </cell>
        </row>
        <row r="4512">
          <cell r="A4512" t="str">
            <v>19-04511</v>
          </cell>
          <cell r="B4512" t="str">
            <v>ORKHON GROUP</v>
          </cell>
          <cell r="C4512" t="str">
            <v>A</v>
          </cell>
          <cell r="D4512" t="str">
            <v>N/A</v>
          </cell>
          <cell r="E4512" t="str">
            <v>A1603-33 ALTAMAR COLLAR</v>
          </cell>
          <cell r="F4512" t="str">
            <v>COLLAR</v>
          </cell>
          <cell r="G4512" t="str">
            <v>A007712</v>
          </cell>
          <cell r="H4512" t="str">
            <v>ALTAMAR</v>
          </cell>
          <cell r="I4512">
            <v>9.3059999999999992</v>
          </cell>
        </row>
        <row r="4513">
          <cell r="A4513" t="str">
            <v>19-04512</v>
          </cell>
          <cell r="B4513" t="str">
            <v>ORKHON GROUP</v>
          </cell>
          <cell r="C4513" t="str">
            <v>A</v>
          </cell>
          <cell r="D4513" t="str">
            <v>N/A</v>
          </cell>
          <cell r="E4513" t="str">
            <v>A1603-34 ALTAMAR COLLAR</v>
          </cell>
          <cell r="F4513" t="str">
            <v>COLLAR</v>
          </cell>
          <cell r="G4513" t="str">
            <v>A007713</v>
          </cell>
          <cell r="H4513" t="str">
            <v>ALTAMAR</v>
          </cell>
          <cell r="I4513">
            <v>9.3049999999999997</v>
          </cell>
        </row>
        <row r="4514">
          <cell r="A4514" t="str">
            <v>19-04513</v>
          </cell>
          <cell r="B4514" t="str">
            <v>ORKHON GROUP</v>
          </cell>
          <cell r="C4514" t="str">
            <v>A</v>
          </cell>
          <cell r="D4514" t="str">
            <v>N/A</v>
          </cell>
          <cell r="E4514" t="str">
            <v>A1603-35 ALTAMAR COLLAR</v>
          </cell>
          <cell r="F4514" t="str">
            <v>COLLAR</v>
          </cell>
          <cell r="G4514" t="str">
            <v>A007714</v>
          </cell>
          <cell r="H4514" t="str">
            <v>ALTAMAR</v>
          </cell>
          <cell r="I4514">
            <v>9.3070000000000004</v>
          </cell>
        </row>
        <row r="4515">
          <cell r="A4515" t="str">
            <v>19-04514</v>
          </cell>
          <cell r="B4515" t="str">
            <v>ORKHON GROUP</v>
          </cell>
          <cell r="C4515" t="str">
            <v>A</v>
          </cell>
          <cell r="D4515" t="str">
            <v>N/A</v>
          </cell>
          <cell r="E4515" t="str">
            <v>A1603-36 ALTAMAR COLLAR</v>
          </cell>
          <cell r="F4515" t="str">
            <v>COLLAR</v>
          </cell>
          <cell r="G4515" t="str">
            <v>A007715</v>
          </cell>
          <cell r="H4515" t="str">
            <v>ALTAMAR</v>
          </cell>
          <cell r="I4515">
            <v>9.3070000000000004</v>
          </cell>
        </row>
        <row r="4516">
          <cell r="A4516" t="str">
            <v>19-04515</v>
          </cell>
          <cell r="B4516" t="str">
            <v>ORKHON GROUP</v>
          </cell>
          <cell r="C4516" t="str">
            <v>A</v>
          </cell>
          <cell r="D4516" t="str">
            <v>N/A</v>
          </cell>
          <cell r="E4516" t="str">
            <v>A1603-39 ALTAMAR COLLAR</v>
          </cell>
          <cell r="F4516" t="str">
            <v>COLLAR</v>
          </cell>
          <cell r="G4516" t="str">
            <v>A007716</v>
          </cell>
          <cell r="H4516" t="str">
            <v>ALTAMAR</v>
          </cell>
          <cell r="I4516">
            <v>8.7420000000000009</v>
          </cell>
        </row>
        <row r="4517">
          <cell r="A4517" t="str">
            <v>19-04516</v>
          </cell>
          <cell r="B4517" t="str">
            <v>ORKHON GROUP</v>
          </cell>
          <cell r="C4517" t="str">
            <v>A</v>
          </cell>
          <cell r="D4517" t="str">
            <v>N/A</v>
          </cell>
          <cell r="E4517" t="str">
            <v>A1603-42 ALTAMAR COLLAR</v>
          </cell>
          <cell r="F4517" t="str">
            <v>COLLAR</v>
          </cell>
          <cell r="G4517" t="str">
            <v>A007717</v>
          </cell>
          <cell r="H4517" t="str">
            <v>ALTAMAR</v>
          </cell>
          <cell r="I4517">
            <v>8.7420000000000009</v>
          </cell>
        </row>
        <row r="4518">
          <cell r="A4518" t="str">
            <v>19-04517</v>
          </cell>
          <cell r="B4518" t="str">
            <v>ORKHON GROUP</v>
          </cell>
          <cell r="C4518" t="str">
            <v>A</v>
          </cell>
          <cell r="D4518" t="str">
            <v>N/A</v>
          </cell>
          <cell r="E4518" t="str">
            <v>A1603-43 ALTAMAR COLLAR</v>
          </cell>
          <cell r="F4518" t="str">
            <v>COLLAR</v>
          </cell>
          <cell r="G4518" t="str">
            <v>A007718</v>
          </cell>
          <cell r="H4518" t="str">
            <v>ALTAMAR</v>
          </cell>
          <cell r="I4518">
            <v>8.7420000000000009</v>
          </cell>
        </row>
        <row r="4519">
          <cell r="A4519" t="str">
            <v>19-04518</v>
          </cell>
          <cell r="B4519" t="str">
            <v>ORKHON GROUP</v>
          </cell>
          <cell r="C4519" t="str">
            <v>A</v>
          </cell>
          <cell r="D4519" t="str">
            <v>N/A</v>
          </cell>
          <cell r="E4519" t="str">
            <v>A1603-46 ALTAMAR COLLAR</v>
          </cell>
          <cell r="F4519" t="str">
            <v>COLLAR</v>
          </cell>
          <cell r="G4519" t="str">
            <v>A007719</v>
          </cell>
          <cell r="H4519" t="str">
            <v>ALTAMAR</v>
          </cell>
          <cell r="I4519">
            <v>9.5879999999999992</v>
          </cell>
        </row>
        <row r="4520">
          <cell r="A4520" t="str">
            <v>19-04519</v>
          </cell>
          <cell r="B4520" t="str">
            <v>ORKHON GROUP</v>
          </cell>
          <cell r="C4520" t="str">
            <v>A</v>
          </cell>
          <cell r="D4520" t="str">
            <v>N/A</v>
          </cell>
          <cell r="E4520" t="str">
            <v>A1603-54 ALTAMAR COLLAR</v>
          </cell>
          <cell r="F4520" t="str">
            <v>COLLAR</v>
          </cell>
          <cell r="G4520" t="str">
            <v>A007720</v>
          </cell>
          <cell r="H4520" t="str">
            <v>ALTAMAR</v>
          </cell>
          <cell r="I4520">
            <v>10.528</v>
          </cell>
        </row>
        <row r="4521">
          <cell r="A4521" t="str">
            <v>19-04520</v>
          </cell>
          <cell r="B4521" t="str">
            <v>ORKHON GROUP</v>
          </cell>
          <cell r="C4521" t="str">
            <v>A</v>
          </cell>
          <cell r="D4521" t="str">
            <v>N/A</v>
          </cell>
          <cell r="E4521" t="str">
            <v>A1603-55 ALTAMAR COLLAR</v>
          </cell>
          <cell r="F4521" t="str">
            <v>COLLAR</v>
          </cell>
          <cell r="G4521" t="str">
            <v>A007721</v>
          </cell>
          <cell r="H4521" t="str">
            <v>ALTAMAR</v>
          </cell>
          <cell r="I4521">
            <v>10.528</v>
          </cell>
        </row>
        <row r="4522">
          <cell r="A4522" t="str">
            <v>19-04521</v>
          </cell>
          <cell r="B4522" t="str">
            <v>ORKHON GROUP</v>
          </cell>
          <cell r="C4522" t="str">
            <v>A</v>
          </cell>
          <cell r="D4522" t="str">
            <v>N/A</v>
          </cell>
          <cell r="E4522" t="str">
            <v>A1603-56 ALTAMAR COLLAR</v>
          </cell>
          <cell r="F4522" t="str">
            <v>COLLAR</v>
          </cell>
          <cell r="G4522" t="str">
            <v>A007722</v>
          </cell>
          <cell r="H4522" t="str">
            <v>ALTAMAR</v>
          </cell>
          <cell r="I4522">
            <v>10.528</v>
          </cell>
        </row>
        <row r="4523">
          <cell r="A4523" t="str">
            <v>19-04522</v>
          </cell>
          <cell r="B4523" t="str">
            <v>ORKHON GROUP</v>
          </cell>
          <cell r="C4523" t="str">
            <v>A</v>
          </cell>
          <cell r="D4523" t="str">
            <v>N/A</v>
          </cell>
          <cell r="E4523" t="str">
            <v>A1603-57 ALTAMAR COLLAR</v>
          </cell>
          <cell r="F4523" t="str">
            <v>COLLAR</v>
          </cell>
          <cell r="G4523" t="str">
            <v>A007723</v>
          </cell>
          <cell r="H4523" t="str">
            <v>ALTAMAR</v>
          </cell>
          <cell r="I4523">
            <v>10.53</v>
          </cell>
        </row>
        <row r="4524">
          <cell r="A4524" t="str">
            <v>19-04523</v>
          </cell>
          <cell r="B4524" t="str">
            <v>ORKHON GROUP</v>
          </cell>
          <cell r="C4524" t="str">
            <v>A</v>
          </cell>
          <cell r="D4524" t="str">
            <v>N/A</v>
          </cell>
          <cell r="E4524" t="str">
            <v>A1603-58 ALTAMAR COLLAR</v>
          </cell>
          <cell r="F4524" t="str">
            <v>COLLAR</v>
          </cell>
          <cell r="G4524" t="str">
            <v>A007724</v>
          </cell>
          <cell r="H4524" t="str">
            <v>ALTAMAR</v>
          </cell>
          <cell r="I4524">
            <v>10.528</v>
          </cell>
        </row>
        <row r="4525">
          <cell r="A4525" t="str">
            <v>19-04524</v>
          </cell>
          <cell r="B4525" t="str">
            <v>ORKHON GROUP</v>
          </cell>
          <cell r="C4525" t="str">
            <v>A</v>
          </cell>
          <cell r="D4525" t="str">
            <v>N/A</v>
          </cell>
          <cell r="E4525" t="str">
            <v>A1603-59 ALTAMAR COLLAR</v>
          </cell>
          <cell r="F4525" t="str">
            <v>COLLAR</v>
          </cell>
          <cell r="G4525" t="str">
            <v>A007725</v>
          </cell>
          <cell r="H4525" t="str">
            <v>ALTAMAR</v>
          </cell>
          <cell r="I4525">
            <v>10.528</v>
          </cell>
        </row>
        <row r="4526">
          <cell r="A4526" t="str">
            <v>19-04525</v>
          </cell>
          <cell r="B4526" t="str">
            <v>ORKHON GROUP</v>
          </cell>
          <cell r="C4526" t="str">
            <v>A</v>
          </cell>
          <cell r="D4526" t="str">
            <v>N/A</v>
          </cell>
          <cell r="E4526" t="str">
            <v>A1603-60 ALTAMAR COLLAR</v>
          </cell>
          <cell r="F4526" t="str">
            <v>COLLAR</v>
          </cell>
          <cell r="G4526" t="str">
            <v>A007726</v>
          </cell>
          <cell r="H4526" t="str">
            <v>ALTAMAR</v>
          </cell>
          <cell r="I4526">
            <v>10.528</v>
          </cell>
        </row>
        <row r="4527">
          <cell r="A4527" t="str">
            <v>19-04526</v>
          </cell>
          <cell r="B4527" t="str">
            <v>ORKHON GROUP</v>
          </cell>
          <cell r="C4527" t="str">
            <v>A</v>
          </cell>
          <cell r="D4527" t="str">
            <v>N/A</v>
          </cell>
          <cell r="E4527" t="str">
            <v>A1603-61 ALTAMAR COLLAR</v>
          </cell>
          <cell r="F4527" t="str">
            <v>COLLAR</v>
          </cell>
          <cell r="G4527" t="str">
            <v>A007727</v>
          </cell>
          <cell r="H4527" t="str">
            <v>ALTAMAR</v>
          </cell>
          <cell r="I4527">
            <v>10.528</v>
          </cell>
        </row>
        <row r="4528">
          <cell r="A4528" t="str">
            <v>19-04527</v>
          </cell>
          <cell r="B4528" t="str">
            <v>ORKHON GROUP</v>
          </cell>
          <cell r="C4528" t="str">
            <v>A</v>
          </cell>
          <cell r="D4528" t="str">
            <v>N/A</v>
          </cell>
          <cell r="E4528" t="str">
            <v>A1603-67 ALTAMAR COLLAR</v>
          </cell>
          <cell r="F4528" t="str">
            <v>COLLAR</v>
          </cell>
          <cell r="G4528" t="str">
            <v>A007728</v>
          </cell>
          <cell r="H4528" t="str">
            <v>ALTAMAR</v>
          </cell>
          <cell r="I4528">
            <v>7.8959999999999999</v>
          </cell>
        </row>
        <row r="4529">
          <cell r="A4529" t="str">
            <v>19-04528</v>
          </cell>
          <cell r="B4529" t="str">
            <v>ORKHON GROUP</v>
          </cell>
          <cell r="C4529" t="str">
            <v>A</v>
          </cell>
          <cell r="D4529" t="str">
            <v>N/A</v>
          </cell>
          <cell r="E4529" t="str">
            <v>A1603-71 ALTAMAR COLLAR</v>
          </cell>
          <cell r="F4529" t="str">
            <v>COLLAR</v>
          </cell>
          <cell r="G4529" t="str">
            <v>A007729</v>
          </cell>
          <cell r="H4529" t="str">
            <v>ALTAMAR</v>
          </cell>
          <cell r="I4529">
            <v>8.7420000000000009</v>
          </cell>
        </row>
        <row r="4530">
          <cell r="A4530" t="str">
            <v>19-04529</v>
          </cell>
          <cell r="B4530" t="str">
            <v>ORKHON GROUP</v>
          </cell>
          <cell r="C4530" t="str">
            <v>A</v>
          </cell>
          <cell r="D4530" t="str">
            <v>N/A</v>
          </cell>
          <cell r="E4530" t="str">
            <v>A1603-74 ALTAMAR COLLAR</v>
          </cell>
          <cell r="F4530" t="str">
            <v>COLLAR</v>
          </cell>
          <cell r="G4530" t="str">
            <v>A007730</v>
          </cell>
          <cell r="H4530" t="str">
            <v>ALTAMAR</v>
          </cell>
          <cell r="I4530">
            <v>8.7420000000000009</v>
          </cell>
        </row>
        <row r="4531">
          <cell r="A4531" t="str">
            <v>19-04530</v>
          </cell>
          <cell r="B4531" t="str">
            <v>ORKHON GROUP</v>
          </cell>
          <cell r="C4531" t="str">
            <v>A</v>
          </cell>
          <cell r="D4531" t="str">
            <v>N/A</v>
          </cell>
          <cell r="E4531" t="str">
            <v>A1603-75 ALTAMAR COLLAR</v>
          </cell>
          <cell r="F4531" t="str">
            <v>COLLAR</v>
          </cell>
          <cell r="G4531" t="str">
            <v>A007731</v>
          </cell>
          <cell r="H4531" t="str">
            <v>ALTAMAR</v>
          </cell>
          <cell r="I4531">
            <v>9.3070000000000004</v>
          </cell>
        </row>
        <row r="4532">
          <cell r="A4532" t="str">
            <v>19-04531</v>
          </cell>
          <cell r="B4532" t="str">
            <v>ORKHON GROUP</v>
          </cell>
          <cell r="C4532" t="str">
            <v>A</v>
          </cell>
          <cell r="D4532" t="str">
            <v>N/A</v>
          </cell>
          <cell r="E4532" t="str">
            <v>A1603-76 ALTAMAR COLLAR</v>
          </cell>
          <cell r="F4532" t="str">
            <v>COLLAR</v>
          </cell>
          <cell r="G4532" t="str">
            <v>A007732</v>
          </cell>
          <cell r="H4532" t="str">
            <v>ALTAMAR</v>
          </cell>
          <cell r="I4532">
            <v>9.3070000000000004</v>
          </cell>
        </row>
        <row r="4533">
          <cell r="A4533" t="str">
            <v>19-04532</v>
          </cell>
          <cell r="B4533" t="str">
            <v>ORKHON GROUP</v>
          </cell>
          <cell r="C4533" t="str">
            <v>A</v>
          </cell>
          <cell r="D4533" t="str">
            <v>N/A</v>
          </cell>
          <cell r="E4533" t="str">
            <v>A1603-78 ALTAMAR COLLAR</v>
          </cell>
          <cell r="F4533" t="str">
            <v>COLLAR</v>
          </cell>
          <cell r="G4533" t="str">
            <v>A007733</v>
          </cell>
          <cell r="H4533" t="str">
            <v>ALTAMAR</v>
          </cell>
          <cell r="I4533">
            <v>9.3059999999999992</v>
          </cell>
        </row>
        <row r="4534">
          <cell r="A4534" t="str">
            <v>19-04533</v>
          </cell>
          <cell r="B4534" t="str">
            <v>ORKHON GROUP</v>
          </cell>
          <cell r="C4534" t="str">
            <v>A</v>
          </cell>
          <cell r="D4534" t="str">
            <v>N/A</v>
          </cell>
          <cell r="E4534" t="str">
            <v>A1603-91 ALTAMAR COLLAR</v>
          </cell>
          <cell r="F4534" t="str">
            <v>COLLAR</v>
          </cell>
          <cell r="G4534" t="str">
            <v>A007734</v>
          </cell>
          <cell r="H4534" t="str">
            <v>ALTAMAR</v>
          </cell>
          <cell r="I4534">
            <v>9.5879999999999992</v>
          </cell>
        </row>
        <row r="4535">
          <cell r="A4535" t="str">
            <v>19-04534</v>
          </cell>
          <cell r="B4535" t="str">
            <v>ORKHON GROUP</v>
          </cell>
          <cell r="C4535" t="str">
            <v>A</v>
          </cell>
          <cell r="D4535" t="str">
            <v>N/A</v>
          </cell>
          <cell r="E4535" t="str">
            <v>A1603-01 ALTAMAR PULSERA FASHION</v>
          </cell>
          <cell r="F4535" t="str">
            <v>PULSERA</v>
          </cell>
          <cell r="G4535" t="str">
            <v>A007683</v>
          </cell>
          <cell r="H4535" t="str">
            <v>ALTAMAR</v>
          </cell>
          <cell r="I4535">
            <v>6.9569999999999999</v>
          </cell>
        </row>
        <row r="4536">
          <cell r="A4536" t="str">
            <v>19-04535</v>
          </cell>
          <cell r="B4536" t="str">
            <v>ORKHON GROUP</v>
          </cell>
          <cell r="C4536" t="str">
            <v>A</v>
          </cell>
          <cell r="D4536" t="str">
            <v>N/A</v>
          </cell>
          <cell r="E4536" t="str">
            <v>A1603-02 ALTAMAR PULSERA FASHION</v>
          </cell>
          <cell r="F4536" t="str">
            <v>PULSERA</v>
          </cell>
          <cell r="G4536" t="str">
            <v>A007684</v>
          </cell>
          <cell r="H4536" t="str">
            <v>ALTAMAR</v>
          </cell>
          <cell r="I4536">
            <v>9.4</v>
          </cell>
        </row>
        <row r="4537">
          <cell r="A4537" t="str">
            <v>19-04536</v>
          </cell>
          <cell r="B4537" t="str">
            <v>ORKHON GROUP</v>
          </cell>
          <cell r="C4537" t="str">
            <v>A</v>
          </cell>
          <cell r="D4537" t="str">
            <v>N/A</v>
          </cell>
          <cell r="E4537" t="str">
            <v>A1603-03 ALTAMAR PULSERA FASHION</v>
          </cell>
          <cell r="F4537" t="str">
            <v>PULSERA</v>
          </cell>
          <cell r="G4537" t="str">
            <v>A007685</v>
          </cell>
          <cell r="H4537" t="str">
            <v>ALTAMAR</v>
          </cell>
          <cell r="I4537">
            <v>11.938000000000001</v>
          </cell>
        </row>
        <row r="4538">
          <cell r="A4538" t="str">
            <v>19-04537</v>
          </cell>
          <cell r="B4538" t="str">
            <v>ORKHON GROUP</v>
          </cell>
          <cell r="C4538" t="str">
            <v>A</v>
          </cell>
          <cell r="D4538" t="str">
            <v>N/A</v>
          </cell>
          <cell r="E4538" t="str">
            <v>A1603-04 ALTAMAR PULSERA FASHION</v>
          </cell>
          <cell r="F4538" t="str">
            <v>PULSERA</v>
          </cell>
          <cell r="G4538" t="str">
            <v>A007686</v>
          </cell>
          <cell r="H4538" t="str">
            <v>ALTAMAR</v>
          </cell>
          <cell r="I4538">
            <v>12.502000000000001</v>
          </cell>
        </row>
        <row r="4539">
          <cell r="A4539" t="str">
            <v>19-04538</v>
          </cell>
          <cell r="B4539" t="str">
            <v>ORKHON GROUP</v>
          </cell>
          <cell r="C4539" t="str">
            <v>A</v>
          </cell>
          <cell r="D4539" t="str">
            <v>N/A</v>
          </cell>
          <cell r="E4539" t="str">
            <v>A1603-05 ALTAMAR PULSERA FASHION</v>
          </cell>
          <cell r="F4539" t="str">
            <v>PULSERA</v>
          </cell>
          <cell r="G4539" t="str">
            <v>A007687</v>
          </cell>
          <cell r="H4539" t="str">
            <v>ALTAMAR</v>
          </cell>
          <cell r="I4539">
            <v>5.452</v>
          </cell>
        </row>
        <row r="4540">
          <cell r="A4540" t="str">
            <v>19-04539</v>
          </cell>
          <cell r="B4540" t="str">
            <v>ORKHON GROUP</v>
          </cell>
          <cell r="C4540" t="str">
            <v>A</v>
          </cell>
          <cell r="D4540" t="str">
            <v>N/A</v>
          </cell>
          <cell r="E4540" t="str">
            <v>A1603-06 ALTAMAR PULSERA FASHION</v>
          </cell>
          <cell r="F4540" t="str">
            <v>PULSERA</v>
          </cell>
          <cell r="G4540" t="str">
            <v>A007688</v>
          </cell>
          <cell r="H4540" t="str">
            <v>ALTAMAR</v>
          </cell>
          <cell r="I4540">
            <v>11.938000000000001</v>
          </cell>
        </row>
        <row r="4541">
          <cell r="A4541" t="str">
            <v>19-04540</v>
          </cell>
          <cell r="B4541" t="str">
            <v>ORKHON GROUP</v>
          </cell>
          <cell r="C4541" t="str">
            <v>A</v>
          </cell>
          <cell r="D4541" t="str">
            <v>N/A</v>
          </cell>
          <cell r="E4541" t="str">
            <v>A1603-07 ALTAMAR PULSERA FASHION</v>
          </cell>
          <cell r="F4541" t="str">
            <v>PULSERA</v>
          </cell>
          <cell r="G4541" t="str">
            <v>A007689</v>
          </cell>
          <cell r="H4541" t="str">
            <v>ALTAMAR</v>
          </cell>
          <cell r="I4541">
            <v>6.016</v>
          </cell>
        </row>
        <row r="4542">
          <cell r="A4542" t="str">
            <v>19-04541</v>
          </cell>
          <cell r="B4542" t="str">
            <v>ORKHON GROUP</v>
          </cell>
          <cell r="C4542" t="str">
            <v>A</v>
          </cell>
          <cell r="D4542" t="str">
            <v>N/A</v>
          </cell>
          <cell r="E4542" t="str">
            <v>A1603-08 ALTAMAR PULSERA FASHION</v>
          </cell>
          <cell r="F4542" t="str">
            <v>PULSERA</v>
          </cell>
          <cell r="G4542" t="str">
            <v>A007690</v>
          </cell>
          <cell r="H4542" t="str">
            <v>ALTAMAR</v>
          </cell>
          <cell r="I4542">
            <v>9.4</v>
          </cell>
        </row>
        <row r="4543">
          <cell r="A4543" t="str">
            <v>19-04542</v>
          </cell>
          <cell r="B4543" t="str">
            <v>ORKHON GROUP</v>
          </cell>
          <cell r="C4543" t="str">
            <v>A</v>
          </cell>
          <cell r="D4543" t="str">
            <v>N/A</v>
          </cell>
          <cell r="E4543" t="str">
            <v>A1603-09 ALTAMAR PULSERA FASHION</v>
          </cell>
          <cell r="F4543" t="str">
            <v>PULSERA</v>
          </cell>
          <cell r="G4543" t="str">
            <v>A007691</v>
          </cell>
          <cell r="H4543" t="str">
            <v>ALTAMAR</v>
          </cell>
          <cell r="I4543">
            <v>7.1440000000000001</v>
          </cell>
        </row>
        <row r="4544">
          <cell r="A4544" t="str">
            <v>19-04543</v>
          </cell>
          <cell r="B4544" t="str">
            <v>ORKHON GROUP</v>
          </cell>
          <cell r="C4544" t="str">
            <v>A</v>
          </cell>
          <cell r="D4544" t="str">
            <v>N/A</v>
          </cell>
          <cell r="E4544" t="str">
            <v>A1603-10 ALTAMAR PULSERA FASHION</v>
          </cell>
          <cell r="F4544" t="str">
            <v>PULSERA</v>
          </cell>
          <cell r="G4544" t="str">
            <v>A007692</v>
          </cell>
          <cell r="H4544" t="str">
            <v>ALTAMAR</v>
          </cell>
          <cell r="I4544">
            <v>9.7759999999999998</v>
          </cell>
        </row>
        <row r="4545">
          <cell r="A4545" t="str">
            <v>19-04544</v>
          </cell>
          <cell r="B4545" t="str">
            <v>ORKHON GROUP</v>
          </cell>
          <cell r="C4545" t="str">
            <v>A</v>
          </cell>
          <cell r="D4545" t="str">
            <v>N/A</v>
          </cell>
          <cell r="E4545" t="str">
            <v>A1603-11 ALTAMAR PULSERA FASHION</v>
          </cell>
          <cell r="F4545" t="str">
            <v>PULSERA</v>
          </cell>
          <cell r="G4545" t="str">
            <v>A007693</v>
          </cell>
          <cell r="H4545" t="str">
            <v>ALTAMAR</v>
          </cell>
          <cell r="I4545">
            <v>4.7939999999999996</v>
          </cell>
        </row>
        <row r="4546">
          <cell r="A4546" t="str">
            <v>19-04545</v>
          </cell>
          <cell r="B4546" t="str">
            <v>ORKHON GROUP</v>
          </cell>
          <cell r="C4546" t="str">
            <v>A</v>
          </cell>
          <cell r="D4546" t="str">
            <v>N/A</v>
          </cell>
          <cell r="E4546" t="str">
            <v>A1603-12 ALTAMAR PULSERA FASHION</v>
          </cell>
          <cell r="F4546" t="str">
            <v>PULSERA</v>
          </cell>
          <cell r="G4546" t="str">
            <v>A007694</v>
          </cell>
          <cell r="H4546" t="str">
            <v>ALTAMAR</v>
          </cell>
          <cell r="I4546">
            <v>3.5720000000000001</v>
          </cell>
        </row>
        <row r="4547">
          <cell r="A4547" t="str">
            <v>19-04546</v>
          </cell>
          <cell r="B4547" t="str">
            <v>ORKHON GROUP</v>
          </cell>
          <cell r="C4547" t="str">
            <v>A</v>
          </cell>
          <cell r="D4547" t="str">
            <v>N/A</v>
          </cell>
          <cell r="E4547" t="str">
            <v>A1603-13 ALTAMAR PULSERA FASHION</v>
          </cell>
          <cell r="F4547" t="str">
            <v>PULSERA</v>
          </cell>
          <cell r="G4547" t="str">
            <v>A007695</v>
          </cell>
          <cell r="H4547" t="str">
            <v>ALTAMAR</v>
          </cell>
          <cell r="I4547">
            <v>4.3239999999999998</v>
          </cell>
        </row>
        <row r="4548">
          <cell r="A4548" t="str">
            <v>19-04547</v>
          </cell>
          <cell r="B4548" t="str">
            <v>ORKHON GROUP</v>
          </cell>
          <cell r="C4548" t="str">
            <v>A</v>
          </cell>
          <cell r="D4548" t="str">
            <v>N/A</v>
          </cell>
          <cell r="E4548" t="str">
            <v>A1603-14 ALTAMAR PULSERA FASHION</v>
          </cell>
          <cell r="F4548" t="str">
            <v>PULSERA</v>
          </cell>
          <cell r="G4548" t="str">
            <v>A007696</v>
          </cell>
          <cell r="H4548" t="str">
            <v>ALTAMAR</v>
          </cell>
          <cell r="I4548">
            <v>4.3230000000000004</v>
          </cell>
        </row>
        <row r="4549">
          <cell r="A4549" t="str">
            <v>19-04548</v>
          </cell>
          <cell r="B4549" t="str">
            <v>ORKHON GROUP</v>
          </cell>
          <cell r="C4549" t="str">
            <v>A</v>
          </cell>
          <cell r="D4549" t="str">
            <v>N/A</v>
          </cell>
          <cell r="E4549" t="str">
            <v>A1603-15 ALTAMAR PULSERA FASHION</v>
          </cell>
          <cell r="F4549" t="str">
            <v>PULSERA</v>
          </cell>
          <cell r="G4549" t="str">
            <v>A007697</v>
          </cell>
          <cell r="H4549" t="str">
            <v>ALTAMAR</v>
          </cell>
          <cell r="I4549">
            <v>4.3239999999999998</v>
          </cell>
        </row>
        <row r="4550">
          <cell r="A4550" t="str">
            <v>19-04549</v>
          </cell>
          <cell r="B4550" t="str">
            <v>ORKHON GROUP</v>
          </cell>
          <cell r="C4550" t="str">
            <v>A</v>
          </cell>
          <cell r="D4550" t="str">
            <v>N/A</v>
          </cell>
          <cell r="E4550" t="str">
            <v>A1603-16 ALTAMAR PULSERA FASHION</v>
          </cell>
          <cell r="F4550" t="str">
            <v>PULSERA</v>
          </cell>
          <cell r="G4550" t="str">
            <v>A007698</v>
          </cell>
          <cell r="H4550" t="str">
            <v>ALTAMAR</v>
          </cell>
          <cell r="I4550">
            <v>3.5720000000000001</v>
          </cell>
        </row>
        <row r="4551">
          <cell r="A4551" t="str">
            <v>19-04550</v>
          </cell>
          <cell r="B4551" t="str">
            <v>ORKHON GROUP</v>
          </cell>
          <cell r="C4551" t="str">
            <v>A</v>
          </cell>
          <cell r="D4551" t="str">
            <v>N/A</v>
          </cell>
          <cell r="E4551" t="str">
            <v>A1603-17 ALTAMAR PULSERA FASHION</v>
          </cell>
          <cell r="F4551" t="str">
            <v>PULSERA</v>
          </cell>
          <cell r="G4551" t="str">
            <v>A007699</v>
          </cell>
          <cell r="H4551" t="str">
            <v>ALTAMAR</v>
          </cell>
          <cell r="I4551">
            <v>3.5720000000000001</v>
          </cell>
        </row>
        <row r="4552">
          <cell r="A4552" t="str">
            <v>19-04551</v>
          </cell>
          <cell r="B4552" t="str">
            <v>ORKHON GROUP</v>
          </cell>
          <cell r="C4552" t="str">
            <v>A</v>
          </cell>
          <cell r="D4552" t="str">
            <v>N/A</v>
          </cell>
          <cell r="E4552" t="str">
            <v>A1603-18 ALTAMAR PULSERA FASHION</v>
          </cell>
          <cell r="F4552" t="str">
            <v>PULSERA</v>
          </cell>
          <cell r="G4552" t="str">
            <v>A007700</v>
          </cell>
          <cell r="H4552" t="str">
            <v>ALTAMAR</v>
          </cell>
          <cell r="I4552">
            <v>10.997999999999999</v>
          </cell>
        </row>
        <row r="4553">
          <cell r="A4553" t="str">
            <v>19-04552</v>
          </cell>
          <cell r="B4553" t="str">
            <v>ORKHON GROUP</v>
          </cell>
          <cell r="C4553" t="str">
            <v>A</v>
          </cell>
          <cell r="D4553" t="str">
            <v>N/A</v>
          </cell>
          <cell r="E4553" t="str">
            <v>A1603-19 ALTAMAR PULSERA FASHION</v>
          </cell>
          <cell r="F4553" t="str">
            <v>PULSERA</v>
          </cell>
          <cell r="G4553" t="str">
            <v>A007701</v>
          </cell>
          <cell r="H4553" t="str">
            <v>ALTAMAR</v>
          </cell>
          <cell r="I4553">
            <v>6.4859999999999998</v>
          </cell>
        </row>
        <row r="4554">
          <cell r="A4554" t="str">
            <v>19-04553</v>
          </cell>
          <cell r="B4554" t="str">
            <v>ORKHON GROUP</v>
          </cell>
          <cell r="C4554" t="str">
            <v>A</v>
          </cell>
          <cell r="D4554" t="str">
            <v>N/A</v>
          </cell>
          <cell r="E4554" t="str">
            <v>A1603-20 ALTAMAR PULSERA FASHION</v>
          </cell>
          <cell r="F4554" t="str">
            <v>PULSERA</v>
          </cell>
          <cell r="G4554" t="str">
            <v>A007702</v>
          </cell>
          <cell r="H4554" t="str">
            <v>ALTAMAR</v>
          </cell>
          <cell r="I4554">
            <v>6.4870000000000001</v>
          </cell>
        </row>
        <row r="4555">
          <cell r="A4555" t="str">
            <v>19-04554</v>
          </cell>
          <cell r="B4555" t="str">
            <v>ORKHON GROUP</v>
          </cell>
          <cell r="C4555" t="str">
            <v>A</v>
          </cell>
          <cell r="D4555" t="str">
            <v>N/A</v>
          </cell>
          <cell r="E4555" t="str">
            <v>A1603-24 ALTAMAR PULSERA FASHION</v>
          </cell>
          <cell r="F4555" t="str">
            <v>PULSERA</v>
          </cell>
          <cell r="G4555" t="str">
            <v>A007706</v>
          </cell>
          <cell r="H4555" t="str">
            <v>ALTAMAR</v>
          </cell>
          <cell r="I4555">
            <v>6.016</v>
          </cell>
        </row>
        <row r="4556">
          <cell r="A4556" t="str">
            <v>19-04555</v>
          </cell>
          <cell r="B4556" t="str">
            <v>ORKHON GROUP</v>
          </cell>
          <cell r="C4556" t="str">
            <v>A</v>
          </cell>
          <cell r="D4556" t="str">
            <v>N/A</v>
          </cell>
          <cell r="E4556" t="str">
            <v>A1603-25 ALTAMAR PULSERA FASHION</v>
          </cell>
          <cell r="F4556" t="str">
            <v>PULSERA</v>
          </cell>
          <cell r="G4556" t="str">
            <v>A007707</v>
          </cell>
          <cell r="H4556" t="str">
            <v>ALTAMAR</v>
          </cell>
          <cell r="I4556">
            <v>4.3239999999999998</v>
          </cell>
        </row>
        <row r="4557">
          <cell r="A4557" t="str">
            <v>19-04556</v>
          </cell>
          <cell r="B4557" t="str">
            <v>ORKHON GROUP</v>
          </cell>
          <cell r="C4557" t="str">
            <v>A</v>
          </cell>
          <cell r="D4557" t="str">
            <v>N/A</v>
          </cell>
          <cell r="E4557" t="str">
            <v>A1603-10 ALTAMAR PULSERA FASHION</v>
          </cell>
          <cell r="F4557" t="str">
            <v>PULSERA</v>
          </cell>
          <cell r="G4557" t="str">
            <v>A007747</v>
          </cell>
          <cell r="H4557" t="str">
            <v>ALTAMAR</v>
          </cell>
          <cell r="I4557">
            <v>3.4780000000000002</v>
          </cell>
        </row>
        <row r="4558">
          <cell r="A4558" t="str">
            <v>19-04557</v>
          </cell>
          <cell r="B4558" t="str">
            <v>NEILMED</v>
          </cell>
          <cell r="C4558" t="str">
            <v>A</v>
          </cell>
          <cell r="D4558" t="str">
            <v>NO</v>
          </cell>
          <cell r="E4558" t="str">
            <v>SINUGATOR 30 SOBRES</v>
          </cell>
          <cell r="F4558" t="str">
            <v>MEDICINA</v>
          </cell>
          <cell r="H4558" t="str">
            <v>NEILMED</v>
          </cell>
          <cell r="I4558">
            <v>23.279</v>
          </cell>
        </row>
        <row r="4559">
          <cell r="A4559" t="str">
            <v>19-04558</v>
          </cell>
          <cell r="B4559" t="str">
            <v>NEILMED</v>
          </cell>
          <cell r="C4559" t="str">
            <v>A</v>
          </cell>
          <cell r="D4559" t="str">
            <v>NO</v>
          </cell>
          <cell r="E4559" t="str">
            <v>NASOGEL SPRAY</v>
          </cell>
          <cell r="F4559" t="str">
            <v>MEDICINA</v>
          </cell>
          <cell r="H4559" t="str">
            <v>NEILMED</v>
          </cell>
          <cell r="I4559">
            <v>6.79</v>
          </cell>
        </row>
        <row r="4560">
          <cell r="A4560" t="str">
            <v>19-04559</v>
          </cell>
          <cell r="B4560" t="str">
            <v>NEILMED</v>
          </cell>
          <cell r="C4560" t="str">
            <v>A</v>
          </cell>
          <cell r="D4560" t="str">
            <v>NO</v>
          </cell>
          <cell r="E4560" t="str">
            <v>SINUSRINSE KIT 10 SOBRES</v>
          </cell>
          <cell r="F4560" t="str">
            <v>MEDICINA</v>
          </cell>
          <cell r="H4560" t="str">
            <v>NEILMED</v>
          </cell>
          <cell r="I4560">
            <v>7.1779999999999999</v>
          </cell>
        </row>
        <row r="4561">
          <cell r="A4561" t="str">
            <v>19-04560</v>
          </cell>
          <cell r="B4561" t="str">
            <v>NEILMED</v>
          </cell>
          <cell r="C4561" t="str">
            <v>A</v>
          </cell>
          <cell r="D4561" t="str">
            <v>NO</v>
          </cell>
          <cell r="E4561" t="str">
            <v>NASPIRA</v>
          </cell>
          <cell r="F4561" t="str">
            <v>CUIDADO PERSONAL</v>
          </cell>
          <cell r="H4561" t="str">
            <v>NEILMED</v>
          </cell>
          <cell r="I4561">
            <v>10.912000000000001</v>
          </cell>
        </row>
        <row r="4562">
          <cell r="A4562" t="str">
            <v>19-04561</v>
          </cell>
          <cell r="B4562" t="str">
            <v>NEILMED</v>
          </cell>
          <cell r="C4562" t="str">
            <v>A</v>
          </cell>
          <cell r="D4562" t="str">
            <v>NO</v>
          </cell>
          <cell r="E4562" t="str">
            <v>SINUS RINSE PEDIATRICO 30 SOBRES</v>
          </cell>
          <cell r="F4562" t="str">
            <v>MEDICINA</v>
          </cell>
          <cell r="H4562" t="str">
            <v>NEILMED</v>
          </cell>
          <cell r="I4562">
            <v>10.864000000000001</v>
          </cell>
        </row>
        <row r="4563">
          <cell r="A4563" t="str">
            <v>19-04562</v>
          </cell>
          <cell r="B4563" t="str">
            <v>NEILMED</v>
          </cell>
          <cell r="C4563" t="str">
            <v>A</v>
          </cell>
          <cell r="D4563" t="str">
            <v>NO</v>
          </cell>
          <cell r="E4563" t="str">
            <v>NASADROP 15 AMPOLLAS</v>
          </cell>
          <cell r="F4563" t="str">
            <v>MEDICINA</v>
          </cell>
          <cell r="H4563" t="str">
            <v>NEILMED</v>
          </cell>
          <cell r="I4563">
            <v>6.79</v>
          </cell>
        </row>
        <row r="4564">
          <cell r="A4564" t="str">
            <v>19-04563</v>
          </cell>
          <cell r="B4564" t="str">
            <v>NEILMED</v>
          </cell>
          <cell r="C4564" t="str">
            <v>A</v>
          </cell>
          <cell r="D4564" t="str">
            <v>NO</v>
          </cell>
          <cell r="E4564" t="str">
            <v>NASA MIST</v>
          </cell>
          <cell r="F4564" t="str">
            <v>MEDICINA</v>
          </cell>
          <cell r="H4564" t="str">
            <v>NEILMED</v>
          </cell>
          <cell r="I4564">
            <v>6.0629999999999997</v>
          </cell>
        </row>
        <row r="4565">
          <cell r="A4565" t="str">
            <v>19-04564</v>
          </cell>
          <cell r="B4565" t="str">
            <v>MOTTA INT.</v>
          </cell>
          <cell r="C4565" t="str">
            <v>A</v>
          </cell>
          <cell r="D4565" t="str">
            <v>NO</v>
          </cell>
          <cell r="E4565" t="str">
            <v>B5737 HASBRO DISNEY DESCENDANTS VILLAIN GENIE CHIC SURTIDO</v>
          </cell>
          <cell r="F4565" t="str">
            <v>JUGUETES</v>
          </cell>
          <cell r="G4565" t="str">
            <v>IHASB5737</v>
          </cell>
          <cell r="H4565" t="str">
            <v>HASBRO</v>
          </cell>
          <cell r="I4565">
            <v>17.2</v>
          </cell>
        </row>
        <row r="4566">
          <cell r="A4566" t="str">
            <v>19-04565</v>
          </cell>
          <cell r="B4566" t="str">
            <v>MOTTA INT.</v>
          </cell>
          <cell r="C4566" t="str">
            <v>A</v>
          </cell>
          <cell r="D4566" t="str">
            <v>NO</v>
          </cell>
          <cell r="E4566" t="str">
            <v>B5292 HASBRO DISNEY PRINCESS BASIC HAIR PLAY SURTIDO</v>
          </cell>
          <cell r="F4566" t="str">
            <v>JUGUETES</v>
          </cell>
          <cell r="G4566" t="str">
            <v>IHASB5292</v>
          </cell>
          <cell r="H4566" t="str">
            <v>HASBRO</v>
          </cell>
          <cell r="I4566">
            <v>15.11</v>
          </cell>
        </row>
        <row r="4567">
          <cell r="A4567" t="str">
            <v>19-04566</v>
          </cell>
          <cell r="B4567" t="str">
            <v>MOTTA INT.</v>
          </cell>
          <cell r="C4567" t="str">
            <v>A</v>
          </cell>
          <cell r="D4567" t="str">
            <v>NO</v>
          </cell>
          <cell r="E4567" t="str">
            <v>B5302 HASBRO DISNEY PRINCESS BUBBLE TIARA SURTIDO</v>
          </cell>
          <cell r="F4567" t="str">
            <v>JUGUETES</v>
          </cell>
          <cell r="G4567" t="str">
            <v>IHASB5302</v>
          </cell>
          <cell r="H4567" t="str">
            <v>HASBRO</v>
          </cell>
          <cell r="I4567">
            <v>15.11</v>
          </cell>
        </row>
        <row r="4568">
          <cell r="A4568" t="str">
            <v>19-04567</v>
          </cell>
          <cell r="B4568" t="str">
            <v>MOTTA INT.</v>
          </cell>
          <cell r="C4568" t="str">
            <v>A</v>
          </cell>
          <cell r="D4568" t="str">
            <v>NO</v>
          </cell>
          <cell r="E4568" t="str">
            <v>WB7369 HASBRO DISNEY PRINCESS CLASSIC ELENA OF AVALOR</v>
          </cell>
          <cell r="F4568" t="str">
            <v>JUGUETES</v>
          </cell>
          <cell r="G4568" t="str">
            <v>WB7369</v>
          </cell>
          <cell r="H4568" t="str">
            <v>HASBRO</v>
          </cell>
          <cell r="I4568">
            <v>12.78</v>
          </cell>
        </row>
        <row r="4569">
          <cell r="A4569" t="str">
            <v>19-04568</v>
          </cell>
          <cell r="B4569" t="str">
            <v>MOTTA INT.</v>
          </cell>
          <cell r="C4569" t="str">
            <v>A</v>
          </cell>
          <cell r="D4569" t="str">
            <v>NO</v>
          </cell>
          <cell r="E4569" t="str">
            <v>WB6447 HASBRO DISNEY PRINCESS CLASSIC FASHION DOLL SURTIDO</v>
          </cell>
          <cell r="F4569" t="str">
            <v>JUGUETES</v>
          </cell>
          <cell r="G4569" t="str">
            <v>WB6447</v>
          </cell>
          <cell r="H4569" t="str">
            <v>HASBRO</v>
          </cell>
          <cell r="I4569">
            <v>11.66</v>
          </cell>
        </row>
        <row r="4570">
          <cell r="A4570" t="str">
            <v>19-04569</v>
          </cell>
          <cell r="B4570" t="str">
            <v>MOTTA INT.</v>
          </cell>
          <cell r="C4570" t="str">
            <v>A</v>
          </cell>
          <cell r="D4570" t="str">
            <v>NO</v>
          </cell>
          <cell r="E4570" t="str">
            <v>WB5312 HASBRO DISNEY PRINCESS CUSTOMIZABLE FASHION DRESS</v>
          </cell>
          <cell r="F4570" t="str">
            <v>JUGUETES</v>
          </cell>
          <cell r="G4570" t="str">
            <v>WB5312</v>
          </cell>
          <cell r="H4570" t="str">
            <v>HASBRO</v>
          </cell>
          <cell r="I4570">
            <v>10.36</v>
          </cell>
        </row>
        <row r="4571">
          <cell r="A4571" t="str">
            <v>19-04570</v>
          </cell>
          <cell r="B4571" t="str">
            <v>MOTTA INT.</v>
          </cell>
          <cell r="C4571" t="str">
            <v>A</v>
          </cell>
          <cell r="D4571" t="str">
            <v>NO</v>
          </cell>
          <cell r="E4571" t="str">
            <v>B8293 HASBRO DISNEY PRINCESS MOANA ADVENTURE FIGURE</v>
          </cell>
          <cell r="F4571" t="str">
            <v>JUGUETES</v>
          </cell>
          <cell r="G4571" t="str">
            <v>IHASB8293</v>
          </cell>
          <cell r="H4571" t="str">
            <v>HASBRO</v>
          </cell>
          <cell r="I4571">
            <v>12.83</v>
          </cell>
        </row>
        <row r="4572">
          <cell r="A4572" t="str">
            <v>19-04571</v>
          </cell>
          <cell r="B4572" t="str">
            <v>MOTTA INT.</v>
          </cell>
          <cell r="C4572" t="str">
            <v>A</v>
          </cell>
          <cell r="D4572" t="str">
            <v>NO</v>
          </cell>
          <cell r="E4572" t="str">
            <v>WB5347 HASBRO DISNEY PRINCESS ROYAL SPARKLE COLLECTION</v>
          </cell>
          <cell r="F4572" t="str">
            <v>JUGUETES</v>
          </cell>
          <cell r="G4572" t="str">
            <v>WB5347</v>
          </cell>
          <cell r="H4572" t="str">
            <v>HASBRO</v>
          </cell>
          <cell r="I4572">
            <v>12.11</v>
          </cell>
        </row>
        <row r="4573">
          <cell r="A4573" t="str">
            <v>19-04572</v>
          </cell>
          <cell r="B4573" t="str">
            <v>MOTTA INT.</v>
          </cell>
          <cell r="C4573" t="str">
            <v>A</v>
          </cell>
          <cell r="D4573" t="str">
            <v>NO</v>
          </cell>
          <cell r="E4573" t="str">
            <v>WB5321 HASBRO DISNEY PRINCESS SMALL DOLL 3" SURTIDO</v>
          </cell>
          <cell r="F4573" t="str">
            <v>JUGUETES</v>
          </cell>
          <cell r="G4573" t="str">
            <v>WB5321</v>
          </cell>
          <cell r="H4573" t="str">
            <v>HASBRO</v>
          </cell>
          <cell r="I4573">
            <v>4.51</v>
          </cell>
        </row>
        <row r="4574">
          <cell r="A4574" t="str">
            <v>19-04573</v>
          </cell>
          <cell r="B4574" t="str">
            <v>MOTTA INT.</v>
          </cell>
          <cell r="C4574" t="str">
            <v>A</v>
          </cell>
          <cell r="D4574" t="str">
            <v>NO</v>
          </cell>
          <cell r="E4574" t="str">
            <v>B5334 HASBRO DISNEY PRINCESS SMALL DOLL PLAY ACCES SURTIDO</v>
          </cell>
          <cell r="F4574" t="str">
            <v>JUGUETES</v>
          </cell>
          <cell r="G4574" t="str">
            <v>IHASB5334</v>
          </cell>
          <cell r="H4574" t="str">
            <v>HASBRO</v>
          </cell>
          <cell r="I4574">
            <v>0</v>
          </cell>
        </row>
        <row r="4575">
          <cell r="A4575" t="str">
            <v>19-04574</v>
          </cell>
          <cell r="B4575" t="str">
            <v>MOTTA INT.</v>
          </cell>
          <cell r="C4575" t="str">
            <v>A</v>
          </cell>
          <cell r="D4575" t="str">
            <v>NO</v>
          </cell>
          <cell r="E4575" t="str">
            <v>B5341 HASBRO DISNEY PRINCESS SMALL DOLL STORY MOMENTS SURTIDO</v>
          </cell>
          <cell r="F4575" t="str">
            <v>JUGUETES</v>
          </cell>
          <cell r="G4575" t="str">
            <v>IHASB5341</v>
          </cell>
          <cell r="H4575" t="str">
            <v>HASBRO</v>
          </cell>
          <cell r="I4575">
            <v>11.9</v>
          </cell>
        </row>
        <row r="4576">
          <cell r="A4576" t="str">
            <v>19-04575</v>
          </cell>
          <cell r="B4576" t="str">
            <v>MOTTA INT.</v>
          </cell>
          <cell r="C4576" t="str">
            <v>A</v>
          </cell>
          <cell r="D4576" t="str">
            <v>NO</v>
          </cell>
          <cell r="E4576" t="str">
            <v>B5295 HASBRO DISNEY PRINCESS STORY SKIRT SURTIDO</v>
          </cell>
          <cell r="F4576" t="str">
            <v>JUGUETES</v>
          </cell>
          <cell r="G4576" t="str">
            <v>IHASB5295</v>
          </cell>
          <cell r="H4576" t="str">
            <v>HASBRO</v>
          </cell>
          <cell r="I4576">
            <v>16.7</v>
          </cell>
        </row>
        <row r="4577">
          <cell r="A4577" t="str">
            <v>19-04576</v>
          </cell>
          <cell r="B4577" t="str">
            <v>MOTTA INT.</v>
          </cell>
          <cell r="C4577" t="str">
            <v>A</v>
          </cell>
          <cell r="D4577" t="str">
            <v>NO</v>
          </cell>
          <cell r="E4577" t="str">
            <v>B6699 HASBRO FROZEN COLOR CHANGE FASHION DOLL SURTIDO</v>
          </cell>
          <cell r="F4577" t="str">
            <v>JUGUETES</v>
          </cell>
          <cell r="G4577" t="str">
            <v>IHASB6699</v>
          </cell>
          <cell r="H4577" t="str">
            <v>HASBRO</v>
          </cell>
          <cell r="I4577">
            <v>16.7</v>
          </cell>
        </row>
        <row r="4578">
          <cell r="A4578" t="str">
            <v>19-04577</v>
          </cell>
          <cell r="B4578" t="str">
            <v>MOTTA INT.</v>
          </cell>
          <cell r="C4578" t="str">
            <v>A</v>
          </cell>
          <cell r="D4578" t="str">
            <v>NO</v>
          </cell>
          <cell r="E4578" t="str">
            <v>B5197 HASBRO FROZEN ELSAS CASTLE</v>
          </cell>
          <cell r="F4578" t="str">
            <v>JUGUETES</v>
          </cell>
          <cell r="G4578" t="str">
            <v>IHASB5197</v>
          </cell>
          <cell r="H4578" t="str">
            <v>HASBRO</v>
          </cell>
          <cell r="I4578">
            <v>16.7</v>
          </cell>
        </row>
        <row r="4579">
          <cell r="A4579" t="str">
            <v>19-04578</v>
          </cell>
          <cell r="B4579" t="str">
            <v>MOTTA INT.</v>
          </cell>
          <cell r="C4579" t="str">
            <v>A</v>
          </cell>
          <cell r="D4579" t="str">
            <v>NO</v>
          </cell>
          <cell r="E4579" t="str">
            <v>WB6162 HASBRO FROZEN FASHION DOLL GLOW GEM SURTIDO</v>
          </cell>
          <cell r="F4579" t="str">
            <v>JUGUETES</v>
          </cell>
          <cell r="G4579" t="str">
            <v>WB6162</v>
          </cell>
          <cell r="H4579" t="str">
            <v>HASBRO</v>
          </cell>
          <cell r="I4579">
            <v>10.039999999999999</v>
          </cell>
        </row>
        <row r="4580">
          <cell r="A4580" t="str">
            <v>19-04579</v>
          </cell>
          <cell r="B4580" t="str">
            <v>MOTTA INT.</v>
          </cell>
          <cell r="C4580" t="str">
            <v>A</v>
          </cell>
          <cell r="D4580" t="str">
            <v>NO</v>
          </cell>
          <cell r="E4580" t="str">
            <v>WC1096 HASBRO FROZEN SMALL DOLL SURTIDO</v>
          </cell>
          <cell r="F4580" t="str">
            <v>JUGUETES</v>
          </cell>
          <cell r="G4580" t="str">
            <v>WC1096</v>
          </cell>
          <cell r="H4580" t="str">
            <v>HASBRO</v>
          </cell>
          <cell r="I4580">
            <v>4.47</v>
          </cell>
        </row>
        <row r="4581">
          <cell r="A4581" t="str">
            <v>19-04580</v>
          </cell>
          <cell r="B4581" t="str">
            <v>MOTTA INT.</v>
          </cell>
          <cell r="C4581" t="str">
            <v>A</v>
          </cell>
          <cell r="D4581" t="str">
            <v>NO</v>
          </cell>
          <cell r="E4581" t="str">
            <v>WB5188 HASBRO FROZEN SMALL DOLL AND ACCESSORY SURTIDO</v>
          </cell>
          <cell r="F4581" t="str">
            <v>JUGUETES</v>
          </cell>
          <cell r="G4581" t="str">
            <v>WB5188</v>
          </cell>
          <cell r="H4581" t="str">
            <v>HASBRO</v>
          </cell>
          <cell r="I4581">
            <v>9.39</v>
          </cell>
        </row>
        <row r="4582">
          <cell r="A4582" t="str">
            <v>19-04581</v>
          </cell>
          <cell r="B4582" t="str">
            <v>MOTTA INT.</v>
          </cell>
          <cell r="C4582" t="str">
            <v>A</v>
          </cell>
          <cell r="D4582" t="str">
            <v>NO</v>
          </cell>
          <cell r="E4582" t="str">
            <v>B1658 HASBRO MR POTATO HEAD CLASSIC STAR WARS SURTIDO</v>
          </cell>
          <cell r="F4582" t="str">
            <v>JUGUETES</v>
          </cell>
          <cell r="G4582" t="str">
            <v>IHASB1658</v>
          </cell>
          <cell r="H4582" t="str">
            <v>HASBRO</v>
          </cell>
          <cell r="I4582">
            <v>10.83</v>
          </cell>
        </row>
        <row r="4583">
          <cell r="A4583" t="str">
            <v>19-04582</v>
          </cell>
          <cell r="B4583" t="str">
            <v>MOTTA INT.</v>
          </cell>
          <cell r="C4583" t="str">
            <v>A</v>
          </cell>
          <cell r="D4583" t="str">
            <v>NO</v>
          </cell>
          <cell r="E4583" t="str">
            <v>B1671 HASBRO MR POTATO HEAD LITTLE TATERS VALUE SURTIDO</v>
          </cell>
          <cell r="F4583" t="str">
            <v>JUGUETES</v>
          </cell>
          <cell r="G4583" t="str">
            <v>IHASB1671</v>
          </cell>
          <cell r="H4583" t="str">
            <v>HASBRO</v>
          </cell>
          <cell r="I4583">
            <v>3.8</v>
          </cell>
        </row>
        <row r="4584">
          <cell r="A4584" t="str">
            <v>19-04583</v>
          </cell>
          <cell r="B4584" t="str">
            <v>MOTTA INT.</v>
          </cell>
          <cell r="C4584" t="str">
            <v>A</v>
          </cell>
          <cell r="D4584" t="str">
            <v>NO</v>
          </cell>
          <cell r="E4584" t="str">
            <v>B6452 HASBRO MR POTATO HEAD MARVEL MASHUP 2PACK DELUXE SURTIDO</v>
          </cell>
          <cell r="F4584" t="str">
            <v>JUGUETES</v>
          </cell>
          <cell r="G4584" t="str">
            <v>IHASB6452</v>
          </cell>
          <cell r="H4584" t="str">
            <v>HASBRO</v>
          </cell>
          <cell r="I4584">
            <v>8.31</v>
          </cell>
        </row>
        <row r="4585">
          <cell r="A4585" t="str">
            <v>19-04584</v>
          </cell>
          <cell r="B4585" t="str">
            <v>MOTTA INT.</v>
          </cell>
          <cell r="C4585" t="str">
            <v>A</v>
          </cell>
          <cell r="D4585" t="str">
            <v>NO</v>
          </cell>
          <cell r="E4585" t="str">
            <v>WA7283 HASBRO MR POTATO HEAD MASH UPS MARVEL SURTIDO</v>
          </cell>
          <cell r="F4585" t="str">
            <v>JUGUETES</v>
          </cell>
          <cell r="G4585" t="str">
            <v>WA7283</v>
          </cell>
          <cell r="H4585" t="str">
            <v>HASBRO</v>
          </cell>
          <cell r="I4585">
            <v>3.09</v>
          </cell>
        </row>
        <row r="4586">
          <cell r="A4586" t="str">
            <v>19-04585</v>
          </cell>
          <cell r="B4586" t="str">
            <v>MOTTA INT.</v>
          </cell>
          <cell r="C4586" t="str">
            <v>A</v>
          </cell>
          <cell r="D4586" t="str">
            <v>NO</v>
          </cell>
          <cell r="E4586" t="str">
            <v>A7273 HASBRO MR POTATO HEAD MASH UPS TRANSFORMER 2PACK FIG</v>
          </cell>
          <cell r="F4586" t="str">
            <v>JUGUETES</v>
          </cell>
          <cell r="G4586" t="str">
            <v>IHASA7273</v>
          </cell>
          <cell r="H4586" t="str">
            <v>HASBRO</v>
          </cell>
          <cell r="I4586">
            <v>0</v>
          </cell>
        </row>
        <row r="4587">
          <cell r="A4587" t="str">
            <v>19-04586</v>
          </cell>
          <cell r="B4587" t="str">
            <v>MOTTA INT.</v>
          </cell>
          <cell r="C4587" t="str">
            <v>A</v>
          </cell>
          <cell r="D4587" t="str">
            <v>NO</v>
          </cell>
          <cell r="E4587" t="str">
            <v>WB0276 HASBRO MR POTATOE HEAD MARVEL CLASSIC SCALE SURTIDO</v>
          </cell>
          <cell r="F4587" t="str">
            <v>JUGUETES</v>
          </cell>
          <cell r="G4587" t="str">
            <v>WB0276</v>
          </cell>
          <cell r="H4587" t="str">
            <v>HASBRO</v>
          </cell>
          <cell r="I4587">
            <v>12.05</v>
          </cell>
        </row>
        <row r="4588">
          <cell r="A4588" t="str">
            <v>19-04587</v>
          </cell>
          <cell r="B4588" t="str">
            <v>MOTTA INT.</v>
          </cell>
          <cell r="C4588" t="str">
            <v>A</v>
          </cell>
          <cell r="D4588" t="str">
            <v>NO</v>
          </cell>
          <cell r="E4588" t="str">
            <v>B0093 HASBRO MR. POTATOE HEAD SPUD THEME SET SURTIDO</v>
          </cell>
          <cell r="F4588" t="str">
            <v>JUGUETES</v>
          </cell>
          <cell r="G4588" t="str">
            <v>IHASB0093</v>
          </cell>
          <cell r="H4588" t="str">
            <v>HASBRO</v>
          </cell>
          <cell r="I4588">
            <v>0</v>
          </cell>
        </row>
        <row r="4589">
          <cell r="A4589" t="str">
            <v>19-04588</v>
          </cell>
          <cell r="B4589" t="str">
            <v>MOTTA INT.</v>
          </cell>
          <cell r="C4589" t="str">
            <v>A</v>
          </cell>
          <cell r="D4589" t="str">
            <v>NO</v>
          </cell>
          <cell r="E4589" t="str">
            <v>WB0368 HASBRO MY LITTLE PONY BASIC 8" PONY SURTIDO</v>
          </cell>
          <cell r="F4589" t="str">
            <v>JUGUETES</v>
          </cell>
          <cell r="G4589" t="str">
            <v>WB0368</v>
          </cell>
          <cell r="H4589" t="str">
            <v>HASBRO</v>
          </cell>
          <cell r="I4589">
            <v>7.79</v>
          </cell>
        </row>
        <row r="4590">
          <cell r="A4590" t="str">
            <v>19-04589</v>
          </cell>
          <cell r="B4590" t="str">
            <v>MOTTA INT.</v>
          </cell>
          <cell r="C4590" t="str">
            <v>A</v>
          </cell>
          <cell r="D4590" t="str">
            <v>NO</v>
          </cell>
          <cell r="E4590" t="str">
            <v>B0358 HASBRO MY LITTLE PONY CUTIE MARK MAGIC DELUXE WINGED</v>
          </cell>
          <cell r="F4590" t="str">
            <v>JUGUETES</v>
          </cell>
          <cell r="G4590" t="str">
            <v>IHASB0358</v>
          </cell>
          <cell r="H4590" t="str">
            <v>HASBRO</v>
          </cell>
          <cell r="I4590">
            <v>0</v>
          </cell>
        </row>
        <row r="4591">
          <cell r="A4591" t="str">
            <v>19-04590</v>
          </cell>
          <cell r="B4591" t="str">
            <v>MOTTA INT.</v>
          </cell>
          <cell r="C4591" t="str">
            <v>A</v>
          </cell>
          <cell r="D4591" t="str">
            <v>NO</v>
          </cell>
          <cell r="E4591" t="str">
            <v>B0384AS03 HASBRO MY LITTLE PONY CUTIE MARK MAGIC FRIENDS</v>
          </cell>
          <cell r="F4591" t="str">
            <v>JUGUETES</v>
          </cell>
          <cell r="G4591" t="str">
            <v>IHASB0384AS03</v>
          </cell>
          <cell r="H4591" t="str">
            <v>HASBRO</v>
          </cell>
          <cell r="I4591">
            <v>0</v>
          </cell>
        </row>
        <row r="4592">
          <cell r="A4592" t="str">
            <v>19-04591</v>
          </cell>
          <cell r="B4592" t="str">
            <v>MOTTA INT.</v>
          </cell>
          <cell r="C4592" t="str">
            <v>A</v>
          </cell>
          <cell r="D4592" t="str">
            <v>NO</v>
          </cell>
          <cell r="E4592" t="str">
            <v>WB6128 HASBRO MY LITTLE PONY EG BASIC ITEM SURTIDO</v>
          </cell>
          <cell r="F4592" t="str">
            <v>JUGUETES</v>
          </cell>
          <cell r="G4592" t="str">
            <v>WB6128</v>
          </cell>
          <cell r="H4592" t="str">
            <v>HASBRO</v>
          </cell>
          <cell r="I4592">
            <v>5.13</v>
          </cell>
        </row>
        <row r="4593">
          <cell r="A4593" t="str">
            <v>19-04592</v>
          </cell>
          <cell r="B4593" t="str">
            <v>MOTTA INT.</v>
          </cell>
          <cell r="C4593" t="str">
            <v>A</v>
          </cell>
          <cell r="D4593" t="str">
            <v>NO</v>
          </cell>
          <cell r="E4593" t="str">
            <v>B4910 HASBRO MY LITTLE PONY EG MINIS FRIENDSHIP PACK SURTIDO</v>
          </cell>
          <cell r="F4593" t="str">
            <v>JUGUETES</v>
          </cell>
          <cell r="G4593" t="str">
            <v>IHASB4910</v>
          </cell>
          <cell r="H4593" t="str">
            <v>HASBRO</v>
          </cell>
          <cell r="I4593">
            <v>0</v>
          </cell>
        </row>
        <row r="4594">
          <cell r="A4594" t="str">
            <v>19-04593</v>
          </cell>
          <cell r="B4594" t="str">
            <v>MOTTA INT.</v>
          </cell>
          <cell r="C4594" t="str">
            <v>A</v>
          </cell>
          <cell r="D4594" t="str">
            <v>NO</v>
          </cell>
          <cell r="E4594" t="str">
            <v>B3602 HASBRO MY LITTLE PONY EXPLORE EQUESTRIA ACTION</v>
          </cell>
          <cell r="F4594" t="str">
            <v>JUGUETES</v>
          </cell>
          <cell r="G4594" t="str">
            <v>IHASB3602</v>
          </cell>
          <cell r="H4594" t="str">
            <v>HASBRO</v>
          </cell>
          <cell r="I4594">
            <v>8.1</v>
          </cell>
        </row>
        <row r="4595">
          <cell r="A4595" t="str">
            <v>19-04594</v>
          </cell>
          <cell r="B4595" t="str">
            <v>MOTTA INT.</v>
          </cell>
          <cell r="C4595" t="str">
            <v>A</v>
          </cell>
          <cell r="D4595" t="str">
            <v>NO</v>
          </cell>
          <cell r="E4595" t="str">
            <v>B3603 HASBRO MY LITTLE PONY EXPLORE EQUESTRIA HAIR PLAY</v>
          </cell>
          <cell r="F4595" t="str">
            <v>JUGUETES</v>
          </cell>
          <cell r="G4595" t="str">
            <v>IHASB3603</v>
          </cell>
          <cell r="H4595" t="str">
            <v>HASBRO</v>
          </cell>
          <cell r="I4595">
            <v>12.1</v>
          </cell>
        </row>
        <row r="4596">
          <cell r="A4596" t="str">
            <v>19-04595</v>
          </cell>
          <cell r="B4596" t="str">
            <v>MOTTA INT.</v>
          </cell>
          <cell r="C4596" t="str">
            <v>A</v>
          </cell>
          <cell r="D4596" t="str">
            <v>NO</v>
          </cell>
          <cell r="E4596" t="str">
            <v>WB3598 HASBRO MY LITTLE PONY EXPLORE EQUESTRIA POSEABLE</v>
          </cell>
          <cell r="F4596" t="str">
            <v>JUGUETES</v>
          </cell>
          <cell r="G4596" t="str">
            <v>WB3598</v>
          </cell>
          <cell r="H4596" t="str">
            <v>HASBRO</v>
          </cell>
          <cell r="I4596">
            <v>7.03</v>
          </cell>
        </row>
        <row r="4597">
          <cell r="A4597" t="str">
            <v>19-04596</v>
          </cell>
          <cell r="B4597" t="str">
            <v>MOTTA INT.</v>
          </cell>
          <cell r="C4597" t="str">
            <v>A</v>
          </cell>
          <cell r="D4597" t="str">
            <v>NO</v>
          </cell>
          <cell r="E4597" t="str">
            <v>B5362 HASBRO MY LITTLE PONY EXPLORE EQUESTRIA SPARKLE BRIGHT</v>
          </cell>
          <cell r="F4597" t="str">
            <v>JUGUETES</v>
          </cell>
          <cell r="G4597" t="str">
            <v>IHASB5362</v>
          </cell>
          <cell r="H4597" t="str">
            <v>HASBRO</v>
          </cell>
          <cell r="I4597">
            <v>0</v>
          </cell>
        </row>
        <row r="4598">
          <cell r="A4598" t="str">
            <v>19-04597</v>
          </cell>
          <cell r="B4598" t="str">
            <v>MOTTA INT.</v>
          </cell>
          <cell r="C4598" t="str">
            <v>A</v>
          </cell>
          <cell r="D4598" t="str">
            <v>NO</v>
          </cell>
          <cell r="E4598" t="str">
            <v>A7402AS00 HASBRO PLAY DOH DISNEY PRINCESS FIGURE SURTIDO</v>
          </cell>
          <cell r="F4598" t="str">
            <v>JUGUETES</v>
          </cell>
          <cell r="G4598" t="str">
            <v>IHASA7402AS00</v>
          </cell>
          <cell r="H4598" t="str">
            <v>HASBRO</v>
          </cell>
          <cell r="I4598">
            <v>0</v>
          </cell>
        </row>
        <row r="4599">
          <cell r="A4599" t="str">
            <v>19-04598</v>
          </cell>
          <cell r="B4599" t="str">
            <v>MOTTA INT.</v>
          </cell>
          <cell r="C4599" t="str">
            <v>A</v>
          </cell>
          <cell r="D4599" t="str">
            <v>NO</v>
          </cell>
          <cell r="E4599" t="str">
            <v>B1860 HASBRO PLAY DOH DISNEY PRINCESS FROZEN SLED</v>
          </cell>
          <cell r="F4599" t="str">
            <v>JUGUETES</v>
          </cell>
          <cell r="G4599" t="str">
            <v>IHASB1860</v>
          </cell>
          <cell r="H4599" t="str">
            <v>HASBRO</v>
          </cell>
          <cell r="I4599">
            <v>12.1</v>
          </cell>
        </row>
        <row r="4600">
          <cell r="A4600" t="str">
            <v>19-04599</v>
          </cell>
          <cell r="B4600" t="str">
            <v>MOTTA INT.</v>
          </cell>
          <cell r="C4600" t="str">
            <v>A</v>
          </cell>
          <cell r="D4600" t="str">
            <v>NO</v>
          </cell>
          <cell r="E4600" t="str">
            <v>A6881 HASBRO PLAY DOH MAGICAL DESIGNS</v>
          </cell>
          <cell r="F4600" t="str">
            <v>JUGUETES</v>
          </cell>
          <cell r="G4600" t="str">
            <v>IHASA6881</v>
          </cell>
          <cell r="H4600" t="str">
            <v>HASBRO</v>
          </cell>
          <cell r="I4600">
            <v>15.1</v>
          </cell>
        </row>
        <row r="4601">
          <cell r="A4601" t="str">
            <v>19-04600</v>
          </cell>
          <cell r="B4601" t="str">
            <v>MOTTA INT.</v>
          </cell>
          <cell r="C4601" t="str">
            <v>A</v>
          </cell>
          <cell r="D4601" t="str">
            <v>NO</v>
          </cell>
          <cell r="E4601" t="str">
            <v>WB5536 HASBRO PLAY DOH STAR WARS AT AT ATTACK</v>
          </cell>
          <cell r="F4601" t="str">
            <v>JUGUETES</v>
          </cell>
          <cell r="G4601" t="str">
            <v>WB5536</v>
          </cell>
          <cell r="H4601" t="str">
            <v>HASBRO</v>
          </cell>
          <cell r="I4601">
            <v>5.01</v>
          </cell>
        </row>
        <row r="4602">
          <cell r="A4602" t="str">
            <v>19-04601</v>
          </cell>
          <cell r="B4602" t="str">
            <v>MOTTA INT.</v>
          </cell>
          <cell r="C4602" t="str">
            <v>A</v>
          </cell>
          <cell r="D4602" t="str">
            <v>NO</v>
          </cell>
          <cell r="E4602" t="str">
            <v>B6290 HASBRO PLAYSKOOL FOLD N GO CUDDLER SURTIDO</v>
          </cell>
          <cell r="F4602" t="str">
            <v>JUGUETES</v>
          </cell>
          <cell r="G4602" t="str">
            <v>IHASB6290</v>
          </cell>
          <cell r="H4602" t="str">
            <v>HASBRO</v>
          </cell>
          <cell r="I4602">
            <v>0</v>
          </cell>
        </row>
        <row r="4603">
          <cell r="A4603" t="str">
            <v>19-04602</v>
          </cell>
          <cell r="B4603" t="str">
            <v>MOTTA INT.</v>
          </cell>
          <cell r="C4603" t="str">
            <v>A</v>
          </cell>
          <cell r="D4603" t="str">
            <v>NO</v>
          </cell>
          <cell r="E4603" t="str">
            <v>WB4533 HASBRO PLAYSKOOL FOLD N ROLL TRUCKS SURTIDO</v>
          </cell>
          <cell r="F4603" t="str">
            <v>JUGUETES</v>
          </cell>
          <cell r="G4603" t="str">
            <v>WB4533</v>
          </cell>
          <cell r="H4603" t="str">
            <v>HASBRO</v>
          </cell>
          <cell r="I4603">
            <v>4.8899999999999997</v>
          </cell>
        </row>
        <row r="4604">
          <cell r="A4604" t="str">
            <v>19-04603</v>
          </cell>
          <cell r="B4604" t="str">
            <v>MOTTA INT.</v>
          </cell>
          <cell r="C4604" t="str">
            <v>A</v>
          </cell>
          <cell r="D4604" t="str">
            <v>NO</v>
          </cell>
          <cell r="E4604" t="str">
            <v>B5848 HASBRO PLAYSKOOL PRETEND N GO KITCHEN</v>
          </cell>
          <cell r="F4604" t="str">
            <v>JUGUETES</v>
          </cell>
          <cell r="G4604" t="str">
            <v>IHASB5848</v>
          </cell>
          <cell r="H4604" t="str">
            <v>HASBRO</v>
          </cell>
          <cell r="I4604">
            <v>15.7</v>
          </cell>
        </row>
        <row r="4605">
          <cell r="A4605" t="str">
            <v>19-04604</v>
          </cell>
          <cell r="B4605" t="str">
            <v>MOTTA INT.</v>
          </cell>
          <cell r="C4605" t="str">
            <v>A</v>
          </cell>
          <cell r="D4605" t="str">
            <v>NO</v>
          </cell>
          <cell r="E4605" t="str">
            <v>WB5845 HASBRO PLAYSKOOL PRETEND N GO WORKSHOP</v>
          </cell>
          <cell r="F4605" t="str">
            <v>JUGUETES</v>
          </cell>
          <cell r="G4605" t="str">
            <v>WB5845</v>
          </cell>
          <cell r="H4605" t="str">
            <v>HASBRO</v>
          </cell>
          <cell r="I4605">
            <v>16.72</v>
          </cell>
        </row>
        <row r="4606">
          <cell r="A4606" t="str">
            <v>19-04605</v>
          </cell>
          <cell r="B4606" t="str">
            <v>MOTTA INT.</v>
          </cell>
          <cell r="C4606" t="str">
            <v>A</v>
          </cell>
          <cell r="D4606" t="str">
            <v>NO</v>
          </cell>
          <cell r="E4606" t="str">
            <v>WB0501 HASBRO PLAYSKOOL STACK N STOW CUPS</v>
          </cell>
          <cell r="F4606" t="str">
            <v>JUGUETES</v>
          </cell>
          <cell r="G4606" t="str">
            <v>WB0501</v>
          </cell>
          <cell r="H4606" t="str">
            <v>HASBRO</v>
          </cell>
          <cell r="I4606">
            <v>6.56</v>
          </cell>
        </row>
        <row r="4607">
          <cell r="A4607" t="str">
            <v>19-04606</v>
          </cell>
          <cell r="B4607" t="str">
            <v>MOTTA INT.</v>
          </cell>
          <cell r="C4607" t="str">
            <v>A</v>
          </cell>
          <cell r="D4607" t="str">
            <v>NO</v>
          </cell>
          <cell r="E4607" t="str">
            <v>WB5582 HASBRO PLAYSKOOL TRANSFORMERS RESCUE BOTS SUPERCHARGER</v>
          </cell>
          <cell r="F4607" t="str">
            <v>JUGUETES</v>
          </cell>
          <cell r="G4607" t="str">
            <v>WB5582</v>
          </cell>
          <cell r="H4607" t="str">
            <v>HASBRO</v>
          </cell>
          <cell r="I4607">
            <v>12.97</v>
          </cell>
        </row>
        <row r="4608">
          <cell r="A4608" t="str">
            <v>19-04607</v>
          </cell>
          <cell r="B4608" t="str">
            <v>MOTTA INT.</v>
          </cell>
          <cell r="C4608" t="str">
            <v>A</v>
          </cell>
          <cell r="D4608" t="str">
            <v>NO</v>
          </cell>
          <cell r="E4608" t="str">
            <v>B5756 HASBRO SPIDERMAN TITAN HERO SERIES WITH GEAR SURTIDO</v>
          </cell>
          <cell r="F4608" t="str">
            <v>JUGUETES</v>
          </cell>
          <cell r="G4608" t="str">
            <v>IHASB5756</v>
          </cell>
          <cell r="H4608" t="str">
            <v>HASBRO</v>
          </cell>
          <cell r="I4608">
            <v>0</v>
          </cell>
        </row>
        <row r="4609">
          <cell r="A4609" t="str">
            <v>19-04608</v>
          </cell>
          <cell r="B4609" t="str">
            <v>MOTTA INT.</v>
          </cell>
          <cell r="C4609" t="str">
            <v>A</v>
          </cell>
          <cell r="D4609" t="str">
            <v>NO</v>
          </cell>
          <cell r="E4609" t="str">
            <v>B3445 HASBRO STAR WARS 3.75 - FIG JUNGLE SPACE SURTIDO</v>
          </cell>
          <cell r="F4609" t="str">
            <v>JUGUETES</v>
          </cell>
          <cell r="G4609" t="str">
            <v>IHASB3445</v>
          </cell>
          <cell r="H4609" t="str">
            <v>HASBRO</v>
          </cell>
          <cell r="I4609">
            <v>6.4</v>
          </cell>
        </row>
        <row r="4610">
          <cell r="A4610" t="str">
            <v>19-04609</v>
          </cell>
          <cell r="B4610" t="str">
            <v>MOTTA INT.</v>
          </cell>
          <cell r="C4610" t="str">
            <v>A</v>
          </cell>
          <cell r="D4610" t="str">
            <v>NO</v>
          </cell>
          <cell r="E4610" t="str">
            <v>WB3929 HASBRO STAR WARS BLACK SERIES DIE CAST VEHICLE SURTIDO</v>
          </cell>
          <cell r="F4610" t="str">
            <v>JUGUETES</v>
          </cell>
          <cell r="G4610" t="str">
            <v>WB3929</v>
          </cell>
          <cell r="H4610" t="str">
            <v>HASBRO</v>
          </cell>
          <cell r="I4610">
            <v>4.9400000000000004</v>
          </cell>
        </row>
        <row r="4611">
          <cell r="A4611" t="str">
            <v>19-04610</v>
          </cell>
          <cell r="B4611" t="str">
            <v>MOTTA INT.</v>
          </cell>
          <cell r="C4611" t="str">
            <v>A</v>
          </cell>
          <cell r="D4611" t="str">
            <v>NO</v>
          </cell>
          <cell r="E4611" t="str">
            <v>B3920 HASBRO STAR WARS E7 3.75" CLASS II VEHICLES C/FIGURAS</v>
          </cell>
          <cell r="F4611" t="str">
            <v>JUGUETES</v>
          </cell>
          <cell r="G4611" t="str">
            <v>IHASB3920</v>
          </cell>
          <cell r="H4611" t="str">
            <v>HASBRO</v>
          </cell>
          <cell r="I4611">
            <v>31.5</v>
          </cell>
        </row>
        <row r="4612">
          <cell r="A4612" t="str">
            <v>19-04611</v>
          </cell>
          <cell r="B4612" t="str">
            <v>MOTTA INT.</v>
          </cell>
          <cell r="C4612" t="str">
            <v>A</v>
          </cell>
          <cell r="D4612" t="str">
            <v>NO</v>
          </cell>
          <cell r="E4612" t="str">
            <v>B3886AS00 HASBRO STAR WARS E7 FIGURA 3.75</v>
          </cell>
          <cell r="F4612" t="str">
            <v>JUGUETES</v>
          </cell>
          <cell r="G4612" t="str">
            <v>IHASB3886AS00</v>
          </cell>
          <cell r="H4612" t="str">
            <v>HASBRO</v>
          </cell>
          <cell r="I4612">
            <v>7.9</v>
          </cell>
        </row>
        <row r="4613">
          <cell r="A4613" t="str">
            <v>19-04612</v>
          </cell>
          <cell r="B4613" t="str">
            <v>MOTTA INT.</v>
          </cell>
          <cell r="C4613" t="str">
            <v>A</v>
          </cell>
          <cell r="D4613" t="str">
            <v>NO</v>
          </cell>
          <cell r="E4613" t="str">
            <v>B3955 HASBRO STAR WARS E7 IN FIG 2 PACKS SURTIDO</v>
          </cell>
          <cell r="F4613" t="str">
            <v>JUGUETES</v>
          </cell>
          <cell r="G4613" t="str">
            <v>IHASB3955</v>
          </cell>
          <cell r="H4613" t="str">
            <v>HASBRO</v>
          </cell>
          <cell r="I4613">
            <v>12.1</v>
          </cell>
        </row>
        <row r="4614">
          <cell r="A4614" t="str">
            <v>19-04613</v>
          </cell>
          <cell r="B4614" t="str">
            <v>MOTTA INT.</v>
          </cell>
          <cell r="C4614" t="str">
            <v>A</v>
          </cell>
          <cell r="D4614" t="str">
            <v>NO</v>
          </cell>
          <cell r="E4614" t="str">
            <v>B3963 HASBRO STAR WARS E7 IN FIG SNOW DESERT SURTIDO</v>
          </cell>
          <cell r="F4614" t="str">
            <v>JUGUETES</v>
          </cell>
          <cell r="G4614" t="str">
            <v>IHASB3963</v>
          </cell>
          <cell r="H4614" t="str">
            <v>HASBRO</v>
          </cell>
          <cell r="I4614">
            <v>6.5</v>
          </cell>
        </row>
        <row r="4615">
          <cell r="A4615" t="str">
            <v>19-04614</v>
          </cell>
          <cell r="B4615" t="str">
            <v>MOTTA INT.</v>
          </cell>
          <cell r="C4615" t="str">
            <v>A</v>
          </cell>
          <cell r="D4615" t="str">
            <v>NO</v>
          </cell>
          <cell r="E4615" t="str">
            <v>WB3946 HASBRO STAR WARS E7 VALUE 6</v>
          </cell>
          <cell r="F4615" t="str">
            <v>JUGUETES</v>
          </cell>
          <cell r="G4615" t="str">
            <v>WB3946</v>
          </cell>
          <cell r="H4615" t="str">
            <v>HASBRO</v>
          </cell>
          <cell r="I4615">
            <v>3.52</v>
          </cell>
        </row>
        <row r="4616">
          <cell r="A4616" t="str">
            <v>19-04615</v>
          </cell>
          <cell r="B4616" t="str">
            <v>MOTTA INT.</v>
          </cell>
          <cell r="C4616" t="str">
            <v>A</v>
          </cell>
          <cell r="D4616" t="str">
            <v>NO</v>
          </cell>
          <cell r="E4616" t="str">
            <v>B3817 HASBRO STAR WARS GALACTIC HEROES 2 PACK SURTIDO</v>
          </cell>
          <cell r="F4616" t="str">
            <v>JUGUETES</v>
          </cell>
          <cell r="G4616" t="str">
            <v>IHASB3817</v>
          </cell>
          <cell r="H4616" t="str">
            <v>HASBRO</v>
          </cell>
          <cell r="I4616">
            <v>0</v>
          </cell>
        </row>
        <row r="4617">
          <cell r="A4617" t="str">
            <v>19-04616</v>
          </cell>
          <cell r="B4617" t="str">
            <v>MOTTA INT.</v>
          </cell>
          <cell r="C4617" t="str">
            <v>A</v>
          </cell>
          <cell r="D4617" t="str">
            <v>NO</v>
          </cell>
          <cell r="E4617" t="str">
            <v>WA7109 HASBRO SUPER HERO ADVENTURES MARVEL FIGURE 2PK SURTIDO</v>
          </cell>
          <cell r="F4617" t="str">
            <v>JUGUETES</v>
          </cell>
          <cell r="G4617" t="str">
            <v>WA7109</v>
          </cell>
          <cell r="H4617" t="str">
            <v>HASBRO</v>
          </cell>
          <cell r="I4617">
            <v>6.15</v>
          </cell>
        </row>
        <row r="4618">
          <cell r="A4618" t="str">
            <v>19-04617</v>
          </cell>
          <cell r="B4618" t="str">
            <v>MOTTA INT.</v>
          </cell>
          <cell r="C4618" t="str">
            <v>A</v>
          </cell>
          <cell r="D4618" t="str">
            <v>NO</v>
          </cell>
          <cell r="E4618" t="str">
            <v>WB0230 HASBRO SUPER HERO ADVENTURES VEHICLE WITH FIGURES SURTIDO</v>
          </cell>
          <cell r="F4618" t="str">
            <v>JUGUETES</v>
          </cell>
          <cell r="G4618" t="str">
            <v>WB0230</v>
          </cell>
          <cell r="H4618" t="str">
            <v>HASBRO</v>
          </cell>
          <cell r="I4618">
            <v>12.97</v>
          </cell>
        </row>
        <row r="4619">
          <cell r="A4619" t="str">
            <v>19-04618</v>
          </cell>
          <cell r="B4619" t="str">
            <v>MOTTA INT.</v>
          </cell>
          <cell r="C4619" t="str">
            <v>A</v>
          </cell>
          <cell r="D4619" t="str">
            <v>NO</v>
          </cell>
          <cell r="E4619" t="str">
            <v>WB7771 HASBRO TRANSFORMER GEN LEGENDS TITANS RETURN SURTIDO</v>
          </cell>
          <cell r="F4619" t="str">
            <v>JUGUETES</v>
          </cell>
          <cell r="G4619" t="str">
            <v>WB7771</v>
          </cell>
          <cell r="H4619" t="str">
            <v>HASBRO</v>
          </cell>
          <cell r="I4619">
            <v>9.84</v>
          </cell>
        </row>
        <row r="4620">
          <cell r="A4620" t="str">
            <v>19-04619</v>
          </cell>
          <cell r="B4620" t="str">
            <v>MOTTA INT.</v>
          </cell>
          <cell r="C4620" t="str">
            <v>A</v>
          </cell>
          <cell r="D4620" t="str">
            <v>NO</v>
          </cell>
          <cell r="E4620" t="str">
            <v>B0070 HASBRO TRANSFORMER RID WARRIORS SURTIDO</v>
          </cell>
          <cell r="F4620" t="str">
            <v>JUGUETES</v>
          </cell>
          <cell r="G4620" t="str">
            <v>IHASB0070</v>
          </cell>
          <cell r="H4620" t="str">
            <v>HASBRO</v>
          </cell>
          <cell r="I4620">
            <v>0</v>
          </cell>
        </row>
        <row r="4621">
          <cell r="A4621" t="str">
            <v>19-04620</v>
          </cell>
          <cell r="B4621" t="str">
            <v>MOTTA INT.</v>
          </cell>
          <cell r="C4621" t="str">
            <v>A</v>
          </cell>
          <cell r="D4621" t="str">
            <v>NO</v>
          </cell>
          <cell r="E4621" t="str">
            <v>B0974 HASBRO TRANSFORMERS GENERATIONS DELUXE CLASS SURTIDO</v>
          </cell>
          <cell r="F4621" t="str">
            <v>JUGUETES</v>
          </cell>
          <cell r="G4621" t="str">
            <v>IHASB0974</v>
          </cell>
          <cell r="H4621" t="str">
            <v>HASBRO</v>
          </cell>
          <cell r="I4621">
            <v>0</v>
          </cell>
        </row>
        <row r="4622">
          <cell r="A4622" t="str">
            <v>19-04621</v>
          </cell>
          <cell r="B4622" t="str">
            <v>MOTTA INT.</v>
          </cell>
          <cell r="C4622" t="str">
            <v>A</v>
          </cell>
          <cell r="D4622" t="str">
            <v>NO</v>
          </cell>
          <cell r="E4622" t="str">
            <v>B0971 HASBRO TRANSFORMERS GENERATIONS LEGENDS CLASS SURTIDO</v>
          </cell>
          <cell r="F4622" t="str">
            <v>JUGUETES</v>
          </cell>
          <cell r="G4622" t="str">
            <v>IHASB0971</v>
          </cell>
          <cell r="H4622" t="str">
            <v>HASBRO</v>
          </cell>
          <cell r="I4622">
            <v>8.1999999999999993</v>
          </cell>
        </row>
        <row r="4623">
          <cell r="A4623" t="str">
            <v>19-04622</v>
          </cell>
          <cell r="B4623" t="str">
            <v>MOTTA INT.</v>
          </cell>
          <cell r="C4623" t="str">
            <v>A</v>
          </cell>
          <cell r="D4623" t="str">
            <v>NO</v>
          </cell>
          <cell r="E4623" t="str">
            <v>WA7024 HASBRO TRANSFORMERS RESCUE BOTS RESCAN SURTIDO</v>
          </cell>
          <cell r="F4623" t="str">
            <v>JUGUETES</v>
          </cell>
          <cell r="G4623" t="str">
            <v>WA7024</v>
          </cell>
          <cell r="H4623" t="str">
            <v>HASBRO</v>
          </cell>
          <cell r="I4623">
            <v>8.5500000000000007</v>
          </cell>
        </row>
        <row r="4624">
          <cell r="A4624" t="str">
            <v>19-04623</v>
          </cell>
          <cell r="B4624" t="str">
            <v>MOTTA INT.</v>
          </cell>
          <cell r="C4624" t="str">
            <v>A</v>
          </cell>
          <cell r="D4624" t="str">
            <v>NO</v>
          </cell>
          <cell r="E4624" t="str">
            <v>WB4951 HASBRO TRANSFORMERS RESCUE BOTS RIG SURTIDO</v>
          </cell>
          <cell r="F4624" t="str">
            <v>JUGUETES</v>
          </cell>
          <cell r="G4624" t="str">
            <v>WB4951</v>
          </cell>
          <cell r="H4624" t="str">
            <v>HASBRO</v>
          </cell>
          <cell r="I4624">
            <v>9.52</v>
          </cell>
        </row>
        <row r="4625">
          <cell r="A4625" t="str">
            <v>19-04624</v>
          </cell>
          <cell r="B4625" t="str">
            <v>MOTTA INT.</v>
          </cell>
          <cell r="C4625" t="str">
            <v>A</v>
          </cell>
          <cell r="D4625" t="str">
            <v>NO</v>
          </cell>
          <cell r="E4625" t="str">
            <v>B0763 HASBRO TRANSFORMERS RID MINICON VARIADOS</v>
          </cell>
          <cell r="F4625" t="str">
            <v>JUGUETES</v>
          </cell>
          <cell r="G4625" t="str">
            <v>IHASB0763</v>
          </cell>
          <cell r="H4625" t="str">
            <v>HASBRO</v>
          </cell>
          <cell r="I4625">
            <v>0</v>
          </cell>
        </row>
        <row r="4626">
          <cell r="A4626" t="str">
            <v>19-04625</v>
          </cell>
          <cell r="B4626" t="str">
            <v>MOTTA INT.</v>
          </cell>
          <cell r="C4626" t="str">
            <v>A</v>
          </cell>
          <cell r="D4626" t="str">
            <v>NO</v>
          </cell>
          <cell r="E4626" t="str">
            <v>B4713 HASBRO TRANSFORMERS RID MINICON BATTLE PACKS SURTIDO</v>
          </cell>
          <cell r="F4626" t="str">
            <v>JUGUETES</v>
          </cell>
          <cell r="G4626" t="str">
            <v>IHASB4713</v>
          </cell>
          <cell r="H4626" t="str">
            <v>HASBRO</v>
          </cell>
          <cell r="I4626">
            <v>0</v>
          </cell>
        </row>
        <row r="4627">
          <cell r="A4627" t="str">
            <v>19-04626</v>
          </cell>
          <cell r="B4627" t="str">
            <v>MOTTA INT.</v>
          </cell>
          <cell r="C4627" t="str">
            <v>A</v>
          </cell>
          <cell r="D4627" t="str">
            <v>NO</v>
          </cell>
          <cell r="E4627" t="str">
            <v>B0348 HASBRO TRANSFORMERS ROBOT FEATURED BOT SURTIDO</v>
          </cell>
          <cell r="F4627" t="str">
            <v>JUGUETES</v>
          </cell>
          <cell r="G4627" t="str">
            <v>IHASB0348</v>
          </cell>
          <cell r="H4627" t="str">
            <v>HASBRO</v>
          </cell>
          <cell r="I4627">
            <v>4.32</v>
          </cell>
        </row>
        <row r="4628">
          <cell r="A4628" t="str">
            <v>19-04627</v>
          </cell>
          <cell r="B4628" t="str">
            <v>MOTTA INT.</v>
          </cell>
          <cell r="C4628" t="str">
            <v>A</v>
          </cell>
          <cell r="D4628" t="str">
            <v>NO</v>
          </cell>
          <cell r="E4628" t="str">
            <v>WB6561 HASBRO TROLLS MEDIUM SINGLE DOLL SURTIDO</v>
          </cell>
          <cell r="F4628" t="str">
            <v>JUGUETES</v>
          </cell>
          <cell r="G4628" t="str">
            <v>WB6561</v>
          </cell>
          <cell r="H4628" t="str">
            <v>HASBRO</v>
          </cell>
          <cell r="I4628">
            <v>12.87</v>
          </cell>
        </row>
        <row r="4629">
          <cell r="A4629" t="str">
            <v>19-04628</v>
          </cell>
          <cell r="B4629" t="str">
            <v>MOTTA INT.</v>
          </cell>
          <cell r="C4629" t="str">
            <v>A</v>
          </cell>
          <cell r="D4629" t="str">
            <v>NO</v>
          </cell>
          <cell r="E4629" t="str">
            <v>WB6563 HASBRO TROLLS SATIN AND CHENILLES STYLE SET</v>
          </cell>
          <cell r="F4629" t="str">
            <v>JUGUETES</v>
          </cell>
          <cell r="G4629" t="str">
            <v>WB6563</v>
          </cell>
          <cell r="H4629" t="str">
            <v>HASBRO</v>
          </cell>
          <cell r="I4629">
            <v>21.42</v>
          </cell>
        </row>
        <row r="4630">
          <cell r="A4630" t="str">
            <v>19-04629</v>
          </cell>
          <cell r="B4630" t="str">
            <v>MOTTA INT.</v>
          </cell>
          <cell r="C4630" t="str">
            <v>A</v>
          </cell>
          <cell r="D4630" t="str">
            <v>NO</v>
          </cell>
          <cell r="E4630" t="str">
            <v>B6555 HASBRO TROLLS SMALL TOWN COLLECTABLE SURTIDO</v>
          </cell>
          <cell r="F4630" t="str">
            <v>JUGUETES</v>
          </cell>
          <cell r="G4630" t="str">
            <v>IHASB6555</v>
          </cell>
          <cell r="H4630" t="str">
            <v>HASBRO</v>
          </cell>
          <cell r="I4630">
            <v>4.0999999999999996</v>
          </cell>
        </row>
        <row r="4631">
          <cell r="A4631" t="str">
            <v>19-04630</v>
          </cell>
          <cell r="B4631" t="str">
            <v>MOTTA INT.</v>
          </cell>
          <cell r="C4631" t="str">
            <v>A</v>
          </cell>
          <cell r="D4631" t="str">
            <v>NO</v>
          </cell>
          <cell r="E4631" t="str">
            <v>WB6557 HASBRO TROLLS SMALL TOWN MULTIPACK SURTIDO</v>
          </cell>
          <cell r="F4631" t="str">
            <v>JUGUETES</v>
          </cell>
          <cell r="G4631" t="str">
            <v>WB6557</v>
          </cell>
          <cell r="H4631" t="str">
            <v>HASBRO</v>
          </cell>
          <cell r="I4631">
            <v>12.87</v>
          </cell>
        </row>
        <row r="4632">
          <cell r="A4632" t="str">
            <v>19-04631</v>
          </cell>
          <cell r="B4632" t="str">
            <v>SUN BUM</v>
          </cell>
          <cell r="C4632" t="str">
            <v>A</v>
          </cell>
          <cell r="D4632" t="str">
            <v>SI</v>
          </cell>
          <cell r="E4632" t="str">
            <v>20-40015 SUN BUM SPF 15 SUNSCREEN LOTION 8OZ</v>
          </cell>
          <cell r="F4632" t="str">
            <v>SUN BLOCK</v>
          </cell>
          <cell r="G4632" t="str">
            <v>20-40015</v>
          </cell>
          <cell r="H4632" t="str">
            <v>SUN BUM</v>
          </cell>
          <cell r="I4632">
            <v>6.55</v>
          </cell>
        </row>
        <row r="4633">
          <cell r="A4633" t="str">
            <v>19-04632</v>
          </cell>
          <cell r="B4633" t="str">
            <v>SUN BUM</v>
          </cell>
          <cell r="C4633" t="str">
            <v>A</v>
          </cell>
          <cell r="D4633" t="str">
            <v>SI</v>
          </cell>
          <cell r="E4633" t="str">
            <v>20-40030 SUN BUM SPF 30 SUNSCREEN LOTION 8OZ</v>
          </cell>
          <cell r="F4633" t="str">
            <v>SUN BLOCK</v>
          </cell>
          <cell r="G4633" t="str">
            <v>20-40030</v>
          </cell>
          <cell r="H4633" t="str">
            <v>SUN BUM</v>
          </cell>
          <cell r="I4633">
            <v>6.55</v>
          </cell>
        </row>
        <row r="4634">
          <cell r="A4634" t="str">
            <v>19-04633</v>
          </cell>
          <cell r="B4634" t="str">
            <v>SUN BUM</v>
          </cell>
          <cell r="C4634" t="str">
            <v>A</v>
          </cell>
          <cell r="D4634" t="str">
            <v>SI</v>
          </cell>
          <cell r="E4634" t="str">
            <v>20-40050 SUN BUM SPF 50 SUNSCREEN LOTION 8OZ</v>
          </cell>
          <cell r="F4634" t="str">
            <v>SUN BLOCK</v>
          </cell>
          <cell r="G4634" t="str">
            <v>20-40050</v>
          </cell>
          <cell r="H4634" t="str">
            <v>SUN BUM</v>
          </cell>
          <cell r="I4634">
            <v>6.55</v>
          </cell>
        </row>
        <row r="4635">
          <cell r="A4635" t="str">
            <v>19-04634</v>
          </cell>
          <cell r="B4635" t="str">
            <v>SUN BUM</v>
          </cell>
          <cell r="C4635" t="str">
            <v>A</v>
          </cell>
          <cell r="D4635" t="str">
            <v>SI</v>
          </cell>
          <cell r="E4635" t="str">
            <v>20-40070 SUN BUM SPF 70 SUNSCREEN LOTION 8OZ</v>
          </cell>
          <cell r="F4635" t="str">
            <v>SUN BLOCK</v>
          </cell>
          <cell r="G4635" t="str">
            <v>20-40070</v>
          </cell>
          <cell r="H4635" t="str">
            <v>SUN BUM</v>
          </cell>
          <cell r="I4635">
            <v>6.55</v>
          </cell>
        </row>
        <row r="4636">
          <cell r="A4636" t="str">
            <v>19-04635</v>
          </cell>
          <cell r="B4636" t="str">
            <v>SUN BUM</v>
          </cell>
          <cell r="C4636" t="str">
            <v>A</v>
          </cell>
          <cell r="D4636" t="str">
            <v>SI</v>
          </cell>
          <cell r="E4636" t="str">
            <v>20-40315 SUN BUM SPF 15 SUNSCREEN LOTION 3OZ SHORTIE</v>
          </cell>
          <cell r="F4636" t="str">
            <v>SUN BLOCK</v>
          </cell>
          <cell r="G4636" t="str">
            <v>20-40315</v>
          </cell>
          <cell r="H4636" t="str">
            <v>SUN BUM</v>
          </cell>
          <cell r="I4636">
            <v>4.0999999999999996</v>
          </cell>
        </row>
        <row r="4637">
          <cell r="A4637" t="str">
            <v>19-04636</v>
          </cell>
          <cell r="B4637" t="str">
            <v>SUN BUM</v>
          </cell>
          <cell r="C4637" t="str">
            <v>A</v>
          </cell>
          <cell r="D4637" t="str">
            <v>SI</v>
          </cell>
          <cell r="E4637" t="str">
            <v>20-40330 SUN BUM SPF 30 SUNSCREEN LOTION 3OZ SHORTIE</v>
          </cell>
          <cell r="F4637" t="str">
            <v>SUN BLOCK</v>
          </cell>
          <cell r="G4637" t="str">
            <v>20-40330</v>
          </cell>
          <cell r="H4637" t="str">
            <v>SUN BUM</v>
          </cell>
          <cell r="I4637">
            <v>4.0999999999999996</v>
          </cell>
        </row>
        <row r="4638">
          <cell r="A4638" t="str">
            <v>19-04637</v>
          </cell>
          <cell r="B4638" t="str">
            <v>SUN BUM</v>
          </cell>
          <cell r="C4638" t="str">
            <v>A</v>
          </cell>
          <cell r="D4638" t="str">
            <v>SI</v>
          </cell>
          <cell r="E4638" t="str">
            <v>20-40350 SUN BUM SPF 50 SUNSCREEN LOTION 3OZ SHORTIE</v>
          </cell>
          <cell r="F4638" t="str">
            <v>SUN BLOCK</v>
          </cell>
          <cell r="G4638" t="str">
            <v>20-40350</v>
          </cell>
          <cell r="H4638" t="str">
            <v>SUN BUM</v>
          </cell>
          <cell r="I4638">
            <v>4.0999999999999996</v>
          </cell>
        </row>
        <row r="4639">
          <cell r="A4639" t="str">
            <v>19-04638</v>
          </cell>
          <cell r="B4639" t="str">
            <v>SUN BUM</v>
          </cell>
          <cell r="C4639" t="str">
            <v>A</v>
          </cell>
          <cell r="D4639" t="str">
            <v>SI</v>
          </cell>
          <cell r="E4639" t="str">
            <v>20-40370 SUN BUM SPF 70 SUNSCREEN LOTION 3OZ SHORTIE</v>
          </cell>
          <cell r="F4639" t="str">
            <v>SUN BLOCK</v>
          </cell>
          <cell r="G4639" t="str">
            <v>20-40370</v>
          </cell>
          <cell r="H4639" t="str">
            <v>SUN BUM</v>
          </cell>
          <cell r="I4639">
            <v>4.0999999999999996</v>
          </cell>
        </row>
        <row r="4640">
          <cell r="A4640" t="str">
            <v>19-04639</v>
          </cell>
          <cell r="B4640" t="str">
            <v>SUN BUM</v>
          </cell>
          <cell r="C4640" t="str">
            <v>A</v>
          </cell>
          <cell r="D4640" t="str">
            <v>SI</v>
          </cell>
          <cell r="E4640" t="str">
            <v>20-42015 SUN BUM SPF 15 SUNSCREEN SPRAY 6OZ</v>
          </cell>
          <cell r="F4640" t="str">
            <v>SUN BLOCK</v>
          </cell>
          <cell r="G4640" t="str">
            <v>20-42015</v>
          </cell>
          <cell r="H4640" t="str">
            <v>SUN BUM</v>
          </cell>
          <cell r="I4640">
            <v>6.55</v>
          </cell>
        </row>
        <row r="4641">
          <cell r="A4641" t="str">
            <v>19-04640</v>
          </cell>
          <cell r="B4641" t="str">
            <v>SUN BUM</v>
          </cell>
          <cell r="C4641" t="str">
            <v>A</v>
          </cell>
          <cell r="D4641" t="str">
            <v>SI</v>
          </cell>
          <cell r="E4641" t="str">
            <v>20-42030 SUN BUM SPF 30 SUNSCREEN SPRAY 6OZ</v>
          </cell>
          <cell r="F4641" t="str">
            <v>SUN BLOCK</v>
          </cell>
          <cell r="G4641" t="str">
            <v>20-42030</v>
          </cell>
          <cell r="H4641" t="str">
            <v>SUN BUM</v>
          </cell>
          <cell r="I4641">
            <v>6.55</v>
          </cell>
        </row>
        <row r="4642">
          <cell r="A4642" t="str">
            <v>19-04641</v>
          </cell>
          <cell r="B4642" t="str">
            <v>SUN BUM</v>
          </cell>
          <cell r="C4642" t="str">
            <v>A</v>
          </cell>
          <cell r="D4642" t="str">
            <v>SI</v>
          </cell>
          <cell r="E4642" t="str">
            <v>20-42050 SUN BUM SPF 50 SUNSCREEN SPRAY 6OZ</v>
          </cell>
          <cell r="F4642" t="str">
            <v>SUN BLOCK</v>
          </cell>
          <cell r="G4642" t="str">
            <v>20-42050</v>
          </cell>
          <cell r="H4642" t="str">
            <v>SUN BUM</v>
          </cell>
          <cell r="I4642">
            <v>6.55</v>
          </cell>
        </row>
        <row r="4643">
          <cell r="A4643" t="str">
            <v>19-04642</v>
          </cell>
          <cell r="B4643" t="str">
            <v>SUN BUM</v>
          </cell>
          <cell r="C4643" t="str">
            <v>A</v>
          </cell>
          <cell r="D4643" t="str">
            <v>SI</v>
          </cell>
          <cell r="E4643" t="str">
            <v>20-42070 SUN BUM SPF 70 SUNSCREEN SPRAY 6OZ</v>
          </cell>
          <cell r="F4643" t="str">
            <v>SUN BLOCK</v>
          </cell>
          <cell r="G4643" t="str">
            <v>20-42070</v>
          </cell>
          <cell r="H4643" t="str">
            <v>SUN BUM</v>
          </cell>
          <cell r="I4643">
            <v>6.55</v>
          </cell>
        </row>
        <row r="4644">
          <cell r="A4644" t="str">
            <v>19-04643</v>
          </cell>
          <cell r="B4644" t="str">
            <v>SUN BUM</v>
          </cell>
          <cell r="C4644" t="str">
            <v>A</v>
          </cell>
          <cell r="D4644" t="str">
            <v>SI</v>
          </cell>
          <cell r="E4644" t="str">
            <v>20-45090 SUN BUM SPF 50 ZINC OXIDE TUB</v>
          </cell>
          <cell r="F4644" t="str">
            <v>SUN BLOCK</v>
          </cell>
          <cell r="G4644" t="str">
            <v>20-45090</v>
          </cell>
          <cell r="H4644" t="str">
            <v>SUN BUM</v>
          </cell>
          <cell r="I4644">
            <v>4.0999999999999996</v>
          </cell>
        </row>
        <row r="4645">
          <cell r="A4645" t="str">
            <v>19-04644</v>
          </cell>
          <cell r="B4645" t="str">
            <v>SUN BUM</v>
          </cell>
          <cell r="C4645" t="str">
            <v>A</v>
          </cell>
          <cell r="D4645" t="str">
            <v>SI</v>
          </cell>
          <cell r="E4645" t="str">
            <v>20-45030 SUN BUM SPF 30 FACE STICK</v>
          </cell>
          <cell r="F4645" t="str">
            <v>SUN BLOCK</v>
          </cell>
          <cell r="G4645" t="str">
            <v>20-45030</v>
          </cell>
          <cell r="H4645" t="str">
            <v>SUN BUM</v>
          </cell>
          <cell r="I4645">
            <v>4.0999999999999996</v>
          </cell>
        </row>
        <row r="4646">
          <cell r="A4646" t="str">
            <v>19-04645</v>
          </cell>
          <cell r="B4646" t="str">
            <v>SUN BUM</v>
          </cell>
          <cell r="C4646" t="str">
            <v>A</v>
          </cell>
          <cell r="D4646" t="str">
            <v>SI</v>
          </cell>
          <cell r="E4646" t="str">
            <v>20-45095 SUN BUM BANANA LIP BALM</v>
          </cell>
          <cell r="F4646" t="str">
            <v>LIP BALM</v>
          </cell>
          <cell r="G4646" t="str">
            <v>20-45095</v>
          </cell>
          <cell r="H4646" t="str">
            <v>SUN BUM</v>
          </cell>
          <cell r="I4646">
            <v>1.65</v>
          </cell>
        </row>
        <row r="4647">
          <cell r="A4647" t="str">
            <v>19-04646</v>
          </cell>
          <cell r="B4647" t="str">
            <v>SUN BUM</v>
          </cell>
          <cell r="C4647" t="str">
            <v>A</v>
          </cell>
          <cell r="D4647" t="str">
            <v>SI</v>
          </cell>
          <cell r="E4647" t="str">
            <v>20-46024 SUN BUM COCONUT LIP BALM</v>
          </cell>
          <cell r="F4647" t="str">
            <v>LIP BALM</v>
          </cell>
          <cell r="G4647" t="str">
            <v>20-46024</v>
          </cell>
          <cell r="H4647" t="str">
            <v>SUN BUM</v>
          </cell>
          <cell r="I4647">
            <v>1.65</v>
          </cell>
        </row>
        <row r="4648">
          <cell r="A4648" t="str">
            <v>19-04647</v>
          </cell>
          <cell r="B4648" t="str">
            <v>SUN BUM</v>
          </cell>
          <cell r="C4648" t="str">
            <v>A</v>
          </cell>
          <cell r="D4648" t="str">
            <v>SI</v>
          </cell>
          <cell r="E4648" t="str">
            <v>20-46025 SUN BUM KEY LIME LIP BALM</v>
          </cell>
          <cell r="F4648" t="str">
            <v>LIP BALM</v>
          </cell>
          <cell r="G4648" t="str">
            <v>20-46025</v>
          </cell>
          <cell r="H4648" t="str">
            <v>SUN BUM</v>
          </cell>
          <cell r="I4648">
            <v>1.65</v>
          </cell>
        </row>
        <row r="4649">
          <cell r="A4649" t="str">
            <v>19-04648</v>
          </cell>
          <cell r="B4649" t="str">
            <v>SUN BUM</v>
          </cell>
          <cell r="C4649" t="str">
            <v>A</v>
          </cell>
          <cell r="D4649" t="str">
            <v>SI</v>
          </cell>
          <cell r="E4649" t="str">
            <v>20-46026 SUN BUM MANGO LIP BALM</v>
          </cell>
          <cell r="F4649" t="str">
            <v>LIP BALM</v>
          </cell>
          <cell r="G4649" t="str">
            <v>20-46026</v>
          </cell>
          <cell r="H4649" t="str">
            <v>SUN BUM</v>
          </cell>
          <cell r="I4649">
            <v>1.65</v>
          </cell>
        </row>
        <row r="4650">
          <cell r="A4650" t="str">
            <v>19-04649</v>
          </cell>
          <cell r="B4650" t="str">
            <v>SUN BUM</v>
          </cell>
          <cell r="C4650" t="str">
            <v>A</v>
          </cell>
          <cell r="D4650" t="str">
            <v>SI</v>
          </cell>
          <cell r="E4650" t="str">
            <v>20-46028 SUN BUM POMEGRANATE LIP BALM</v>
          </cell>
          <cell r="F4650" t="str">
            <v>LIP BALM</v>
          </cell>
          <cell r="G4650" t="str">
            <v>20-46028</v>
          </cell>
          <cell r="H4650" t="str">
            <v>SUN BUM</v>
          </cell>
          <cell r="I4650">
            <v>1.65</v>
          </cell>
        </row>
        <row r="4651">
          <cell r="A4651" t="str">
            <v>19-04650</v>
          </cell>
          <cell r="B4651" t="str">
            <v>SUN BUM</v>
          </cell>
          <cell r="C4651" t="str">
            <v>P</v>
          </cell>
          <cell r="D4651" t="str">
            <v>N/A</v>
          </cell>
          <cell r="E4651" t="str">
            <v>20-46029 SUN BUM PINK GRAPEFRUIT LIP BALM</v>
          </cell>
          <cell r="F4651" t="str">
            <v>LIP BALM</v>
          </cell>
          <cell r="G4651" t="str">
            <v>20-46029</v>
          </cell>
          <cell r="H4651" t="str">
            <v>SUN BUM</v>
          </cell>
          <cell r="I4651">
            <v>1.65</v>
          </cell>
        </row>
        <row r="4652">
          <cell r="A4652" t="str">
            <v>19-04651</v>
          </cell>
          <cell r="B4652" t="str">
            <v>SUN BUM</v>
          </cell>
          <cell r="C4652" t="str">
            <v>A</v>
          </cell>
          <cell r="D4652" t="str">
            <v>SI</v>
          </cell>
          <cell r="E4652" t="str">
            <v>20-45085 SUN BUM COOL DOWN LOTION 8OZ</v>
          </cell>
          <cell r="F4652" t="str">
            <v>SUN BLOCK</v>
          </cell>
          <cell r="G4652" t="str">
            <v>20-45085</v>
          </cell>
          <cell r="H4652" t="str">
            <v>SUN BUM</v>
          </cell>
          <cell r="I4652">
            <v>4.95</v>
          </cell>
        </row>
        <row r="4653">
          <cell r="A4653" t="str">
            <v>19-04652</v>
          </cell>
          <cell r="B4653" t="str">
            <v>SUN BUM</v>
          </cell>
          <cell r="C4653" t="str">
            <v>A</v>
          </cell>
          <cell r="D4653" t="str">
            <v>SI</v>
          </cell>
          <cell r="E4653" t="str">
            <v>20-40385 SUN BUM COOL DOWN LOTION 3OZ</v>
          </cell>
          <cell r="F4653" t="str">
            <v>SUN BLOCK</v>
          </cell>
          <cell r="G4653" t="str">
            <v>20-40385</v>
          </cell>
          <cell r="H4653" t="str">
            <v>SUN BUM</v>
          </cell>
          <cell r="I4653">
            <v>3.28</v>
          </cell>
        </row>
        <row r="4654">
          <cell r="A4654" t="str">
            <v>19-04653</v>
          </cell>
          <cell r="B4654" t="str">
            <v>SUN BUM</v>
          </cell>
          <cell r="C4654" t="str">
            <v>A</v>
          </cell>
          <cell r="D4654" t="str">
            <v>SI</v>
          </cell>
          <cell r="E4654" t="str">
            <v>20-45080 SUN BUM COOL DOWN ALOE GEL 8OZ</v>
          </cell>
          <cell r="F4654" t="str">
            <v>SUN BLOCK</v>
          </cell>
          <cell r="G4654" t="str">
            <v>20-45080</v>
          </cell>
          <cell r="H4654" t="str">
            <v>SUN BUM</v>
          </cell>
          <cell r="I4654">
            <v>4.0999999999999996</v>
          </cell>
        </row>
        <row r="4655">
          <cell r="A4655" t="str">
            <v>19-04654</v>
          </cell>
          <cell r="B4655" t="str">
            <v>SUN BUM</v>
          </cell>
          <cell r="C4655" t="str">
            <v>A</v>
          </cell>
          <cell r="D4655" t="str">
            <v>SI</v>
          </cell>
          <cell r="E4655" t="str">
            <v>20-45088 SUN BUM COOL DOWN SPRAY 6OZ</v>
          </cell>
          <cell r="F4655" t="str">
            <v>SUN BLOCK</v>
          </cell>
          <cell r="G4655" t="str">
            <v>20-45088</v>
          </cell>
          <cell r="H4655" t="str">
            <v>SUN BUM</v>
          </cell>
          <cell r="I4655">
            <v>4.95</v>
          </cell>
        </row>
        <row r="4656">
          <cell r="A4656" t="str">
            <v>19-04655</v>
          </cell>
          <cell r="B4656" t="str">
            <v>SUN BUM</v>
          </cell>
          <cell r="C4656" t="str">
            <v>A</v>
          </cell>
          <cell r="D4656" t="str">
            <v>SI</v>
          </cell>
          <cell r="E4656" t="str">
            <v>30-50330 SUN BUM SPF 30 BABY BUM LOTION 3OZ</v>
          </cell>
          <cell r="F4656" t="str">
            <v>SUN BLOCK</v>
          </cell>
          <cell r="G4656" t="str">
            <v>30-50330</v>
          </cell>
          <cell r="H4656" t="str">
            <v>SUN BUM</v>
          </cell>
          <cell r="I4656">
            <v>7.4</v>
          </cell>
        </row>
        <row r="4657">
          <cell r="A4657" t="str">
            <v>19-04656</v>
          </cell>
          <cell r="B4657" t="str">
            <v>SUN BUM</v>
          </cell>
          <cell r="C4657" t="str">
            <v>A</v>
          </cell>
          <cell r="D4657" t="str">
            <v>SI</v>
          </cell>
          <cell r="E4657" t="str">
            <v>30-55035 SUN BUM SPF 30 BABY BUM SUNSCREEN STICK</v>
          </cell>
          <cell r="F4657" t="str">
            <v>SUN BLOCK</v>
          </cell>
          <cell r="G4657" t="str">
            <v>30-55035</v>
          </cell>
          <cell r="H4657" t="str">
            <v>SUN BUM</v>
          </cell>
          <cell r="I4657">
            <v>5.35</v>
          </cell>
        </row>
        <row r="4658">
          <cell r="A4658" t="str">
            <v>19-04657</v>
          </cell>
          <cell r="B4658" t="str">
            <v>SUN BUM</v>
          </cell>
          <cell r="C4658" t="str">
            <v>A</v>
          </cell>
          <cell r="D4658" t="str">
            <v>SI</v>
          </cell>
          <cell r="E4658" t="str">
            <v>20-50100 SUN BUM NATURAL BROWNING LOTION 8.5 OZ</v>
          </cell>
          <cell r="F4658" t="str">
            <v>SUN BLOCK</v>
          </cell>
          <cell r="G4658" t="str">
            <v>20-50100</v>
          </cell>
          <cell r="H4658" t="str">
            <v>SUN BUM</v>
          </cell>
          <cell r="I4658">
            <v>6.55</v>
          </cell>
        </row>
        <row r="4659">
          <cell r="A4659" t="str">
            <v>19-04658</v>
          </cell>
          <cell r="B4659" t="str">
            <v>SUN BUM</v>
          </cell>
          <cell r="C4659" t="str">
            <v>P</v>
          </cell>
          <cell r="D4659" t="str">
            <v>NO</v>
          </cell>
          <cell r="E4659" t="str">
            <v>20-50005 SUN BUM SUNLESS TANNING TOWELETTE 5-PACK</v>
          </cell>
          <cell r="F4659" t="str">
            <v>SUN BLOCK</v>
          </cell>
          <cell r="G4659" t="str">
            <v>20-50005</v>
          </cell>
          <cell r="H4659" t="str">
            <v>SUN BUM</v>
          </cell>
          <cell r="I4659">
            <v>6.55</v>
          </cell>
        </row>
        <row r="4660">
          <cell r="A4660" t="str">
            <v>19-04659</v>
          </cell>
          <cell r="B4660" t="str">
            <v>SUN BUM</v>
          </cell>
          <cell r="C4660" t="str">
            <v>A</v>
          </cell>
          <cell r="D4660" t="str">
            <v>SI</v>
          </cell>
          <cell r="E4660" t="str">
            <v>20-50105 SUN BUM SPF15 TANNING OIL</v>
          </cell>
          <cell r="F4660" t="str">
            <v>SUN BLOCK</v>
          </cell>
          <cell r="G4660" t="str">
            <v>20-50105</v>
          </cell>
          <cell r="H4660" t="str">
            <v>SUN BUM</v>
          </cell>
          <cell r="I4660">
            <v>7.4</v>
          </cell>
        </row>
        <row r="4661">
          <cell r="A4661" t="str">
            <v>19-04660</v>
          </cell>
          <cell r="B4661" t="str">
            <v>SUN BUM</v>
          </cell>
          <cell r="C4661" t="str">
            <v>A</v>
          </cell>
          <cell r="D4661" t="str">
            <v>SI</v>
          </cell>
          <cell r="E4661" t="str">
            <v>20-60330 SUN BUM SPF 30 LOTION 3OZ</v>
          </cell>
          <cell r="F4661" t="str">
            <v>SUN BLOCK</v>
          </cell>
          <cell r="G4661" t="str">
            <v>20-60330</v>
          </cell>
          <cell r="H4661" t="str">
            <v>SUN BUM</v>
          </cell>
          <cell r="I4661">
            <v>7.4</v>
          </cell>
        </row>
        <row r="4662">
          <cell r="A4662" t="str">
            <v>19-04661</v>
          </cell>
          <cell r="B4662" t="str">
            <v>SUN BUM</v>
          </cell>
          <cell r="C4662" t="str">
            <v>A</v>
          </cell>
          <cell r="D4662" t="str">
            <v>SI</v>
          </cell>
          <cell r="E4662" t="str">
            <v>20-60350 SUN BUM SPF 50 LOTION 3OZ</v>
          </cell>
          <cell r="F4662" t="str">
            <v>SUN BLOCK</v>
          </cell>
          <cell r="G4662" t="str">
            <v>20-60350</v>
          </cell>
          <cell r="H4662" t="str">
            <v>SUN BUM</v>
          </cell>
          <cell r="I4662">
            <v>7.4</v>
          </cell>
        </row>
        <row r="4663">
          <cell r="A4663" t="str">
            <v>19-04662</v>
          </cell>
          <cell r="B4663" t="str">
            <v>SUN BUM</v>
          </cell>
          <cell r="C4663" t="str">
            <v>A</v>
          </cell>
          <cell r="D4663" t="str">
            <v>NO</v>
          </cell>
          <cell r="E4663" t="str">
            <v>80-41005 SUN BUM SHAMPOO 10OZ</v>
          </cell>
          <cell r="F4663" t="str">
            <v>SHAMPOO</v>
          </cell>
          <cell r="G4663" t="str">
            <v>80-41005</v>
          </cell>
          <cell r="H4663" t="str">
            <v>SUN BUM</v>
          </cell>
          <cell r="I4663">
            <v>7.4</v>
          </cell>
        </row>
        <row r="4664">
          <cell r="A4664" t="str">
            <v>19-04663</v>
          </cell>
          <cell r="B4664" t="str">
            <v>SUN BUM</v>
          </cell>
          <cell r="C4664" t="str">
            <v>A</v>
          </cell>
          <cell r="D4664" t="str">
            <v>NO</v>
          </cell>
          <cell r="E4664" t="str">
            <v>80-41015 SUN BUM CONDITIONER 10OZ</v>
          </cell>
          <cell r="F4664" t="str">
            <v>ACONDICIONADOR</v>
          </cell>
          <cell r="G4664" t="str">
            <v>80-41015</v>
          </cell>
          <cell r="H4664" t="str">
            <v>SUN BUM</v>
          </cell>
          <cell r="I4664">
            <v>7.4</v>
          </cell>
        </row>
        <row r="4665">
          <cell r="A4665" t="str">
            <v>19-04664</v>
          </cell>
          <cell r="B4665" t="str">
            <v>SUN BUM</v>
          </cell>
          <cell r="C4665" t="str">
            <v>A</v>
          </cell>
          <cell r="D4665" t="str">
            <v>SI</v>
          </cell>
          <cell r="E4665" t="str">
            <v>80-41020 SUN BUM 3 IN 1 LEAVE IN 4OZ</v>
          </cell>
          <cell r="F4665" t="str">
            <v>SHAMPOO</v>
          </cell>
          <cell r="G4665" t="str">
            <v>80-41020</v>
          </cell>
          <cell r="H4665" t="str">
            <v>SUN BUM</v>
          </cell>
          <cell r="I4665">
            <v>6.15</v>
          </cell>
        </row>
        <row r="4666">
          <cell r="A4666" t="str">
            <v>19-04665</v>
          </cell>
          <cell r="B4666" t="str">
            <v>SUN BUM</v>
          </cell>
          <cell r="C4666" t="str">
            <v>A</v>
          </cell>
          <cell r="D4666" t="str">
            <v>NO</v>
          </cell>
          <cell r="E4666" t="str">
            <v>80-41025 SUN BUM SEA SPRAY 6OZ</v>
          </cell>
          <cell r="F4666" t="str">
            <v>SUN BLOCK</v>
          </cell>
          <cell r="G4666" t="str">
            <v>80-41025</v>
          </cell>
          <cell r="H4666" t="str">
            <v>SUN BUM</v>
          </cell>
          <cell r="I4666">
            <v>6.15</v>
          </cell>
        </row>
        <row r="4667">
          <cell r="A4667" t="str">
            <v>19-04666</v>
          </cell>
          <cell r="B4667" t="str">
            <v>SUN BUM</v>
          </cell>
          <cell r="C4667" t="str">
            <v>A</v>
          </cell>
          <cell r="D4667" t="str">
            <v>SI</v>
          </cell>
          <cell r="E4667" t="str">
            <v>80-41040 SUN BUM SHINE ON 3OZ</v>
          </cell>
          <cell r="F4667" t="str">
            <v>SUN BLOCK</v>
          </cell>
          <cell r="G4667" t="str">
            <v>80-41040</v>
          </cell>
          <cell r="H4667" t="str">
            <v>SUN BUM</v>
          </cell>
          <cell r="I4667">
            <v>8.1999999999999993</v>
          </cell>
        </row>
        <row r="4668">
          <cell r="A4668" t="str">
            <v>19-04667</v>
          </cell>
          <cell r="B4668" t="str">
            <v>SUN BUM</v>
          </cell>
          <cell r="C4668" t="str">
            <v>A</v>
          </cell>
          <cell r="D4668" t="str">
            <v>SI</v>
          </cell>
          <cell r="E4668" t="str">
            <v>20-75075 SUN BUM SUN BUM DAYTRIPPER KIT</v>
          </cell>
          <cell r="F4668" t="str">
            <v>SUN BLOCK</v>
          </cell>
          <cell r="G4668" t="str">
            <v>20-75075</v>
          </cell>
          <cell r="H4668" t="str">
            <v>SUN BUM</v>
          </cell>
          <cell r="I4668">
            <v>8.1999999999999993</v>
          </cell>
        </row>
        <row r="4669">
          <cell r="A4669" t="str">
            <v>19-04668</v>
          </cell>
          <cell r="B4669" t="str">
            <v>SUN BUM</v>
          </cell>
          <cell r="C4669" t="str">
            <v>A</v>
          </cell>
          <cell r="D4669" t="str">
            <v>NO</v>
          </cell>
          <cell r="E4669" t="str">
            <v>40-30010 SUN BUM LUCKY BUM FIGURE</v>
          </cell>
          <cell r="F4669" t="str">
            <v>LLAVERO</v>
          </cell>
          <cell r="G4669" t="str">
            <v>40-30010</v>
          </cell>
          <cell r="H4669" t="str">
            <v>SUN BUM</v>
          </cell>
          <cell r="I4669">
            <v>3.28</v>
          </cell>
        </row>
        <row r="4670">
          <cell r="A4670" t="str">
            <v>19-04669</v>
          </cell>
          <cell r="B4670" t="str">
            <v>SUN BUM</v>
          </cell>
          <cell r="C4670" t="str">
            <v>A</v>
          </cell>
          <cell r="D4670" t="str">
            <v>NO</v>
          </cell>
          <cell r="E4670" t="str">
            <v>40-30015 SUN BUM 9" SONNY VINYL FIGURE</v>
          </cell>
          <cell r="F4670" t="str">
            <v>JUGUETE</v>
          </cell>
          <cell r="G4670" t="str">
            <v>40-30015</v>
          </cell>
          <cell r="H4670" t="str">
            <v>SUN BUM</v>
          </cell>
          <cell r="I4670">
            <v>16.399999999999999</v>
          </cell>
        </row>
        <row r="4671">
          <cell r="A4671" t="str">
            <v>19-04670</v>
          </cell>
          <cell r="B4671" t="str">
            <v>SUN BUM</v>
          </cell>
          <cell r="C4671" t="str">
            <v>A</v>
          </cell>
          <cell r="D4671" t="str">
            <v>NO</v>
          </cell>
          <cell r="E4671" t="str">
            <v>40-30020 SUN BUM BEACH FOOTBALL</v>
          </cell>
          <cell r="F4671" t="str">
            <v>JUGUETE</v>
          </cell>
          <cell r="G4671" t="str">
            <v>40-30020</v>
          </cell>
          <cell r="H4671" t="str">
            <v>SUN BUM</v>
          </cell>
          <cell r="I4671">
            <v>7.4</v>
          </cell>
        </row>
        <row r="4672">
          <cell r="A4672" t="str">
            <v>19-04671</v>
          </cell>
          <cell r="B4672" t="str">
            <v>SUN BUM</v>
          </cell>
          <cell r="C4672" t="str">
            <v>A</v>
          </cell>
          <cell r="D4672" t="str">
            <v>NO</v>
          </cell>
          <cell r="E4672" t="str">
            <v>40-30050 SUN BUM BEACH PADDLEBALL SET</v>
          </cell>
          <cell r="F4672" t="str">
            <v>JUGUETE</v>
          </cell>
          <cell r="G4672" t="str">
            <v>40-30050</v>
          </cell>
          <cell r="H4672" t="str">
            <v>SUN BUM</v>
          </cell>
          <cell r="I4672">
            <v>8.1999999999999993</v>
          </cell>
        </row>
        <row r="4673">
          <cell r="A4673" t="str">
            <v>19-04672</v>
          </cell>
          <cell r="B4673" t="str">
            <v>SUN BUM</v>
          </cell>
          <cell r="C4673" t="str">
            <v>A</v>
          </cell>
          <cell r="D4673" t="str">
            <v>NO</v>
          </cell>
          <cell r="E4673" t="str">
            <v>40-30060 SUN BUM BEACH TOWEL - SONNY / YELLOW</v>
          </cell>
          <cell r="F4673" t="str">
            <v>TOALLA</v>
          </cell>
          <cell r="G4673" t="str">
            <v>40-30060</v>
          </cell>
          <cell r="H4673" t="str">
            <v>SUN BUM</v>
          </cell>
          <cell r="I4673">
            <v>12.3</v>
          </cell>
        </row>
        <row r="4674">
          <cell r="A4674" t="str">
            <v>19-04673</v>
          </cell>
          <cell r="B4674" t="str">
            <v>SUN BUM</v>
          </cell>
          <cell r="C4674" t="str">
            <v>A</v>
          </cell>
          <cell r="D4674" t="str">
            <v>NO</v>
          </cell>
          <cell r="E4674" t="str">
            <v>40-30030 SUN BUM BEACH FLYER</v>
          </cell>
          <cell r="F4674" t="str">
            <v>JUGUETE</v>
          </cell>
          <cell r="G4674" t="str">
            <v>40-30030</v>
          </cell>
          <cell r="H4674" t="str">
            <v>SUN BUM</v>
          </cell>
          <cell r="I4674">
            <v>6.15</v>
          </cell>
        </row>
        <row r="4675">
          <cell r="A4675" t="str">
            <v>19-04674</v>
          </cell>
          <cell r="B4675" t="str">
            <v>SUN BUM</v>
          </cell>
          <cell r="C4675" t="str">
            <v>A</v>
          </cell>
          <cell r="D4675" t="str">
            <v>NO</v>
          </cell>
          <cell r="E4675" t="str">
            <v>40-47005 SUN BUM SONNY/YELLOW &amp; BROWN TRUCKER CAP</v>
          </cell>
          <cell r="F4675" t="str">
            <v>GORRA</v>
          </cell>
          <cell r="G4675" t="str">
            <v>40-47005</v>
          </cell>
          <cell r="H4675" t="str">
            <v>SUN BUM</v>
          </cell>
          <cell r="I4675">
            <v>8.1999999999999993</v>
          </cell>
        </row>
        <row r="4676">
          <cell r="A4676" t="str">
            <v>19-04675</v>
          </cell>
          <cell r="B4676" t="str">
            <v>WEFORT LATAM</v>
          </cell>
          <cell r="C4676" t="str">
            <v>A</v>
          </cell>
          <cell r="D4676" t="str">
            <v>NO</v>
          </cell>
          <cell r="E4676" t="str">
            <v>W21120 LEGO THE SNOW HIDEOUT</v>
          </cell>
          <cell r="F4676" t="str">
            <v>JUGUETES</v>
          </cell>
          <cell r="G4676" t="str">
            <v>W21120</v>
          </cell>
          <cell r="H4676" t="str">
            <v>LEGO</v>
          </cell>
          <cell r="I4676">
            <v>34.14</v>
          </cell>
        </row>
        <row r="4677">
          <cell r="A4677" t="str">
            <v>19-04676</v>
          </cell>
          <cell r="B4677" t="str">
            <v>WEFORT LATAM</v>
          </cell>
          <cell r="C4677" t="str">
            <v>A</v>
          </cell>
          <cell r="D4677" t="str">
            <v>NO</v>
          </cell>
          <cell r="E4677" t="str">
            <v>W10811 LEGO BACKHOE LOADER</v>
          </cell>
          <cell r="F4677" t="str">
            <v>JUGUETES</v>
          </cell>
          <cell r="G4677" t="str">
            <v>W10811</v>
          </cell>
          <cell r="H4677" t="str">
            <v>LEGO</v>
          </cell>
          <cell r="I4677">
            <v>16.239999999999998</v>
          </cell>
        </row>
        <row r="4678">
          <cell r="A4678" t="str">
            <v>19-04677</v>
          </cell>
          <cell r="B4678" t="str">
            <v>WEFORT LATAM</v>
          </cell>
          <cell r="C4678" t="str">
            <v>A</v>
          </cell>
          <cell r="D4678" t="str">
            <v>NO</v>
          </cell>
          <cell r="E4678" t="str">
            <v>W75874 LEGO CHEVROLET CAMARO DRAG RACE</v>
          </cell>
          <cell r="F4678" t="str">
            <v>JUGUETES</v>
          </cell>
          <cell r="G4678" t="str">
            <v>W75874</v>
          </cell>
          <cell r="H4678" t="str">
            <v>LEGO</v>
          </cell>
          <cell r="I4678">
            <v>32.17</v>
          </cell>
        </row>
        <row r="4679">
          <cell r="A4679" t="str">
            <v>19-04678</v>
          </cell>
          <cell r="B4679" t="str">
            <v>WEFORT LATAM</v>
          </cell>
          <cell r="C4679" t="str">
            <v>A</v>
          </cell>
          <cell r="D4679" t="str">
            <v>SI</v>
          </cell>
          <cell r="E4679" t="str">
            <v>W60100 LEGO CITY AIRPORT STARTER SET</v>
          </cell>
          <cell r="F4679" t="str">
            <v>JUGUETES</v>
          </cell>
          <cell r="G4679" t="str">
            <v>W60100</v>
          </cell>
          <cell r="H4679" t="str">
            <v>LEGO</v>
          </cell>
          <cell r="I4679">
            <v>9.76</v>
          </cell>
        </row>
        <row r="4680">
          <cell r="A4680" t="str">
            <v>19-04679</v>
          </cell>
          <cell r="B4680" t="str">
            <v>WEFORT LATAM</v>
          </cell>
          <cell r="C4680" t="str">
            <v>A</v>
          </cell>
          <cell r="D4680" t="str">
            <v>NO</v>
          </cell>
          <cell r="E4680" t="str">
            <v>W76056 LEGO SUPER HEROES BATMAN RESCUE FROM RAS AL GHUL</v>
          </cell>
          <cell r="F4680" t="str">
            <v>JUGUETES</v>
          </cell>
          <cell r="G4680" t="str">
            <v>W76056</v>
          </cell>
          <cell r="H4680" t="str">
            <v>LEGO</v>
          </cell>
          <cell r="I4680">
            <v>33.299999999999997</v>
          </cell>
        </row>
        <row r="4681">
          <cell r="A4681" t="str">
            <v>19-04680</v>
          </cell>
          <cell r="B4681" t="str">
            <v>WEFORT LATAM</v>
          </cell>
          <cell r="C4681" t="str">
            <v>A</v>
          </cell>
          <cell r="D4681" t="str">
            <v>NO</v>
          </cell>
          <cell r="E4681" t="str">
            <v>W60104 LEGO CITY AIRPORT PASSENGER TERMINAL</v>
          </cell>
          <cell r="F4681" t="str">
            <v>JUGUETES</v>
          </cell>
          <cell r="G4681" t="str">
            <v>W60104</v>
          </cell>
          <cell r="H4681" t="str">
            <v>LEGO</v>
          </cell>
          <cell r="I4681">
            <v>133.21</v>
          </cell>
        </row>
        <row r="4682">
          <cell r="A4682" t="str">
            <v>19-04681</v>
          </cell>
          <cell r="B4682" t="str">
            <v>WEFORT LATAM</v>
          </cell>
          <cell r="C4682" t="str">
            <v>A</v>
          </cell>
          <cell r="D4682" t="str">
            <v>SI</v>
          </cell>
          <cell r="E4682" t="str">
            <v>W60120 LEGO CITY VOLCANO STARTER SET</v>
          </cell>
          <cell r="F4682" t="str">
            <v>JUGUETES</v>
          </cell>
          <cell r="G4682" t="str">
            <v>W60120</v>
          </cell>
          <cell r="H4682" t="str">
            <v>LEGO</v>
          </cell>
          <cell r="I4682">
            <v>9.76</v>
          </cell>
        </row>
        <row r="4683">
          <cell r="A4683" t="str">
            <v>19-04682</v>
          </cell>
          <cell r="B4683" t="str">
            <v>WEFORT LATAM</v>
          </cell>
          <cell r="C4683" t="str">
            <v>A</v>
          </cell>
          <cell r="D4683" t="str">
            <v>NO</v>
          </cell>
          <cell r="E4683" t="str">
            <v>W75152 LEGO STAR WARS IMPERIAL ASSAULT HOVERTANK</v>
          </cell>
          <cell r="F4683" t="str">
            <v>JUGUETES</v>
          </cell>
          <cell r="G4683" t="str">
            <v>W75152</v>
          </cell>
          <cell r="H4683" t="str">
            <v>LEGO</v>
          </cell>
          <cell r="I4683">
            <v>22.2</v>
          </cell>
        </row>
        <row r="4684">
          <cell r="A4684" t="str">
            <v>19-04683</v>
          </cell>
          <cell r="B4684" t="str">
            <v>WEFORT LATAM</v>
          </cell>
          <cell r="C4684" t="str">
            <v>A</v>
          </cell>
          <cell r="D4684" t="str">
            <v>NO</v>
          </cell>
          <cell r="E4684" t="str">
            <v>W42039 LEGO TECHNIC 24 HOUR RACE CAR</v>
          </cell>
          <cell r="F4684" t="str">
            <v>JUGUETES</v>
          </cell>
          <cell r="G4684" t="str">
            <v>W42039</v>
          </cell>
          <cell r="H4684" t="str">
            <v>LEGO</v>
          </cell>
          <cell r="I4684">
            <v>144.32</v>
          </cell>
        </row>
        <row r="4685">
          <cell r="A4685" t="str">
            <v>19-04684</v>
          </cell>
          <cell r="B4685" t="str">
            <v>WEFORT LATAM</v>
          </cell>
          <cell r="C4685" t="str">
            <v>A</v>
          </cell>
          <cell r="D4685" t="str">
            <v>SI</v>
          </cell>
          <cell r="E4685" t="str">
            <v>W31054 LEGO CREATOR BLUE EXPRESS</v>
          </cell>
          <cell r="F4685" t="str">
            <v>JUGUETES</v>
          </cell>
          <cell r="G4685" t="str">
            <v>W31054</v>
          </cell>
          <cell r="H4685" t="str">
            <v>LEGO</v>
          </cell>
          <cell r="I4685">
            <v>5.48</v>
          </cell>
        </row>
        <row r="4686">
          <cell r="A4686" t="str">
            <v>19-04685</v>
          </cell>
          <cell r="B4686" t="str">
            <v>WEFORT LATAM</v>
          </cell>
          <cell r="C4686" t="str">
            <v>A</v>
          </cell>
          <cell r="D4686" t="str">
            <v>SI</v>
          </cell>
          <cell r="E4686" t="str">
            <v>W31056 LEGO CREATOR GREEN CRUISER</v>
          </cell>
          <cell r="F4686" t="str">
            <v>JUGUETES</v>
          </cell>
          <cell r="G4686" t="str">
            <v>W31056</v>
          </cell>
          <cell r="H4686" t="str">
            <v>LEGO</v>
          </cell>
          <cell r="I4686">
            <v>9.9499999999999993</v>
          </cell>
        </row>
        <row r="4687">
          <cell r="A4687" t="str">
            <v>19-04686</v>
          </cell>
          <cell r="B4687" t="str">
            <v>WEFORT LATAM</v>
          </cell>
          <cell r="C4687" t="str">
            <v>A</v>
          </cell>
          <cell r="D4687" t="str">
            <v>NO</v>
          </cell>
          <cell r="E4687" t="str">
            <v>W31059 LEGO CREATOR SUNSET STREET BIKE</v>
          </cell>
          <cell r="F4687" t="str">
            <v>JUGUETES</v>
          </cell>
          <cell r="G4687" t="str">
            <v>W31059</v>
          </cell>
          <cell r="H4687" t="str">
            <v>LEGO</v>
          </cell>
          <cell r="I4687">
            <v>20.91</v>
          </cell>
        </row>
        <row r="4688">
          <cell r="A4688" t="str">
            <v>19-04687</v>
          </cell>
          <cell r="B4688" t="str">
            <v>WEFORT LATAM</v>
          </cell>
          <cell r="C4688" t="str">
            <v>A</v>
          </cell>
          <cell r="D4688" t="str">
            <v>NO</v>
          </cell>
          <cell r="E4688" t="str">
            <v>W31060 LEGO CREATOR AIRSHOW ACES</v>
          </cell>
          <cell r="F4688" t="str">
            <v>JUGUETES</v>
          </cell>
          <cell r="G4688" t="str">
            <v>W31060</v>
          </cell>
          <cell r="H4688" t="str">
            <v>LEGO</v>
          </cell>
          <cell r="I4688">
            <v>20.91</v>
          </cell>
        </row>
        <row r="4689">
          <cell r="A4689" t="str">
            <v>19-04688</v>
          </cell>
          <cell r="B4689" t="str">
            <v>WEFORT LATAM</v>
          </cell>
          <cell r="C4689" t="str">
            <v>A</v>
          </cell>
          <cell r="D4689" t="str">
            <v>NO</v>
          </cell>
          <cell r="E4689" t="str">
            <v>W10724 LEGO JUNIORS BATMAN &amp; SUPERMAN VS LEX LUTHOR</v>
          </cell>
          <cell r="F4689" t="str">
            <v>JUGUETES</v>
          </cell>
          <cell r="G4689" t="str">
            <v>W10724</v>
          </cell>
          <cell r="H4689" t="str">
            <v>LEGO</v>
          </cell>
          <cell r="I4689">
            <v>21.69</v>
          </cell>
        </row>
        <row r="4690">
          <cell r="A4690" t="str">
            <v>19-04689</v>
          </cell>
          <cell r="B4690" t="str">
            <v>WEFORT LATAM</v>
          </cell>
          <cell r="C4690" t="str">
            <v>A</v>
          </cell>
          <cell r="D4690" t="str">
            <v>NO</v>
          </cell>
          <cell r="E4690" t="str">
            <v>W10736 LEGO JUNIORS ANNA&amp; ELSA'S FROZEN PLAYGROUND</v>
          </cell>
          <cell r="F4690" t="str">
            <v>JUGUETES</v>
          </cell>
          <cell r="G4690" t="str">
            <v>W10736</v>
          </cell>
          <cell r="H4690" t="str">
            <v>LEGO</v>
          </cell>
          <cell r="I4690">
            <v>27.48</v>
          </cell>
        </row>
        <row r="4691">
          <cell r="A4691" t="str">
            <v>19-04690</v>
          </cell>
          <cell r="B4691" t="str">
            <v>WEFORT LATAM</v>
          </cell>
          <cell r="C4691" t="str">
            <v>A</v>
          </cell>
          <cell r="D4691" t="str">
            <v>NO</v>
          </cell>
          <cell r="E4691" t="str">
            <v>W10847 LEGO DUPLO NUMBER TRAIN</v>
          </cell>
          <cell r="F4691" t="str">
            <v>JUGUETES</v>
          </cell>
          <cell r="G4691" t="str">
            <v>W10847</v>
          </cell>
          <cell r="H4691" t="str">
            <v>LEGO</v>
          </cell>
          <cell r="I4691">
            <v>20.91</v>
          </cell>
        </row>
        <row r="4692">
          <cell r="A4692" t="str">
            <v>19-04691</v>
          </cell>
          <cell r="B4692" t="str">
            <v>WEFORT LATAM</v>
          </cell>
          <cell r="C4692" t="str">
            <v>A</v>
          </cell>
          <cell r="D4692" t="str">
            <v>NO</v>
          </cell>
          <cell r="E4692" t="str">
            <v>W41128 LEGO FRIENDS AMUSEMENT PARK SPACE RIDE</v>
          </cell>
          <cell r="F4692" t="str">
            <v>JUGUETES</v>
          </cell>
          <cell r="G4692" t="str">
            <v>W41128</v>
          </cell>
          <cell r="H4692" t="str">
            <v>LEGO</v>
          </cell>
          <cell r="I4692">
            <v>21.69</v>
          </cell>
        </row>
        <row r="4693">
          <cell r="A4693" t="str">
            <v>19-04692</v>
          </cell>
          <cell r="B4693" t="str">
            <v>WEFORT LATAM</v>
          </cell>
          <cell r="C4693" t="str">
            <v>A</v>
          </cell>
          <cell r="D4693" t="str">
            <v>NO</v>
          </cell>
          <cell r="E4693" t="str">
            <v>W41150 LEGO DISNEY PRINCESS MOANA'S OCEAN VOYAGE</v>
          </cell>
          <cell r="F4693" t="str">
            <v>JUGUETES</v>
          </cell>
          <cell r="G4693" t="str">
            <v>W41150</v>
          </cell>
          <cell r="H4693" t="str">
            <v>LEGO</v>
          </cell>
          <cell r="I4693">
            <v>45.35</v>
          </cell>
        </row>
        <row r="4694">
          <cell r="A4694" t="str">
            <v>19-04693</v>
          </cell>
          <cell r="B4694" t="str">
            <v>WEFORT LATAM</v>
          </cell>
          <cell r="C4694" t="str">
            <v>A</v>
          </cell>
          <cell r="D4694" t="str">
            <v>SI</v>
          </cell>
          <cell r="E4694" t="str">
            <v>W41305 LEGO FRIENDS EMMA'S PHOTO STUDIO</v>
          </cell>
          <cell r="F4694" t="str">
            <v>JUGUETES</v>
          </cell>
          <cell r="G4694" t="str">
            <v>W41305</v>
          </cell>
          <cell r="H4694" t="str">
            <v>LEGO</v>
          </cell>
          <cell r="I4694">
            <v>9.9499999999999993</v>
          </cell>
        </row>
        <row r="4695">
          <cell r="A4695" t="str">
            <v>19-04694</v>
          </cell>
          <cell r="B4695" t="str">
            <v>WEFORT LATAM</v>
          </cell>
          <cell r="C4695" t="str">
            <v>A</v>
          </cell>
          <cell r="D4695" t="str">
            <v>NO</v>
          </cell>
          <cell r="E4695" t="str">
            <v>W41310 LEGO FRIENDS HEARTLAKE GIFT DELIVERY</v>
          </cell>
          <cell r="F4695" t="str">
            <v>JUGUETES</v>
          </cell>
          <cell r="G4695" t="str">
            <v>W41310</v>
          </cell>
          <cell r="H4695" t="str">
            <v>LEGO</v>
          </cell>
          <cell r="I4695">
            <v>20.91</v>
          </cell>
        </row>
        <row r="4696">
          <cell r="A4696" t="str">
            <v>19-04695</v>
          </cell>
          <cell r="B4696" t="str">
            <v>WEFORT LATAM</v>
          </cell>
          <cell r="C4696" t="str">
            <v>A</v>
          </cell>
          <cell r="D4696" t="str">
            <v>NO</v>
          </cell>
          <cell r="E4696" t="str">
            <v>W41311 LEGO FRIENDS HEARTLAKE PIZZERIA</v>
          </cell>
          <cell r="F4696" t="str">
            <v>JUGUETES</v>
          </cell>
          <cell r="G4696" t="str">
            <v>W41311</v>
          </cell>
          <cell r="H4696" t="str">
            <v>LEGO</v>
          </cell>
          <cell r="I4696">
            <v>34.29</v>
          </cell>
        </row>
        <row r="4697">
          <cell r="A4697" t="str">
            <v>19-04696</v>
          </cell>
          <cell r="B4697" t="str">
            <v>WEFORT LATAM</v>
          </cell>
          <cell r="C4697" t="str">
            <v>A</v>
          </cell>
          <cell r="D4697" t="str">
            <v>NO</v>
          </cell>
          <cell r="E4697" t="str">
            <v>W42059 LEGO TECHNIC STUNT TRUCK</v>
          </cell>
          <cell r="F4697" t="str">
            <v>JUGUETES</v>
          </cell>
          <cell r="G4697" t="str">
            <v>W42059</v>
          </cell>
          <cell r="H4697" t="str">
            <v>LEGO</v>
          </cell>
          <cell r="I4697">
            <v>20.91</v>
          </cell>
        </row>
        <row r="4698">
          <cell r="A4698" t="str">
            <v>19-04697</v>
          </cell>
          <cell r="B4698" t="str">
            <v>WEFORT LATAM</v>
          </cell>
          <cell r="C4698" t="str">
            <v>A</v>
          </cell>
          <cell r="D4698" t="str">
            <v>SI</v>
          </cell>
          <cell r="E4698" t="str">
            <v>W60135 LEGO CITY ATV ARREST</v>
          </cell>
          <cell r="F4698" t="str">
            <v>JUGUETES</v>
          </cell>
          <cell r="G4698" t="str">
            <v>W60135</v>
          </cell>
          <cell r="H4698" t="str">
            <v>LEGO</v>
          </cell>
          <cell r="I4698">
            <v>7.7</v>
          </cell>
        </row>
        <row r="4699">
          <cell r="A4699" t="str">
            <v>19-04698</v>
          </cell>
          <cell r="B4699" t="str">
            <v>WEFORT LATAM</v>
          </cell>
          <cell r="C4699" t="str">
            <v>A</v>
          </cell>
          <cell r="D4699" t="str">
            <v>SI</v>
          </cell>
          <cell r="E4699" t="str">
            <v>W60136 LEGO CITY POLICE STARTER SET</v>
          </cell>
          <cell r="F4699" t="str">
            <v>JUGUETES</v>
          </cell>
          <cell r="G4699" t="str">
            <v>W60136</v>
          </cell>
          <cell r="H4699" t="str">
            <v>LEGO</v>
          </cell>
          <cell r="I4699">
            <v>9.9499999999999993</v>
          </cell>
        </row>
        <row r="4700">
          <cell r="A4700" t="str">
            <v>19-04699</v>
          </cell>
          <cell r="B4700" t="str">
            <v>WEFORT LATAM</v>
          </cell>
          <cell r="C4700" t="str">
            <v>A</v>
          </cell>
          <cell r="D4700" t="str">
            <v>NO</v>
          </cell>
          <cell r="E4700" t="str">
            <v>W60138 LEGO CITY HIGH SPEED CHASE</v>
          </cell>
          <cell r="F4700" t="str">
            <v>JUGUETES</v>
          </cell>
          <cell r="G4700" t="str">
            <v>W60138</v>
          </cell>
          <cell r="H4700" t="str">
            <v>LEGO</v>
          </cell>
          <cell r="I4700">
            <v>45.35</v>
          </cell>
        </row>
        <row r="4701">
          <cell r="A4701" t="str">
            <v>19-04700</v>
          </cell>
          <cell r="B4701" t="str">
            <v>WEFORT LATAM</v>
          </cell>
          <cell r="C4701" t="str">
            <v>A</v>
          </cell>
          <cell r="D4701" t="str">
            <v>SI</v>
          </cell>
          <cell r="E4701" t="str">
            <v>W60144 LEGO CITY RACE PLANE</v>
          </cell>
          <cell r="F4701" t="str">
            <v>JUGUETES</v>
          </cell>
          <cell r="G4701" t="str">
            <v>W60144</v>
          </cell>
          <cell r="H4701" t="str">
            <v>LEGO</v>
          </cell>
          <cell r="I4701">
            <v>9.9499999999999993</v>
          </cell>
        </row>
        <row r="4702">
          <cell r="A4702" t="str">
            <v>19-04701</v>
          </cell>
          <cell r="B4702" t="str">
            <v>WEFORT LATAM</v>
          </cell>
          <cell r="C4702" t="str">
            <v>A</v>
          </cell>
          <cell r="D4702" t="str">
            <v>NO</v>
          </cell>
          <cell r="E4702" t="str">
            <v>W60148 LEGO CITY ATV RACE TEAM</v>
          </cell>
          <cell r="F4702" t="str">
            <v>JUGUETES</v>
          </cell>
          <cell r="G4702" t="str">
            <v>W60148</v>
          </cell>
          <cell r="H4702" t="str">
            <v>LEGO</v>
          </cell>
          <cell r="I4702">
            <v>20.91</v>
          </cell>
        </row>
        <row r="4703">
          <cell r="A4703" t="str">
            <v>19-04702</v>
          </cell>
          <cell r="B4703" t="str">
            <v>WEFORT LATAM</v>
          </cell>
          <cell r="C4703" t="str">
            <v>A</v>
          </cell>
          <cell r="D4703" t="str">
            <v>NO</v>
          </cell>
          <cell r="E4703" t="str">
            <v>W60150 LEGO CITY PIZZA VAN</v>
          </cell>
          <cell r="F4703" t="str">
            <v>JUGUETES</v>
          </cell>
          <cell r="G4703" t="str">
            <v>W60150</v>
          </cell>
          <cell r="H4703" t="str">
            <v>LEGO</v>
          </cell>
          <cell r="I4703">
            <v>20.91</v>
          </cell>
        </row>
        <row r="4704">
          <cell r="A4704" t="str">
            <v>19-04703</v>
          </cell>
          <cell r="B4704" t="str">
            <v>WEFORT LATAM</v>
          </cell>
          <cell r="C4704" t="str">
            <v>A</v>
          </cell>
          <cell r="D4704" t="str">
            <v>SI</v>
          </cell>
          <cell r="E4704" t="str">
            <v>W70621 LEGO NINJAGO THE VERMILLION ATTACK</v>
          </cell>
          <cell r="F4704" t="str">
            <v>JUGUETES</v>
          </cell>
          <cell r="G4704" t="str">
            <v>W70621</v>
          </cell>
          <cell r="H4704" t="str">
            <v>LEGO</v>
          </cell>
          <cell r="I4704">
            <v>9.9499999999999993</v>
          </cell>
        </row>
        <row r="4705">
          <cell r="A4705" t="str">
            <v>19-04704</v>
          </cell>
          <cell r="B4705" t="str">
            <v>WEFORT LATAM</v>
          </cell>
          <cell r="C4705" t="str">
            <v>A</v>
          </cell>
          <cell r="D4705" t="str">
            <v>NO</v>
          </cell>
          <cell r="E4705" t="str">
            <v>W70622 LEGO NINJAGO DESERT LIGHTNING</v>
          </cell>
          <cell r="F4705" t="str">
            <v>JUGUETES</v>
          </cell>
          <cell r="G4705" t="str">
            <v>W70622</v>
          </cell>
          <cell r="H4705" t="str">
            <v>LEGO</v>
          </cell>
          <cell r="I4705">
            <v>20.91</v>
          </cell>
        </row>
        <row r="4706">
          <cell r="A4706" t="str">
            <v>19-04705</v>
          </cell>
          <cell r="B4706" t="str">
            <v>WEFORT LATAM</v>
          </cell>
          <cell r="C4706" t="str">
            <v>A</v>
          </cell>
          <cell r="D4706" t="str">
            <v>NO</v>
          </cell>
          <cell r="E4706" t="str">
            <v>W70623 LEGO NINJAGO DESTINY'S SHADOW</v>
          </cell>
          <cell r="F4706" t="str">
            <v>JUGUETES</v>
          </cell>
          <cell r="G4706" t="str">
            <v>W70623</v>
          </cell>
          <cell r="H4706" t="str">
            <v>LEGO</v>
          </cell>
          <cell r="I4706">
            <v>34.29</v>
          </cell>
        </row>
        <row r="4707">
          <cell r="A4707" t="str">
            <v>19-04706</v>
          </cell>
          <cell r="B4707" t="str">
            <v>WEFORT LATAM</v>
          </cell>
          <cell r="C4707" t="str">
            <v>A</v>
          </cell>
          <cell r="D4707" t="str">
            <v>NO</v>
          </cell>
          <cell r="E4707" t="str">
            <v>W70625 LEGO NINJAGO SAMURAI VXL</v>
          </cell>
          <cell r="F4707" t="str">
            <v>JUGUETES</v>
          </cell>
          <cell r="G4707" t="str">
            <v>W70625</v>
          </cell>
          <cell r="H4707" t="str">
            <v>LEGO</v>
          </cell>
          <cell r="I4707">
            <v>55.83</v>
          </cell>
        </row>
        <row r="4708">
          <cell r="A4708" t="str">
            <v>19-04707</v>
          </cell>
          <cell r="B4708" t="str">
            <v>WEFORT LATAM</v>
          </cell>
          <cell r="C4708" t="str">
            <v>A</v>
          </cell>
          <cell r="D4708" t="str">
            <v>SI</v>
          </cell>
          <cell r="E4708" t="str">
            <v>W70900 LEGO BATMAN MOVIE THE JOKER BALLOON ESCAPE</v>
          </cell>
          <cell r="F4708" t="str">
            <v>JUGUETES</v>
          </cell>
          <cell r="G4708" t="str">
            <v>W70900</v>
          </cell>
          <cell r="H4708" t="str">
            <v>LEGO</v>
          </cell>
          <cell r="I4708">
            <v>16.41</v>
          </cell>
        </row>
        <row r="4709">
          <cell r="A4709" t="str">
            <v>19-04708</v>
          </cell>
          <cell r="B4709" t="str">
            <v>WEFORT LATAM</v>
          </cell>
          <cell r="C4709" t="str">
            <v>A</v>
          </cell>
          <cell r="D4709" t="str">
            <v>NO</v>
          </cell>
          <cell r="E4709" t="str">
            <v>W70911 LEGO BATMAN MOVIE THE PENGUIN ARTIC ROLLER</v>
          </cell>
          <cell r="F4709" t="str">
            <v>JUGUETES</v>
          </cell>
          <cell r="G4709" t="str">
            <v>W70911</v>
          </cell>
          <cell r="H4709" t="str">
            <v>LEGO</v>
          </cell>
          <cell r="I4709">
            <v>34.29</v>
          </cell>
        </row>
        <row r="4710">
          <cell r="A4710" t="str">
            <v>19-04709</v>
          </cell>
          <cell r="B4710" t="str">
            <v>WEFORT LATAM</v>
          </cell>
          <cell r="C4710" t="str">
            <v>A</v>
          </cell>
          <cell r="D4710" t="str">
            <v>SI</v>
          </cell>
          <cell r="E4710" t="str">
            <v>W76068 LEGO SUPERHEROES MIGHTY MICROS: SUPERMAN VS BIZARRO</v>
          </cell>
          <cell r="F4710" t="str">
            <v>JUGUETES</v>
          </cell>
          <cell r="G4710" t="str">
            <v>W76068</v>
          </cell>
          <cell r="H4710" t="str">
            <v>LEGO</v>
          </cell>
          <cell r="I4710">
            <v>9.9499999999999993</v>
          </cell>
        </row>
        <row r="4711">
          <cell r="A4711" t="str">
            <v>19-04710</v>
          </cell>
          <cell r="B4711" t="str">
            <v>WEFORT LATAM</v>
          </cell>
          <cell r="C4711" t="str">
            <v>A</v>
          </cell>
          <cell r="D4711" t="str">
            <v>SI</v>
          </cell>
          <cell r="E4711" t="str">
            <v>W76071 LEGO SUPERHEROES MIGHTY MICROS: SPIDERMAN VS SCORPION</v>
          </cell>
          <cell r="F4711" t="str">
            <v>JUGUETES</v>
          </cell>
          <cell r="G4711" t="str">
            <v>W76071</v>
          </cell>
          <cell r="H4711" t="str">
            <v>LEGO</v>
          </cell>
          <cell r="I4711">
            <v>9.9499999999999993</v>
          </cell>
        </row>
        <row r="4712">
          <cell r="A4712" t="str">
            <v>19-04711</v>
          </cell>
          <cell r="B4712" t="str">
            <v>WEFORT LATAM</v>
          </cell>
          <cell r="C4712" t="str">
            <v>A</v>
          </cell>
          <cell r="D4712" t="str">
            <v>SI</v>
          </cell>
          <cell r="E4712" t="str">
            <v>W76072 LEGO SUPERHEROES MIGHTY MICROS: IRONMAN VS THANOS</v>
          </cell>
          <cell r="F4712" t="str">
            <v>JUGUETES</v>
          </cell>
          <cell r="G4712" t="str">
            <v>W76072</v>
          </cell>
          <cell r="H4712" t="str">
            <v>LEGO</v>
          </cell>
          <cell r="I4712">
            <v>9.9499999999999993</v>
          </cell>
        </row>
        <row r="4713">
          <cell r="A4713" t="str">
            <v>19-04712</v>
          </cell>
          <cell r="B4713" t="str">
            <v>WEFORT LATAM</v>
          </cell>
          <cell r="C4713" t="str">
            <v>A</v>
          </cell>
          <cell r="D4713" t="str">
            <v>NO</v>
          </cell>
          <cell r="E4713" t="str">
            <v>WDPP90 MATTEL BARBIE RAINBOW PRINCESS #1</v>
          </cell>
          <cell r="F4713" t="str">
            <v>JUGUETES</v>
          </cell>
          <cell r="G4713" t="str">
            <v>WDPP90</v>
          </cell>
          <cell r="H4713" t="str">
            <v>MATTEL</v>
          </cell>
          <cell r="I4713">
            <v>20.37</v>
          </cell>
        </row>
        <row r="4714">
          <cell r="A4714" t="str">
            <v>19-04713</v>
          </cell>
          <cell r="B4714" t="str">
            <v>WEFORT LATAM</v>
          </cell>
          <cell r="C4714" t="str">
            <v>A</v>
          </cell>
          <cell r="D4714" t="str">
            <v>NO</v>
          </cell>
          <cell r="E4714" t="str">
            <v>WDMC10 MATTEL BARBIE SPIN ART &amp; DOLL</v>
          </cell>
          <cell r="F4714" t="str">
            <v>JUGUETES</v>
          </cell>
          <cell r="G4714" t="str">
            <v>WDMC10</v>
          </cell>
          <cell r="H4714" t="str">
            <v>MATTEL</v>
          </cell>
          <cell r="I4714">
            <v>20.05</v>
          </cell>
        </row>
        <row r="4715">
          <cell r="A4715" t="str">
            <v>19-04714</v>
          </cell>
          <cell r="B4715" t="str">
            <v>WEFORT LATAM</v>
          </cell>
          <cell r="C4715" t="str">
            <v>A</v>
          </cell>
          <cell r="D4715" t="str">
            <v>NO</v>
          </cell>
          <cell r="E4715" t="str">
            <v>WDMB30 MATTEL BARBIE TOTAL TRANSFORMATION</v>
          </cell>
          <cell r="F4715" t="str">
            <v>JUGUETES</v>
          </cell>
          <cell r="G4715" t="str">
            <v>WDMB30</v>
          </cell>
          <cell r="H4715" t="str">
            <v>MATTEL</v>
          </cell>
          <cell r="I4715">
            <v>18.11</v>
          </cell>
        </row>
        <row r="4716">
          <cell r="A4716" t="str">
            <v>19-04715</v>
          </cell>
          <cell r="B4716" t="str">
            <v>WEFORT LATAM</v>
          </cell>
          <cell r="C4716" t="str">
            <v>A</v>
          </cell>
          <cell r="D4716" t="str">
            <v>NO</v>
          </cell>
          <cell r="E4716" t="str">
            <v>WDGY73 MATTEL BARBIE GLAM VACATION ASSORTMENT</v>
          </cell>
          <cell r="F4716" t="str">
            <v>JUGUETES</v>
          </cell>
          <cell r="G4716" t="str">
            <v>WDGY73</v>
          </cell>
          <cell r="H4716" t="str">
            <v>MATTEL</v>
          </cell>
          <cell r="I4716">
            <v>15.28</v>
          </cell>
        </row>
        <row r="4717">
          <cell r="A4717" t="str">
            <v>19-04716</v>
          </cell>
          <cell r="B4717" t="str">
            <v>WEFORT LATAM</v>
          </cell>
          <cell r="C4717" t="str">
            <v>A</v>
          </cell>
          <cell r="D4717" t="str">
            <v>NO</v>
          </cell>
          <cell r="E4717" t="str">
            <v>WDHB71 MATTEL BARBIE FARM VET LARGE PLAYSET</v>
          </cell>
          <cell r="F4717" t="str">
            <v>JUGUETES</v>
          </cell>
          <cell r="G4717" t="str">
            <v>WDHB71</v>
          </cell>
          <cell r="H4717" t="str">
            <v>MATTEL</v>
          </cell>
          <cell r="I4717">
            <v>21.95</v>
          </cell>
        </row>
        <row r="4718">
          <cell r="A4718" t="str">
            <v>19-04717</v>
          </cell>
          <cell r="B4718" t="str">
            <v>WEFORT LATAM</v>
          </cell>
          <cell r="C4718" t="str">
            <v>A</v>
          </cell>
          <cell r="D4718" t="str">
            <v>NO</v>
          </cell>
          <cell r="E4718" t="str">
            <v>WDTD96  MATTEL BARBIE FASHIONISTA DOLL/FASHION ASST.</v>
          </cell>
          <cell r="F4718" t="str">
            <v>JUGUETES</v>
          </cell>
          <cell r="G4718" t="str">
            <v>WDTD96</v>
          </cell>
          <cell r="H4718" t="str">
            <v>MATTEL</v>
          </cell>
          <cell r="I4718">
            <v>16.350000000000001</v>
          </cell>
        </row>
        <row r="4719">
          <cell r="A4719" t="str">
            <v>19-04718</v>
          </cell>
          <cell r="B4719" t="str">
            <v>WEFORT LATAM</v>
          </cell>
          <cell r="C4719" t="str">
            <v>A</v>
          </cell>
          <cell r="D4719" t="str">
            <v>NO</v>
          </cell>
          <cell r="E4719" t="str">
            <v>WDHW21 MATTEL MAX STEEL TURBO FUERZA</v>
          </cell>
          <cell r="F4719" t="str">
            <v>JUGUETES</v>
          </cell>
          <cell r="G4719" t="str">
            <v>WDHW21</v>
          </cell>
          <cell r="H4719" t="str">
            <v>MATTEL</v>
          </cell>
          <cell r="I4719">
            <v>27.588999999999999</v>
          </cell>
        </row>
        <row r="4720">
          <cell r="A4720" t="str">
            <v>19-04719</v>
          </cell>
          <cell r="B4720" t="str">
            <v>WEFORT LATAM</v>
          </cell>
          <cell r="C4720" t="str">
            <v>A</v>
          </cell>
          <cell r="D4720" t="str">
            <v>NO</v>
          </cell>
          <cell r="E4720" t="str">
            <v>WDNM90 MATTEL MAX STEEL TORPEDO ATTACK MAX</v>
          </cell>
          <cell r="F4720" t="str">
            <v>JUGUETES</v>
          </cell>
          <cell r="G4720" t="str">
            <v>WDNM90</v>
          </cell>
          <cell r="H4720" t="str">
            <v>MATTEL</v>
          </cell>
          <cell r="I4720">
            <v>28.04</v>
          </cell>
        </row>
        <row r="4721">
          <cell r="A4721" t="str">
            <v>19-04720</v>
          </cell>
          <cell r="B4721" t="str">
            <v>WEFORT LATAM</v>
          </cell>
          <cell r="C4721" t="str">
            <v>A</v>
          </cell>
          <cell r="D4721" t="str">
            <v>NO</v>
          </cell>
          <cell r="E4721" t="str">
            <v>WDHC40 MATTEL BARBIE RAINBOW LIGHTS MERMAID</v>
          </cell>
          <cell r="F4721" t="str">
            <v>JUGUETES</v>
          </cell>
          <cell r="G4721" t="str">
            <v>WDHC40</v>
          </cell>
          <cell r="H4721" t="str">
            <v>MATTEL</v>
          </cell>
          <cell r="I4721">
            <v>20.37</v>
          </cell>
        </row>
        <row r="4722">
          <cell r="A4722" t="str">
            <v>19-04721</v>
          </cell>
          <cell r="B4722" t="str">
            <v>WEFORT LATAM</v>
          </cell>
          <cell r="C4722" t="str">
            <v>A</v>
          </cell>
          <cell r="D4722" t="str">
            <v>NO</v>
          </cell>
          <cell r="E4722" t="str">
            <v>WCFB65 MATTEL BARBIE GLAM GETAWAY HOUSE</v>
          </cell>
          <cell r="F4722" t="str">
            <v>JUGUETES</v>
          </cell>
          <cell r="G4722" t="str">
            <v>WCFB65</v>
          </cell>
          <cell r="H4722" t="str">
            <v>MATTEL</v>
          </cell>
          <cell r="I4722">
            <v>40.479999999999997</v>
          </cell>
        </row>
        <row r="4723">
          <cell r="A4723" t="str">
            <v>19-04722</v>
          </cell>
          <cell r="B4723" t="str">
            <v>WEFORT LATAM</v>
          </cell>
          <cell r="C4723" t="str">
            <v>A</v>
          </cell>
          <cell r="D4723" t="str">
            <v>NO</v>
          </cell>
          <cell r="E4723" t="str">
            <v>WDNG26 MATTEL UNO WILD JACKPOT</v>
          </cell>
          <cell r="F4723" t="str">
            <v>JUGUETES</v>
          </cell>
          <cell r="G4723" t="str">
            <v>WDNG26</v>
          </cell>
          <cell r="H4723" t="str">
            <v>MATTEL</v>
          </cell>
          <cell r="I4723">
            <v>18.28</v>
          </cell>
        </row>
        <row r="4724">
          <cell r="A4724" t="str">
            <v>19-04723</v>
          </cell>
          <cell r="B4724" t="str">
            <v>WEFORT LATAM</v>
          </cell>
          <cell r="C4724" t="str">
            <v>A</v>
          </cell>
          <cell r="D4724" t="str">
            <v>NO</v>
          </cell>
          <cell r="E4724" t="str">
            <v>WDPN85 MATTEL TOY STORY LARGE TALKING FRIENDS ASSORTMENT</v>
          </cell>
          <cell r="F4724" t="str">
            <v>JUGUETES</v>
          </cell>
          <cell r="G4724" t="str">
            <v>WDPN85</v>
          </cell>
          <cell r="H4724" t="str">
            <v>MATTEL</v>
          </cell>
          <cell r="I4724">
            <v>15.84</v>
          </cell>
        </row>
        <row r="4725">
          <cell r="A4725" t="str">
            <v>19-04724</v>
          </cell>
          <cell r="B4725" t="str">
            <v>WEFORT LATAM</v>
          </cell>
          <cell r="C4725" t="str">
            <v>A</v>
          </cell>
          <cell r="D4725" t="str">
            <v>NO</v>
          </cell>
          <cell r="E4725" t="str">
            <v>WDFX52 MATTEL IMAGINEXT DC BATALLA SURTIDO ARMADURA TRANSFORMABLE</v>
          </cell>
          <cell r="F4725" t="str">
            <v>JUGUETES</v>
          </cell>
          <cell r="G4725" t="str">
            <v>WDFX52</v>
          </cell>
          <cell r="H4725" t="str">
            <v>MATTEL</v>
          </cell>
          <cell r="I4725">
            <v>11.988</v>
          </cell>
        </row>
        <row r="4726">
          <cell r="A4726" t="str">
            <v>19-04725</v>
          </cell>
          <cell r="B4726" t="str">
            <v>WEFORT LATAM</v>
          </cell>
          <cell r="C4726" t="str">
            <v>A</v>
          </cell>
          <cell r="D4726" t="str">
            <v>NO</v>
          </cell>
          <cell r="E4726" t="str">
            <v>WW5112 MATTEL MINNIE BOUTIQUE DE LUJO</v>
          </cell>
          <cell r="F4726" t="str">
            <v>JUGUETES</v>
          </cell>
          <cell r="G4726" t="str">
            <v>WW5112</v>
          </cell>
          <cell r="H4726" t="str">
            <v>MATTEL</v>
          </cell>
          <cell r="I4726">
            <v>15.587999999999999</v>
          </cell>
        </row>
        <row r="4727">
          <cell r="A4727" t="str">
            <v>19-04726</v>
          </cell>
          <cell r="B4727" t="str">
            <v>WEFORT LATAM</v>
          </cell>
          <cell r="C4727" t="str">
            <v>A</v>
          </cell>
          <cell r="D4727" t="str">
            <v>NO</v>
          </cell>
          <cell r="E4727" t="str">
            <v>WDHB18 MATTEL BARBIE PROFESIONES - SURTIDO</v>
          </cell>
          <cell r="F4727" t="str">
            <v>JUGUETES</v>
          </cell>
          <cell r="G4727" t="str">
            <v>WDHB18</v>
          </cell>
          <cell r="H4727" t="str">
            <v>MATTEL</v>
          </cell>
          <cell r="I4727">
            <v>14.641</v>
          </cell>
        </row>
        <row r="4728">
          <cell r="A4728" t="str">
            <v>19-04727</v>
          </cell>
          <cell r="B4728" t="str">
            <v>WEFORT LATAM</v>
          </cell>
          <cell r="C4728" t="str">
            <v>A</v>
          </cell>
          <cell r="D4728" t="str">
            <v>NO</v>
          </cell>
          <cell r="E4728" t="str">
            <v>WDMC37 MATTEL BARBIE GYMNASTICS PLAYSET</v>
          </cell>
          <cell r="F4728" t="str">
            <v>JUGUETES</v>
          </cell>
          <cell r="G4728" t="str">
            <v>WDMC37</v>
          </cell>
          <cell r="H4728" t="str">
            <v>MATTEL</v>
          </cell>
          <cell r="I4728">
            <v>21.95</v>
          </cell>
        </row>
        <row r="4729">
          <cell r="A4729" t="str">
            <v>19-04728</v>
          </cell>
          <cell r="B4729" t="str">
            <v>WEFORT LATAM</v>
          </cell>
          <cell r="C4729" t="str">
            <v>A</v>
          </cell>
          <cell r="D4729" t="str">
            <v>SI</v>
          </cell>
          <cell r="E4729" t="str">
            <v>WY1910 MATTEL MINNIE FASHION BASIC ASSORTMENT</v>
          </cell>
          <cell r="F4729" t="str">
            <v>JUGUETES</v>
          </cell>
          <cell r="G4729" t="str">
            <v>WY1910</v>
          </cell>
          <cell r="H4729" t="str">
            <v>MATTEL</v>
          </cell>
          <cell r="I4729">
            <v>7.3</v>
          </cell>
        </row>
        <row r="4730">
          <cell r="A4730" t="str">
            <v>19-04729</v>
          </cell>
          <cell r="B4730" t="str">
            <v>WEFORT LATAM</v>
          </cell>
          <cell r="C4730" t="str">
            <v>A</v>
          </cell>
          <cell r="D4730" t="str">
            <v>SI</v>
          </cell>
          <cell r="E4730" t="str">
            <v>WCMY39 MATTEL JUEGA Y DESCUBRE MINI PANEL DE ACTIVIDADES</v>
          </cell>
          <cell r="F4730" t="str">
            <v>JUGUETES</v>
          </cell>
          <cell r="G4730" t="str">
            <v>WCMY39</v>
          </cell>
          <cell r="H4730" t="str">
            <v>MATTEL</v>
          </cell>
          <cell r="I4730">
            <v>8.3879999999999999</v>
          </cell>
        </row>
        <row r="4731">
          <cell r="A4731" t="str">
            <v>19-04730</v>
          </cell>
          <cell r="B4731" t="str">
            <v>WEFORT LATAM</v>
          </cell>
          <cell r="C4731" t="str">
            <v>A</v>
          </cell>
          <cell r="D4731" t="str">
            <v>NO</v>
          </cell>
          <cell r="E4731" t="str">
            <v>WDRH14 MATTEL ACTION FLYING SUPERGIRL</v>
          </cell>
          <cell r="F4731" t="str">
            <v>JUGUETES</v>
          </cell>
          <cell r="G4731" t="str">
            <v>WDRH14</v>
          </cell>
          <cell r="H4731" t="str">
            <v>MATTEL</v>
          </cell>
          <cell r="I4731">
            <v>18.29</v>
          </cell>
        </row>
        <row r="4732">
          <cell r="A4732" t="str">
            <v>19-04731</v>
          </cell>
          <cell r="B4732" t="str">
            <v>WEFORT LATAM</v>
          </cell>
          <cell r="C4732" t="str">
            <v>A</v>
          </cell>
          <cell r="D4732" t="str">
            <v>SI</v>
          </cell>
          <cell r="E4732" t="str">
            <v>WBHR15 MATTEL HOT WHEELS COLOR SHIFTERS - SURTIDO</v>
          </cell>
          <cell r="F4732" t="str">
            <v>JUGUETES</v>
          </cell>
          <cell r="G4732" t="str">
            <v>WBHR15</v>
          </cell>
          <cell r="H4732" t="str">
            <v>MATTEL</v>
          </cell>
          <cell r="I4732">
            <v>3.8879999999999999</v>
          </cell>
        </row>
        <row r="4733">
          <cell r="A4733" t="str">
            <v>19-04732</v>
          </cell>
          <cell r="B4733" t="str">
            <v>WEFORT LATAM</v>
          </cell>
          <cell r="C4733" t="str">
            <v>A</v>
          </cell>
          <cell r="D4733" t="str">
            <v>NO</v>
          </cell>
          <cell r="E4733" t="str">
            <v>WCDR57 MATTEL AMIGUITO DE ACTIVIDADES</v>
          </cell>
          <cell r="F4733" t="str">
            <v>JUGUETES</v>
          </cell>
          <cell r="G4733" t="str">
            <v>WCDR57</v>
          </cell>
          <cell r="H4733" t="str">
            <v>MATTEL</v>
          </cell>
          <cell r="I4733">
            <v>14.388999999999999</v>
          </cell>
        </row>
        <row r="4734">
          <cell r="A4734" t="str">
            <v>19-04733</v>
          </cell>
          <cell r="B4734" t="str">
            <v>WEFORT LATAM</v>
          </cell>
          <cell r="C4734" t="str">
            <v>A</v>
          </cell>
          <cell r="D4734" t="str">
            <v>NO</v>
          </cell>
          <cell r="E4734" t="str">
            <v>WDHB68 MATTEL BARBIE Y SU CABALLO</v>
          </cell>
          <cell r="F4734" t="str">
            <v>JUGUETES</v>
          </cell>
          <cell r="G4734" t="str">
            <v>WDHB68</v>
          </cell>
          <cell r="H4734" t="str">
            <v>MATTEL</v>
          </cell>
          <cell r="I4734">
            <v>25.26</v>
          </cell>
        </row>
        <row r="4735">
          <cell r="A4735" t="str">
            <v>19-04734</v>
          </cell>
          <cell r="B4735" t="str">
            <v>WEFORT LATAM</v>
          </cell>
          <cell r="C4735" t="str">
            <v>A</v>
          </cell>
          <cell r="D4735" t="str">
            <v>NO</v>
          </cell>
          <cell r="E4735" t="str">
            <v>WCMM73 MATTEL CENTRO DE ACTIVIDADLES LUCES Y MUSICA</v>
          </cell>
          <cell r="F4735" t="str">
            <v>JUGUETES</v>
          </cell>
          <cell r="G4735" t="str">
            <v>WCMM73</v>
          </cell>
          <cell r="H4735" t="str">
            <v>MATTEL</v>
          </cell>
          <cell r="I4735">
            <v>14.388999999999999</v>
          </cell>
        </row>
        <row r="4736">
          <cell r="A4736" t="str">
            <v>19-04735</v>
          </cell>
          <cell r="B4736" t="str">
            <v>WEFORT LATAM</v>
          </cell>
          <cell r="C4736" t="str">
            <v>A</v>
          </cell>
          <cell r="D4736" t="str">
            <v>SI</v>
          </cell>
          <cell r="E4736" t="str">
            <v>WK7167 MATTEL BRILLIANT BASICS PRIMEROS BLOQUES DE BEBE</v>
          </cell>
          <cell r="F4736" t="str">
            <v>JUGUETES</v>
          </cell>
          <cell r="G4736" t="str">
            <v>WK7167</v>
          </cell>
          <cell r="H4736" t="str">
            <v>MATTEL</v>
          </cell>
          <cell r="I4736">
            <v>4.7880000000000003</v>
          </cell>
        </row>
        <row r="4737">
          <cell r="A4737" t="str">
            <v>19-04736</v>
          </cell>
          <cell r="B4737" t="str">
            <v>WEFORT LATAM</v>
          </cell>
          <cell r="C4737" t="str">
            <v>A</v>
          </cell>
          <cell r="D4737" t="str">
            <v>SI</v>
          </cell>
          <cell r="E4737" t="str">
            <v>WDNW42 MATTEL MINI BLIND BAG ASSORTMENT</v>
          </cell>
          <cell r="F4737" t="str">
            <v>JUGUETES</v>
          </cell>
          <cell r="G4737" t="str">
            <v>WDNW42</v>
          </cell>
          <cell r="H4737" t="str">
            <v>MATTEL</v>
          </cell>
          <cell r="I4737">
            <v>3.04</v>
          </cell>
        </row>
        <row r="4738">
          <cell r="A4738" t="str">
            <v>19-04737</v>
          </cell>
          <cell r="B4738" t="str">
            <v>WEFORT LATAM</v>
          </cell>
          <cell r="C4738" t="str">
            <v>A</v>
          </cell>
          <cell r="D4738" t="str">
            <v>SI</v>
          </cell>
          <cell r="E4738" t="str">
            <v>WY4713 MATTEL TOY STORY BASIC FIGURES ASSORTMENT</v>
          </cell>
          <cell r="F4738" t="str">
            <v>JUGUETES</v>
          </cell>
          <cell r="G4738" t="str">
            <v>WY4713</v>
          </cell>
          <cell r="H4738" t="str">
            <v>MATTEL</v>
          </cell>
          <cell r="I4738">
            <v>8.52</v>
          </cell>
        </row>
        <row r="4739">
          <cell r="A4739" t="str">
            <v>19-04738</v>
          </cell>
          <cell r="B4739" t="str">
            <v>WEFORT LATAM</v>
          </cell>
          <cell r="C4739" t="str">
            <v>A</v>
          </cell>
          <cell r="D4739" t="str">
            <v>SI</v>
          </cell>
          <cell r="E4739" t="str">
            <v>WDRL58 MATTEL UNO BATMAN VS SUPERMAN</v>
          </cell>
          <cell r="F4739" t="str">
            <v>JUGUETES</v>
          </cell>
          <cell r="G4739" t="str">
            <v>WDRL58</v>
          </cell>
          <cell r="H4739" t="str">
            <v>MATTEL</v>
          </cell>
          <cell r="I4739">
            <v>4.6680000000000001</v>
          </cell>
        </row>
        <row r="4740">
          <cell r="A4740" t="str">
            <v>19-04739</v>
          </cell>
          <cell r="B4740" t="str">
            <v>WEFORT LATAM</v>
          </cell>
          <cell r="C4740" t="str">
            <v>A</v>
          </cell>
          <cell r="D4740" t="str">
            <v>NO</v>
          </cell>
          <cell r="E4740" t="str">
            <v>WDLT23 MATTEL BARBIE LIGHTS AND SOUNDS CO-LEAD DOLL</v>
          </cell>
          <cell r="F4740" t="str">
            <v>JUGUETES</v>
          </cell>
          <cell r="G4740" t="str">
            <v>WDLT23</v>
          </cell>
          <cell r="H4740" t="str">
            <v>MATTEL</v>
          </cell>
          <cell r="I4740">
            <v>20.3</v>
          </cell>
        </row>
        <row r="4741">
          <cell r="A4741" t="str">
            <v>19-04740</v>
          </cell>
          <cell r="B4741" t="str">
            <v>WEFORT LATAM</v>
          </cell>
          <cell r="C4741" t="str">
            <v>A</v>
          </cell>
          <cell r="D4741" t="str">
            <v>SI</v>
          </cell>
          <cell r="E4741" t="str">
            <v>WDLT27 MATTEL BARBIE CO-STAR ASSORTMENT</v>
          </cell>
          <cell r="F4741" t="str">
            <v>JUGUETES</v>
          </cell>
          <cell r="G4741" t="str">
            <v>WDLT27</v>
          </cell>
          <cell r="H4741" t="str">
            <v>MATTEL</v>
          </cell>
          <cell r="I4741">
            <v>9.8800000000000008</v>
          </cell>
        </row>
        <row r="4742">
          <cell r="A4742" t="str">
            <v>19-04741</v>
          </cell>
          <cell r="B4742" t="str">
            <v>WEFORT LATAM</v>
          </cell>
          <cell r="C4742" t="str">
            <v>A</v>
          </cell>
          <cell r="D4742" t="str">
            <v>SI</v>
          </cell>
          <cell r="E4742" t="str">
            <v>WDMC80 MATTEL SINGLE FIGURE PACK ASSORTMENT</v>
          </cell>
          <cell r="F4742" t="str">
            <v>JUGUETES</v>
          </cell>
          <cell r="G4742" t="str">
            <v>WDMC80</v>
          </cell>
          <cell r="H4742" t="str">
            <v>MATTEL</v>
          </cell>
          <cell r="I4742">
            <v>3.65</v>
          </cell>
        </row>
        <row r="4743">
          <cell r="A4743" t="str">
            <v>19-04742</v>
          </cell>
          <cell r="B4743" t="str">
            <v>WEFORT LATAM</v>
          </cell>
          <cell r="C4743" t="str">
            <v>A</v>
          </cell>
          <cell r="D4743" t="str">
            <v>SI</v>
          </cell>
          <cell r="E4743" t="str">
            <v>WL6556 MATTEL KIT MEDICO</v>
          </cell>
          <cell r="F4743" t="str">
            <v>JUGUETES</v>
          </cell>
          <cell r="G4743" t="str">
            <v>WL6556</v>
          </cell>
          <cell r="H4743" t="str">
            <v>MATTEL</v>
          </cell>
          <cell r="I4743">
            <v>10.632999999999999</v>
          </cell>
        </row>
        <row r="4744">
          <cell r="A4744" t="str">
            <v>19-04743</v>
          </cell>
          <cell r="B4744" t="str">
            <v>WEFORT LATAM</v>
          </cell>
          <cell r="C4744" t="str">
            <v>A</v>
          </cell>
          <cell r="D4744" t="str">
            <v>SI</v>
          </cell>
          <cell r="E4744" t="str">
            <v>WBGB68 MATTEL RIE Y APRENDE MARTILLO DE APRENDIZAJE</v>
          </cell>
          <cell r="F4744" t="str">
            <v>JUGUETES</v>
          </cell>
          <cell r="G4744" t="str">
            <v>WBGB68</v>
          </cell>
          <cell r="H4744" t="str">
            <v>MATTEL</v>
          </cell>
          <cell r="I4744">
            <v>8.3879999999999999</v>
          </cell>
        </row>
        <row r="4745">
          <cell r="A4745" t="str">
            <v>19-04744</v>
          </cell>
          <cell r="B4745" t="str">
            <v>WEFORT LATAM</v>
          </cell>
          <cell r="C4745" t="str">
            <v>A</v>
          </cell>
          <cell r="D4745" t="str">
            <v>NO</v>
          </cell>
          <cell r="E4745" t="str">
            <v>WBHX37 MATTEL MICKEY COMBINA Y JUEGA - SURTIDO</v>
          </cell>
          <cell r="F4745" t="str">
            <v>JUGUETES</v>
          </cell>
          <cell r="G4745" t="str">
            <v>WBHX37</v>
          </cell>
          <cell r="H4745" t="str">
            <v>MATTEL</v>
          </cell>
          <cell r="I4745">
            <v>11.988</v>
          </cell>
        </row>
        <row r="4746">
          <cell r="A4746" t="str">
            <v>19-04745</v>
          </cell>
          <cell r="B4746" t="str">
            <v>WEFORT LATAM</v>
          </cell>
          <cell r="C4746" t="str">
            <v>A</v>
          </cell>
          <cell r="D4746" t="str">
            <v>NO</v>
          </cell>
          <cell r="E4746" t="str">
            <v>WBMN55 MATTEL DORA DOLL &amp; ACCESSORIES ASSORTMENT</v>
          </cell>
          <cell r="F4746" t="str">
            <v>JUGUETES</v>
          </cell>
          <cell r="G4746" t="str">
            <v>WBMN55</v>
          </cell>
          <cell r="H4746" t="str">
            <v>MATTEL</v>
          </cell>
          <cell r="I4746">
            <v>14.62</v>
          </cell>
        </row>
        <row r="4747">
          <cell r="A4747" t="str">
            <v>19-04746</v>
          </cell>
          <cell r="B4747" t="str">
            <v>WEFORT LATAM</v>
          </cell>
          <cell r="C4747" t="str">
            <v>A</v>
          </cell>
          <cell r="D4747" t="str">
            <v>SI</v>
          </cell>
          <cell r="E4747" t="str">
            <v>WDMC57 MATTEL MICKEY HOUSE NEW SINGLE FIGURE PACK ASSORTMENT</v>
          </cell>
          <cell r="F4747" t="str">
            <v>JUGUETES</v>
          </cell>
          <cell r="G4747" t="str">
            <v>WDMC57</v>
          </cell>
          <cell r="H4747" t="str">
            <v>MATTEL</v>
          </cell>
          <cell r="I4747">
            <v>3.74</v>
          </cell>
        </row>
        <row r="4748">
          <cell r="A4748" t="str">
            <v>19-04747</v>
          </cell>
          <cell r="B4748" t="str">
            <v>WEFORT LATAM</v>
          </cell>
          <cell r="C4748" t="str">
            <v>A</v>
          </cell>
          <cell r="D4748" t="str">
            <v>NO</v>
          </cell>
          <cell r="E4748" t="str">
            <v>WDLT22 MATTEL BARBIE LEAD DOLL</v>
          </cell>
          <cell r="F4748" t="str">
            <v>JUGUETES</v>
          </cell>
          <cell r="G4748" t="str">
            <v>WDLT22</v>
          </cell>
          <cell r="H4748" t="str">
            <v>MATTEL</v>
          </cell>
          <cell r="I4748">
            <v>20.309999999999999</v>
          </cell>
        </row>
        <row r="4749">
          <cell r="A4749" t="str">
            <v>19-04748</v>
          </cell>
          <cell r="B4749" t="str">
            <v>WEFORT LATAM</v>
          </cell>
          <cell r="C4749" t="str">
            <v>A</v>
          </cell>
          <cell r="D4749" t="str">
            <v>NO</v>
          </cell>
          <cell r="E4749" t="str">
            <v>WCFF49 MATTEL BARBIE SIRENA BURBUJAS MAGICAS</v>
          </cell>
          <cell r="F4749" t="str">
            <v>JUGUETES</v>
          </cell>
          <cell r="G4749" t="str">
            <v>WCFF49</v>
          </cell>
          <cell r="H4749" t="str">
            <v>MATTEL</v>
          </cell>
          <cell r="I4749">
            <v>22.260999999999999</v>
          </cell>
        </row>
        <row r="4750">
          <cell r="A4750" t="str">
            <v>19-04749</v>
          </cell>
          <cell r="B4750" t="str">
            <v>WEFORT LATAM</v>
          </cell>
          <cell r="C4750" t="str">
            <v>A</v>
          </cell>
          <cell r="D4750" t="str">
            <v>NO</v>
          </cell>
          <cell r="E4750" t="str">
            <v>WDHF21 MATTEL BARBIE ESCUADRON SECRETO MOTOCICLETA AGENTE SECRETO</v>
          </cell>
          <cell r="F4750" t="str">
            <v>JUGUETES</v>
          </cell>
          <cell r="G4750" t="str">
            <v>WDHF21</v>
          </cell>
          <cell r="H4750" t="str">
            <v>MATTEL</v>
          </cell>
          <cell r="I4750">
            <v>20.869</v>
          </cell>
        </row>
        <row r="4751">
          <cell r="A4751" t="str">
            <v>19-04750</v>
          </cell>
          <cell r="B4751" t="str">
            <v>WEFORT LATAM</v>
          </cell>
          <cell r="C4751" t="str">
            <v>A</v>
          </cell>
          <cell r="D4751" t="str">
            <v>NO</v>
          </cell>
          <cell r="E4751" t="str">
            <v>WCKW07 MATTEL DISNEY MINNIE DULCES SUENOS</v>
          </cell>
          <cell r="F4751" t="str">
            <v>JUGUETES</v>
          </cell>
          <cell r="G4751" t="str">
            <v>WCKW07</v>
          </cell>
          <cell r="H4751" t="str">
            <v>MATTEL</v>
          </cell>
          <cell r="I4751">
            <v>20.388999999999999</v>
          </cell>
        </row>
        <row r="4752">
          <cell r="A4752" t="str">
            <v>19-04751</v>
          </cell>
          <cell r="B4752" t="str">
            <v>WEFORT LATAM</v>
          </cell>
          <cell r="C4752" t="str">
            <v>A</v>
          </cell>
          <cell r="D4752" t="str">
            <v>NO</v>
          </cell>
          <cell r="E4752" t="str">
            <v>WX9213 MATTEL CATERPILLAR STROLLER TOY</v>
          </cell>
          <cell r="F4752" t="str">
            <v>JUGUETES</v>
          </cell>
          <cell r="G4752" t="str">
            <v>WX9213</v>
          </cell>
          <cell r="H4752" t="str">
            <v>MATTEL</v>
          </cell>
          <cell r="I4752">
            <v>10.96</v>
          </cell>
        </row>
        <row r="4753">
          <cell r="A4753" t="str">
            <v>19-04752</v>
          </cell>
          <cell r="B4753" t="str">
            <v>WEFORT LATAM</v>
          </cell>
          <cell r="C4753" t="str">
            <v>A</v>
          </cell>
          <cell r="D4753" t="str">
            <v>NO</v>
          </cell>
          <cell r="E4753" t="str">
            <v>WDHF06 MATTEL BARBIE ESCUADRON SECRETO SURTIDO</v>
          </cell>
          <cell r="F4753" t="str">
            <v>JUGUETES</v>
          </cell>
          <cell r="G4753" t="str">
            <v>WDHF06</v>
          </cell>
          <cell r="H4753" t="str">
            <v>MATTEL</v>
          </cell>
          <cell r="I4753">
            <v>18.600999999999999</v>
          </cell>
        </row>
        <row r="4754">
          <cell r="A4754" t="str">
            <v>19-04753</v>
          </cell>
          <cell r="B4754" t="str">
            <v>WEFORT LATAM</v>
          </cell>
          <cell r="C4754" t="str">
            <v>A</v>
          </cell>
          <cell r="D4754" t="str">
            <v>NO</v>
          </cell>
          <cell r="E4754" t="str">
            <v>WDWK12 MATTEL MINNIE FASHION CLOSET</v>
          </cell>
          <cell r="F4754" t="str">
            <v>JUGUETES</v>
          </cell>
          <cell r="G4754" t="str">
            <v>WDWK12</v>
          </cell>
          <cell r="H4754" t="str">
            <v>MATTEL</v>
          </cell>
          <cell r="I4754">
            <v>23.16</v>
          </cell>
        </row>
        <row r="4755">
          <cell r="A4755" t="str">
            <v>19-04754</v>
          </cell>
          <cell r="B4755" t="str">
            <v>WEFORT LATAM</v>
          </cell>
          <cell r="C4755" t="str">
            <v>A</v>
          </cell>
          <cell r="D4755" t="str">
            <v>SI</v>
          </cell>
          <cell r="E4755" t="str">
            <v>WDGP76 MATTEL CAPTAIN JACK 3IN. FIGURE PACK ASSORTMENT</v>
          </cell>
          <cell r="F4755" t="str">
            <v>JUGUETES</v>
          </cell>
          <cell r="G4755" t="str">
            <v>WDGP76</v>
          </cell>
          <cell r="H4755" t="str">
            <v>MATTEL</v>
          </cell>
          <cell r="I4755">
            <v>2.3879999999999999</v>
          </cell>
        </row>
        <row r="4756">
          <cell r="A4756" t="str">
            <v>19-04755</v>
          </cell>
          <cell r="B4756" t="str">
            <v>WEFORT LATAM</v>
          </cell>
          <cell r="C4756" t="str">
            <v>A</v>
          </cell>
          <cell r="D4756" t="str">
            <v>NO</v>
          </cell>
          <cell r="E4756" t="str">
            <v>WW9587 MATTEL IMAGINEXT BOB ESPONJA BARCO HOLANDES ERRANTE</v>
          </cell>
          <cell r="F4756" t="str">
            <v>JUGUETES</v>
          </cell>
          <cell r="G4756" t="str">
            <v>WW9587</v>
          </cell>
          <cell r="H4756" t="str">
            <v>MATTEL</v>
          </cell>
          <cell r="I4756">
            <v>14.388999999999999</v>
          </cell>
        </row>
        <row r="4757">
          <cell r="A4757" t="str">
            <v>19-04756</v>
          </cell>
          <cell r="B4757" t="str">
            <v>WEFORT LATAM</v>
          </cell>
          <cell r="C4757" t="str">
            <v>A</v>
          </cell>
          <cell r="D4757" t="str">
            <v>SI</v>
          </cell>
          <cell r="E4757" t="str">
            <v>WDMH23 MATTEL HALO FIGURAS SURTIDAS</v>
          </cell>
          <cell r="F4757" t="str">
            <v>JUGUETES</v>
          </cell>
          <cell r="G4757" t="str">
            <v>WDMH23</v>
          </cell>
          <cell r="H4757" t="str">
            <v>MATTEL</v>
          </cell>
          <cell r="I4757">
            <v>4.5</v>
          </cell>
        </row>
        <row r="4758">
          <cell r="A4758" t="str">
            <v>19-04757</v>
          </cell>
          <cell r="B4758" t="str">
            <v>WEFORT LATAM</v>
          </cell>
          <cell r="C4758" t="str">
            <v>A</v>
          </cell>
          <cell r="D4758" t="str">
            <v>SI</v>
          </cell>
          <cell r="E4758" t="str">
            <v>WDNH08 MATTEL MINECRAFT BASIC ACTION FIGURES</v>
          </cell>
          <cell r="F4758" t="str">
            <v>JUGUETES</v>
          </cell>
          <cell r="G4758" t="str">
            <v>WDNH08</v>
          </cell>
          <cell r="H4758" t="str">
            <v>MATTEL</v>
          </cell>
          <cell r="I4758">
            <v>8.52</v>
          </cell>
        </row>
        <row r="4759">
          <cell r="A4759" t="str">
            <v>19-04758</v>
          </cell>
          <cell r="B4759" t="str">
            <v>WEFORT LATAM</v>
          </cell>
          <cell r="C4759" t="str">
            <v>A</v>
          </cell>
          <cell r="D4759" t="str">
            <v>SI</v>
          </cell>
          <cell r="E4759" t="str">
            <v>WDJD45 MATTEL BARBIE BEACH SURTIDO</v>
          </cell>
          <cell r="F4759" t="str">
            <v>JUGUETES</v>
          </cell>
          <cell r="G4759" t="str">
            <v>WDJD45</v>
          </cell>
          <cell r="H4759" t="str">
            <v>MATTEL</v>
          </cell>
          <cell r="I4759">
            <v>4.5</v>
          </cell>
        </row>
        <row r="4760">
          <cell r="A4760" t="str">
            <v>19-04759</v>
          </cell>
          <cell r="B4760" t="str">
            <v>WEFORT LATAM</v>
          </cell>
          <cell r="C4760" t="str">
            <v>A</v>
          </cell>
          <cell r="D4760" t="str">
            <v>SI</v>
          </cell>
          <cell r="E4760" t="str">
            <v>WDKJ16 MATTEL BARBIE GIMNASIA - SURTIDO</v>
          </cell>
          <cell r="F4760" t="str">
            <v>JUGUETES</v>
          </cell>
          <cell r="G4760" t="str">
            <v>WDKJ16</v>
          </cell>
          <cell r="H4760" t="str">
            <v>MATTEL</v>
          </cell>
          <cell r="I4760">
            <v>16.800999999999998</v>
          </cell>
        </row>
        <row r="4761">
          <cell r="A4761" t="str">
            <v>19-04760</v>
          </cell>
          <cell r="B4761" t="str">
            <v>WEFORT LATAM</v>
          </cell>
          <cell r="C4761" t="str">
            <v>A</v>
          </cell>
          <cell r="D4761" t="str">
            <v>NO</v>
          </cell>
          <cell r="E4761" t="str">
            <v>WDHF18 MATTEL BARBIE ESCUADRON SECRETO FELINA MISTERIO</v>
          </cell>
          <cell r="F4761" t="str">
            <v>JUGUETES</v>
          </cell>
          <cell r="G4761" t="str">
            <v>WDHF18</v>
          </cell>
          <cell r="H4761" t="str">
            <v>MATTEL</v>
          </cell>
          <cell r="I4761">
            <v>13.801</v>
          </cell>
        </row>
        <row r="4762">
          <cell r="A4762" t="str">
            <v>19-04761</v>
          </cell>
          <cell r="B4762" t="str">
            <v>WEFORT LATAM</v>
          </cell>
          <cell r="C4762" t="str">
            <v>A</v>
          </cell>
          <cell r="D4762" t="str">
            <v>NO</v>
          </cell>
          <cell r="E4762" t="str">
            <v>WDMM32 MATTEL SUPERHERO ACTION DOLL ASSORTMENT</v>
          </cell>
          <cell r="F4762" t="str">
            <v>JUGUETES</v>
          </cell>
          <cell r="G4762" t="str">
            <v>WDMM32</v>
          </cell>
          <cell r="H4762" t="str">
            <v>MATTEL</v>
          </cell>
          <cell r="I4762">
            <v>11.13</v>
          </cell>
        </row>
        <row r="4763">
          <cell r="A4763" t="str">
            <v>19-04762</v>
          </cell>
          <cell r="B4763" t="str">
            <v>WEFORT LATAM</v>
          </cell>
          <cell r="C4763" t="str">
            <v>A</v>
          </cell>
          <cell r="D4763" t="str">
            <v>SI</v>
          </cell>
          <cell r="E4763" t="str">
            <v>WDJC20 MATTEL HOT WHEELS SPLIT SPEEDERS VEHICULOS SURTIDOS</v>
          </cell>
          <cell r="F4763" t="str">
            <v>JUGUETES</v>
          </cell>
          <cell r="G4763" t="str">
            <v>WDJC20</v>
          </cell>
          <cell r="H4763" t="str">
            <v>MATTEL</v>
          </cell>
          <cell r="I4763">
            <v>5.3879999999999999</v>
          </cell>
        </row>
        <row r="4764">
          <cell r="A4764" t="str">
            <v>19-04763</v>
          </cell>
          <cell r="B4764" t="str">
            <v>WEFORT LATAM</v>
          </cell>
          <cell r="C4764" t="str">
            <v>A</v>
          </cell>
          <cell r="D4764" t="str">
            <v>NO</v>
          </cell>
          <cell r="E4764" t="str">
            <v>WDHY27 MATTEL HOT WHEELS SPLIT SPEEDERS CUCHILLAS EXTREMAS</v>
          </cell>
          <cell r="F4764" t="str">
            <v>JUGUETES</v>
          </cell>
          <cell r="G4764" t="str">
            <v>WDHY27</v>
          </cell>
          <cell r="H4764" t="str">
            <v>MATTEL</v>
          </cell>
          <cell r="I4764">
            <v>22.789000000000001</v>
          </cell>
        </row>
        <row r="4765">
          <cell r="A4765" t="str">
            <v>19-04764</v>
          </cell>
          <cell r="B4765" t="str">
            <v>WEFORT LATAM</v>
          </cell>
          <cell r="C4765" t="str">
            <v>A</v>
          </cell>
          <cell r="D4765" t="str">
            <v>SI</v>
          </cell>
          <cell r="E4765" t="str">
            <v>WW2190 MATTEL THOMAS AND FRIENDS LOCOMOTORAS DE EMPUJE MEDIANA - SURTIDO</v>
          </cell>
          <cell r="F4765" t="str">
            <v>JUGUETES</v>
          </cell>
          <cell r="G4765" t="str">
            <v>WW2190</v>
          </cell>
          <cell r="H4765" t="str">
            <v>MATTEL</v>
          </cell>
          <cell r="I4765">
            <v>3.5880000000000001</v>
          </cell>
        </row>
        <row r="4766">
          <cell r="A4766" t="str">
            <v>19-04765</v>
          </cell>
          <cell r="B4766" t="str">
            <v>WEFORT LATAM</v>
          </cell>
          <cell r="C4766" t="str">
            <v>A</v>
          </cell>
          <cell r="D4766" t="str">
            <v>NO</v>
          </cell>
          <cell r="E4766" t="str">
            <v>WDVG99 MATTEL SUICIDE SQUAD 12" FIGURE ASSORTMENT</v>
          </cell>
          <cell r="F4766" t="str">
            <v>JUGUETES</v>
          </cell>
          <cell r="G4766" t="str">
            <v>WDVG99</v>
          </cell>
          <cell r="H4766" t="str">
            <v>MATTEL</v>
          </cell>
          <cell r="I4766">
            <v>24.38</v>
          </cell>
        </row>
        <row r="4767">
          <cell r="A4767" t="str">
            <v>19-04766</v>
          </cell>
          <cell r="B4767" t="str">
            <v>WEFORT LATAM</v>
          </cell>
          <cell r="C4767" t="str">
            <v>A</v>
          </cell>
          <cell r="D4767" t="str">
            <v>SI</v>
          </cell>
          <cell r="E4767" t="str">
            <v>WDWV36 MATTEL BATMAN SELECTED 6" FIGURE ASSORTMENT</v>
          </cell>
          <cell r="F4767" t="str">
            <v>JUGUETES</v>
          </cell>
          <cell r="G4767" t="str">
            <v>WDWV36</v>
          </cell>
          <cell r="H4767" t="str">
            <v>MATTEL</v>
          </cell>
          <cell r="I4767">
            <v>3.28</v>
          </cell>
        </row>
        <row r="4768">
          <cell r="A4768" t="str">
            <v>19-04767</v>
          </cell>
          <cell r="B4768" t="str">
            <v>WEFORT LATAM</v>
          </cell>
          <cell r="C4768" t="str">
            <v>A</v>
          </cell>
          <cell r="D4768" t="str">
            <v>SI</v>
          </cell>
          <cell r="E4768" t="str">
            <v>W71084 MATTEL BRILLIANT BASICS LLAVERO DE ACTIVIDADES</v>
          </cell>
          <cell r="F4768" t="str">
            <v>JUGUETES</v>
          </cell>
          <cell r="G4768" t="str">
            <v>W71084</v>
          </cell>
          <cell r="H4768" t="str">
            <v>MATTEL</v>
          </cell>
          <cell r="I4768">
            <v>4.7880000000000003</v>
          </cell>
        </row>
        <row r="4769">
          <cell r="A4769" t="str">
            <v>19-04768</v>
          </cell>
          <cell r="B4769" t="str">
            <v>WEFORT LATAM</v>
          </cell>
          <cell r="C4769" t="str">
            <v>A</v>
          </cell>
          <cell r="D4769" t="str">
            <v>SI</v>
          </cell>
          <cell r="E4769" t="str">
            <v>WH9809 MATTEL MIRACLES &amp; MILESTONES ERIZO</v>
          </cell>
          <cell r="F4769" t="str">
            <v>JUGUETES</v>
          </cell>
          <cell r="G4769" t="str">
            <v>WH9809</v>
          </cell>
          <cell r="H4769" t="str">
            <v>MATTEL</v>
          </cell>
          <cell r="I4769">
            <v>9.99</v>
          </cell>
        </row>
        <row r="4770">
          <cell r="A4770" t="str">
            <v>19-04769</v>
          </cell>
          <cell r="B4770" t="str">
            <v>WEFORT LATAM</v>
          </cell>
          <cell r="C4770" t="str">
            <v>A</v>
          </cell>
          <cell r="D4770" t="str">
            <v>SI</v>
          </cell>
          <cell r="E4770" t="str">
            <v>WDNB99 MATTEL BARBIE JUNIOR DOLL ASSORTMENT</v>
          </cell>
          <cell r="F4770" t="str">
            <v>JUGUETES</v>
          </cell>
          <cell r="G4770" t="str">
            <v>WDNB99</v>
          </cell>
          <cell r="H4770" t="str">
            <v>MATTEL</v>
          </cell>
          <cell r="I4770">
            <v>4.71</v>
          </cell>
        </row>
        <row r="4771">
          <cell r="A4771" t="str">
            <v>19-04770</v>
          </cell>
          <cell r="B4771" t="str">
            <v>WEFORT LATAM</v>
          </cell>
          <cell r="C4771" t="str">
            <v>A</v>
          </cell>
          <cell r="D4771" t="str">
            <v>SI</v>
          </cell>
          <cell r="E4771" t="str">
            <v>WDGX40 MATTEL BARBIE CHELSEA DISFRACES - SURTIDO</v>
          </cell>
          <cell r="F4771" t="str">
            <v>JUGUETES</v>
          </cell>
          <cell r="G4771" t="str">
            <v>WDGX40</v>
          </cell>
          <cell r="H4771" t="str">
            <v>MATTEL</v>
          </cell>
          <cell r="I4771">
            <v>4.5</v>
          </cell>
        </row>
        <row r="4772">
          <cell r="A4772" t="str">
            <v>19-04771</v>
          </cell>
          <cell r="B4772" t="str">
            <v>WEFORT LATAM</v>
          </cell>
          <cell r="C4772" t="str">
            <v>A</v>
          </cell>
          <cell r="D4772" t="str">
            <v>NO</v>
          </cell>
          <cell r="E4772" t="str">
            <v>WP2675 MATTEL LAUGH &amp; LEARN TOCACD CANTA CONMIGO</v>
          </cell>
          <cell r="F4772" t="str">
            <v>JUGUETES</v>
          </cell>
          <cell r="G4772" t="str">
            <v>WP2675</v>
          </cell>
          <cell r="H4772" t="str">
            <v>MATTEL</v>
          </cell>
          <cell r="I4772">
            <v>15.587999999999999</v>
          </cell>
        </row>
        <row r="4773">
          <cell r="A4773" t="str">
            <v>19-04772</v>
          </cell>
          <cell r="B4773" t="str">
            <v>WEFORT LATAM</v>
          </cell>
          <cell r="C4773" t="str">
            <v>A</v>
          </cell>
          <cell r="D4773" t="str">
            <v>NO</v>
          </cell>
          <cell r="E4773" t="str">
            <v>W76030 LEGO SUPER HEROES AVENGERS HYDRA SHOWDOWN</v>
          </cell>
          <cell r="F4773" t="str">
            <v>JUGUETES</v>
          </cell>
          <cell r="G4773" t="str">
            <v>W76030</v>
          </cell>
          <cell r="H4773" t="str">
            <v>LEGO</v>
          </cell>
          <cell r="I4773">
            <v>22.2</v>
          </cell>
        </row>
        <row r="4774">
          <cell r="A4774" t="str">
            <v>19-04773</v>
          </cell>
          <cell r="B4774" t="str">
            <v>WEFORT LATAM</v>
          </cell>
          <cell r="C4774" t="str">
            <v>A</v>
          </cell>
          <cell r="D4774" t="str">
            <v>NO</v>
          </cell>
          <cell r="E4774" t="str">
            <v>W76031 LEGO SUPER HEROES THE HULK BUSTER SMASH</v>
          </cell>
          <cell r="F4774" t="str">
            <v>JUGUETES</v>
          </cell>
          <cell r="G4774" t="str">
            <v>W76031</v>
          </cell>
          <cell r="H4774" t="str">
            <v>LEGO</v>
          </cell>
          <cell r="I4774">
            <v>33.299999999999997</v>
          </cell>
        </row>
        <row r="4775">
          <cell r="A4775" t="str">
            <v>19-04774</v>
          </cell>
          <cell r="B4775" t="str">
            <v>WEFORT LATAM</v>
          </cell>
          <cell r="C4775" t="str">
            <v>A</v>
          </cell>
          <cell r="D4775" t="str">
            <v>NO</v>
          </cell>
          <cell r="E4775" t="str">
            <v>W75078 LEGO STAR WARS IMPERIAL TROOP TRANSPORT</v>
          </cell>
          <cell r="F4775" t="str">
            <v>JUGUETES</v>
          </cell>
          <cell r="G4775" t="str">
            <v>W75078</v>
          </cell>
          <cell r="H4775" t="str">
            <v>LEGO</v>
          </cell>
          <cell r="I4775">
            <v>14.06</v>
          </cell>
        </row>
        <row r="4776">
          <cell r="A4776" t="str">
            <v>19-04775</v>
          </cell>
          <cell r="B4776" t="str">
            <v>WEFORT LATAM</v>
          </cell>
          <cell r="C4776" t="str">
            <v>A</v>
          </cell>
          <cell r="D4776" t="str">
            <v>NO</v>
          </cell>
          <cell r="E4776" t="str">
            <v>W75082 LEGO STAR WARS TIE ADVANCED PROTOTYPE</v>
          </cell>
          <cell r="F4776" t="str">
            <v>JUGUETES</v>
          </cell>
          <cell r="G4776" t="str">
            <v>W75082</v>
          </cell>
          <cell r="H4776" t="str">
            <v>LEGO</v>
          </cell>
          <cell r="I4776">
            <v>44.39</v>
          </cell>
        </row>
        <row r="4777">
          <cell r="A4777" t="str">
            <v>19-04776</v>
          </cell>
          <cell r="B4777" t="str">
            <v>WEFORT LATAM</v>
          </cell>
          <cell r="C4777" t="str">
            <v>A</v>
          </cell>
          <cell r="D4777" t="str">
            <v>NO</v>
          </cell>
          <cell r="E4777" t="str">
            <v>W21113 LEGO MINECRAFT THE CAVE</v>
          </cell>
          <cell r="F4777" t="str">
            <v>JUGUETES</v>
          </cell>
          <cell r="G4777" t="str">
            <v>W21113</v>
          </cell>
          <cell r="H4777" t="str">
            <v>LEGO</v>
          </cell>
          <cell r="I4777">
            <v>19.510000000000002</v>
          </cell>
        </row>
        <row r="4778">
          <cell r="A4778" t="str">
            <v>19-04777</v>
          </cell>
          <cell r="B4778" t="str">
            <v>WEFORT LATAM</v>
          </cell>
          <cell r="C4778" t="str">
            <v>A</v>
          </cell>
          <cell r="D4778" t="str">
            <v>NO</v>
          </cell>
          <cell r="E4778" t="str">
            <v>W21115 LEGO MINECRAFT THE FIRST NIGHT</v>
          </cell>
          <cell r="F4778" t="str">
            <v>JUGUETES</v>
          </cell>
          <cell r="G4778" t="str">
            <v>W21115</v>
          </cell>
          <cell r="H4778" t="str">
            <v>LEGO</v>
          </cell>
          <cell r="I4778">
            <v>39.950000000000003</v>
          </cell>
        </row>
        <row r="4779">
          <cell r="A4779" t="str">
            <v>19-04778</v>
          </cell>
          <cell r="B4779" t="str">
            <v>WEFORT LATAM</v>
          </cell>
          <cell r="C4779" t="str">
            <v>A</v>
          </cell>
          <cell r="D4779" t="str">
            <v>NO</v>
          </cell>
          <cell r="E4779" t="str">
            <v>W75911 LEGO SPEED CHAMPION MCLAREN MERCEDES PIT STOP</v>
          </cell>
          <cell r="F4779" t="str">
            <v>JUGUETES</v>
          </cell>
          <cell r="G4779" t="str">
            <v>W75911</v>
          </cell>
          <cell r="H4779" t="str">
            <v>LEGO</v>
          </cell>
          <cell r="I4779">
            <v>33.299999999999997</v>
          </cell>
        </row>
        <row r="4780">
          <cell r="A4780" t="str">
            <v>19-04779</v>
          </cell>
          <cell r="B4780" t="str">
            <v>WEFORT LATAM</v>
          </cell>
          <cell r="C4780" t="str">
            <v>A</v>
          </cell>
          <cell r="D4780" t="str">
            <v>NO</v>
          </cell>
          <cell r="E4780" t="str">
            <v>W41103 LEGO FRIENDS POP STAR RECORDING STUDIO</v>
          </cell>
          <cell r="F4780" t="str">
            <v>JUGUETES</v>
          </cell>
          <cell r="G4780" t="str">
            <v>W41103</v>
          </cell>
          <cell r="H4780" t="str">
            <v>LEGO</v>
          </cell>
          <cell r="I4780">
            <v>16.239999999999998</v>
          </cell>
        </row>
        <row r="4781">
          <cell r="A4781" t="str">
            <v>19-04780</v>
          </cell>
          <cell r="B4781" t="str">
            <v>WEFORT LATAM</v>
          </cell>
          <cell r="C4781" t="str">
            <v>A</v>
          </cell>
          <cell r="D4781" t="str">
            <v>NO</v>
          </cell>
          <cell r="E4781" t="str">
            <v>W41104 LEGO FRIENDS POP STAR DRESSING ROOM</v>
          </cell>
          <cell r="F4781" t="str">
            <v>JUGUETES</v>
          </cell>
          <cell r="G4781" t="str">
            <v>W41104</v>
          </cell>
          <cell r="H4781" t="str">
            <v>LEGO</v>
          </cell>
          <cell r="I4781">
            <v>33.299999999999997</v>
          </cell>
        </row>
        <row r="4782">
          <cell r="A4782" t="str">
            <v>19-04781</v>
          </cell>
          <cell r="B4782" t="str">
            <v>WEFORT LATAM</v>
          </cell>
          <cell r="C4782" t="str">
            <v>A</v>
          </cell>
          <cell r="D4782" t="str">
            <v>SI</v>
          </cell>
          <cell r="E4782" t="str">
            <v>W70739 LEGO NINJAGO AIRJITZU KAI FLYER</v>
          </cell>
          <cell r="F4782" t="str">
            <v>JUGUETES</v>
          </cell>
          <cell r="G4782" t="str">
            <v>W70739</v>
          </cell>
          <cell r="H4782" t="str">
            <v>LEGO</v>
          </cell>
          <cell r="I4782">
            <v>8.74</v>
          </cell>
        </row>
        <row r="4783">
          <cell r="A4783" t="str">
            <v>19-04782</v>
          </cell>
          <cell r="B4783" t="str">
            <v>WEFORT LATAM</v>
          </cell>
          <cell r="C4783" t="str">
            <v>A</v>
          </cell>
          <cell r="D4783" t="str">
            <v>SI</v>
          </cell>
          <cell r="E4783" t="str">
            <v>W70740 LEGO NINJAGO AIRJITZU JAY FLYER</v>
          </cell>
          <cell r="F4783" t="str">
            <v>JUGUETES</v>
          </cell>
          <cell r="G4783" t="str">
            <v>W70740</v>
          </cell>
          <cell r="H4783" t="str">
            <v>LEGO</v>
          </cell>
          <cell r="I4783">
            <v>8.74</v>
          </cell>
        </row>
        <row r="4784">
          <cell r="A4784" t="str">
            <v>19-04783</v>
          </cell>
          <cell r="B4784" t="str">
            <v>WEFORT LATAM</v>
          </cell>
          <cell r="C4784" t="str">
            <v>A</v>
          </cell>
          <cell r="D4784" t="str">
            <v>SI</v>
          </cell>
          <cell r="E4784" t="str">
            <v>W70741 LEGO NINJAGO AIRJITZU COLE FLYER</v>
          </cell>
          <cell r="F4784" t="str">
            <v>JUGUETES</v>
          </cell>
          <cell r="G4784" t="str">
            <v>W70741</v>
          </cell>
          <cell r="H4784" t="str">
            <v>LEGO</v>
          </cell>
          <cell r="I4784">
            <v>8.5299999999999994</v>
          </cell>
        </row>
        <row r="4785">
          <cell r="A4785" t="str">
            <v>19-04784</v>
          </cell>
          <cell r="B4785" t="str">
            <v>WEFORT LATAM</v>
          </cell>
          <cell r="C4785" t="str">
            <v>A</v>
          </cell>
          <cell r="D4785" t="str">
            <v>SI</v>
          </cell>
          <cell r="E4785" t="str">
            <v>W70742 LEGO NINJAGO AIRJITZU ZANE FLYER</v>
          </cell>
          <cell r="F4785" t="str">
            <v>JUGUETES</v>
          </cell>
          <cell r="G4785" t="str">
            <v>W70742</v>
          </cell>
          <cell r="H4785" t="str">
            <v>LEGO</v>
          </cell>
          <cell r="I4785">
            <v>8.74</v>
          </cell>
        </row>
        <row r="4786">
          <cell r="A4786" t="str">
            <v>19-04785</v>
          </cell>
          <cell r="B4786" t="str">
            <v>WEFORT LATAM</v>
          </cell>
          <cell r="C4786" t="str">
            <v>A</v>
          </cell>
          <cell r="D4786" t="str">
            <v>SI</v>
          </cell>
          <cell r="E4786" t="str">
            <v>W70743 LEGO NINJAGO AIRJITZU MORRO FLYER</v>
          </cell>
          <cell r="F4786" t="str">
            <v>JUGUETES</v>
          </cell>
          <cell r="G4786" t="str">
            <v>W70743</v>
          </cell>
          <cell r="H4786" t="str">
            <v>LEGO</v>
          </cell>
          <cell r="I4786">
            <v>8.5299999999999994</v>
          </cell>
        </row>
        <row r="4787">
          <cell r="A4787" t="str">
            <v>19-04786</v>
          </cell>
          <cell r="B4787" t="str">
            <v>WEFORT LATAM</v>
          </cell>
          <cell r="C4787" t="str">
            <v>A</v>
          </cell>
          <cell r="D4787" t="str">
            <v>SI</v>
          </cell>
          <cell r="E4787" t="str">
            <v>W70744 LEGO NINJAGO AIRJITZU WRAYTH FLYER</v>
          </cell>
          <cell r="F4787" t="str">
            <v>JUGUETES</v>
          </cell>
          <cell r="G4787" t="str">
            <v>W70744</v>
          </cell>
          <cell r="H4787" t="str">
            <v>LEGO</v>
          </cell>
          <cell r="I4787">
            <v>8.5299999999999994</v>
          </cell>
        </row>
        <row r="4788">
          <cell r="A4788" t="str">
            <v>19-04787</v>
          </cell>
          <cell r="B4788" t="str">
            <v>WEFORT LATAM</v>
          </cell>
          <cell r="C4788" t="str">
            <v>A</v>
          </cell>
          <cell r="D4788" t="str">
            <v>NO</v>
          </cell>
          <cell r="E4788" t="str">
            <v>W21119 LEGO MINECRAFT THE DUNGEON</v>
          </cell>
          <cell r="F4788" t="str">
            <v>JUGUETES</v>
          </cell>
          <cell r="G4788" t="str">
            <v>W21119</v>
          </cell>
          <cell r="H4788" t="str">
            <v>LEGO</v>
          </cell>
          <cell r="I4788">
            <v>19.510000000000002</v>
          </cell>
        </row>
        <row r="4789">
          <cell r="A4789" t="str">
            <v>19-04788</v>
          </cell>
          <cell r="B4789" t="str">
            <v>WEFORT LATAM</v>
          </cell>
          <cell r="C4789" t="str">
            <v>A</v>
          </cell>
          <cell r="D4789" t="str">
            <v>NO</v>
          </cell>
          <cell r="E4789" t="str">
            <v>W75099 LEGO STAR WARS REY'S SPEEDER</v>
          </cell>
          <cell r="F4789" t="str">
            <v>JUGUETES</v>
          </cell>
          <cell r="G4789" t="str">
            <v>W75099</v>
          </cell>
          <cell r="H4789" t="str">
            <v>LEGO</v>
          </cell>
          <cell r="I4789">
            <v>21.69</v>
          </cell>
        </row>
        <row r="4790">
          <cell r="A4790" t="str">
            <v>19-04789</v>
          </cell>
          <cell r="B4790" t="str">
            <v>WEFORT LATAM</v>
          </cell>
          <cell r="C4790" t="str">
            <v>A</v>
          </cell>
          <cell r="D4790" t="str">
            <v>SI</v>
          </cell>
          <cell r="E4790" t="str">
            <v>W31040 LEGO CREATOR DESERT RACERS</v>
          </cell>
          <cell r="F4790" t="str">
            <v>JUGUETES</v>
          </cell>
          <cell r="G4790" t="str">
            <v>W31040</v>
          </cell>
          <cell r="H4790" t="str">
            <v>LEGO</v>
          </cell>
          <cell r="I4790">
            <v>4.9000000000000004</v>
          </cell>
        </row>
        <row r="4791">
          <cell r="A4791" t="str">
            <v>19-04790</v>
          </cell>
          <cell r="B4791" t="str">
            <v>WEFORT LATAM</v>
          </cell>
          <cell r="C4791" t="str">
            <v>A</v>
          </cell>
          <cell r="D4791" t="str">
            <v>SI</v>
          </cell>
          <cell r="E4791" t="str">
            <v>WDHM75 MATTEL CARS CARBON RACERS DIECAST ASSORTMENT</v>
          </cell>
          <cell r="F4791" t="str">
            <v>JUGUETES</v>
          </cell>
          <cell r="G4791" t="str">
            <v>WDHM75</v>
          </cell>
          <cell r="H4791" t="str">
            <v>MATTEL</v>
          </cell>
          <cell r="I4791">
            <v>6.0910000000000002</v>
          </cell>
        </row>
        <row r="4792">
          <cell r="A4792" t="str">
            <v>19-04791</v>
          </cell>
          <cell r="B4792" t="str">
            <v>DIST. LEWIS</v>
          </cell>
          <cell r="C4792" t="str">
            <v>A</v>
          </cell>
          <cell r="D4792" t="str">
            <v>SI</v>
          </cell>
          <cell r="E4792" t="str">
            <v>HARVARD BUSINESS REVIEW</v>
          </cell>
          <cell r="F4792" t="str">
            <v>MAGAZINE</v>
          </cell>
          <cell r="G4792">
            <v>64803</v>
          </cell>
          <cell r="H4792" t="str">
            <v>DIST. LEWIS</v>
          </cell>
          <cell r="I4792">
            <v>16.760000000000002</v>
          </cell>
        </row>
        <row r="4793">
          <cell r="A4793" t="str">
            <v>19-04792</v>
          </cell>
          <cell r="B4793" t="str">
            <v>DIST. LEWIS</v>
          </cell>
          <cell r="C4793" t="str">
            <v>A</v>
          </cell>
          <cell r="D4793" t="str">
            <v>SI</v>
          </cell>
          <cell r="E4793" t="str">
            <v>POPULAR PHOTOGRAPHY</v>
          </cell>
          <cell r="F4793" t="str">
            <v>MAGAZINE</v>
          </cell>
          <cell r="G4793">
            <v>8399</v>
          </cell>
          <cell r="H4793" t="str">
            <v>DIST. LEWIS</v>
          </cell>
          <cell r="I4793">
            <v>4.4000000000000004</v>
          </cell>
        </row>
        <row r="4794">
          <cell r="A4794" t="str">
            <v>19-04793</v>
          </cell>
          <cell r="B4794" t="str">
            <v>WORLD WISHES</v>
          </cell>
          <cell r="C4794" t="str">
            <v>P</v>
          </cell>
          <cell r="D4794" t="str">
            <v>N/A</v>
          </cell>
          <cell r="E4794" t="str">
            <v>95-1070 CRAYOLA DESING PRO MINI PRINCESS</v>
          </cell>
          <cell r="F4794" t="str">
            <v>LAPIZ DE COLOR</v>
          </cell>
          <cell r="G4794" t="str">
            <v>95-1070</v>
          </cell>
          <cell r="H4794" t="str">
            <v>CRAYOLA</v>
          </cell>
          <cell r="I4794">
            <v>11.74</v>
          </cell>
        </row>
        <row r="4795">
          <cell r="A4795" t="str">
            <v>19-04794</v>
          </cell>
          <cell r="B4795" t="str">
            <v>WORLD WISHES</v>
          </cell>
          <cell r="C4795" t="str">
            <v>A</v>
          </cell>
          <cell r="D4795" t="str">
            <v>NO</v>
          </cell>
          <cell r="E4795" t="str">
            <v>04-2532 CRAYOLA PREMIER ART SET</v>
          </cell>
          <cell r="F4795" t="str">
            <v>LAPIZ DE COLOR</v>
          </cell>
          <cell r="G4795">
            <v>230926</v>
          </cell>
          <cell r="H4795" t="str">
            <v>CRAYOLA</v>
          </cell>
          <cell r="I4795">
            <v>16.5</v>
          </cell>
        </row>
        <row r="4796">
          <cell r="A4796" t="str">
            <v>19-04795</v>
          </cell>
          <cell r="B4796" t="str">
            <v>WORLD WISHES</v>
          </cell>
          <cell r="C4796" t="str">
            <v>P</v>
          </cell>
          <cell r="D4796" t="str">
            <v>N/A</v>
          </cell>
          <cell r="E4796" t="str">
            <v>75-2449 CRAYOLA FROZEN GLITTER PAPER &amp; MARKERS</v>
          </cell>
          <cell r="F4796" t="str">
            <v>LAPIZ DE COLOR</v>
          </cell>
          <cell r="G4796" t="str">
            <v>75-2449</v>
          </cell>
          <cell r="H4796" t="str">
            <v>CRAYOLA</v>
          </cell>
          <cell r="I4796">
            <v>6.7</v>
          </cell>
        </row>
        <row r="4797">
          <cell r="A4797" t="str">
            <v>19-04796</v>
          </cell>
          <cell r="B4797" t="str">
            <v>MELO FARMA</v>
          </cell>
          <cell r="C4797" t="str">
            <v>A</v>
          </cell>
          <cell r="D4797" t="str">
            <v>SI</v>
          </cell>
          <cell r="E4797" t="str">
            <v>PANADOL MULTISYMPTON 16X1</v>
          </cell>
          <cell r="F4797" t="str">
            <v>MEDICINA</v>
          </cell>
          <cell r="G4797" t="str">
            <v>019SB</v>
          </cell>
          <cell r="H4797" t="str">
            <v>PANADOL</v>
          </cell>
          <cell r="I4797">
            <v>3.85</v>
          </cell>
        </row>
        <row r="4798">
          <cell r="A4798" t="str">
            <v>19-04797</v>
          </cell>
          <cell r="B4798" t="str">
            <v>MELO FARMA</v>
          </cell>
          <cell r="C4798" t="str">
            <v>A</v>
          </cell>
          <cell r="D4798" t="str">
            <v>SI</v>
          </cell>
          <cell r="E4798" t="str">
            <v>PANADOL NINOS 20X1</v>
          </cell>
          <cell r="F4798" t="str">
            <v>MEDICINA</v>
          </cell>
          <cell r="G4798" t="str">
            <v>011SB</v>
          </cell>
          <cell r="H4798" t="str">
            <v>PANADOL</v>
          </cell>
          <cell r="I4798">
            <v>1.93</v>
          </cell>
        </row>
        <row r="4799">
          <cell r="A4799" t="str">
            <v>19-04798</v>
          </cell>
          <cell r="B4799" t="str">
            <v>MELO FARMA</v>
          </cell>
          <cell r="C4799" t="str">
            <v>A</v>
          </cell>
          <cell r="D4799" t="str">
            <v>SI</v>
          </cell>
          <cell r="E4799" t="str">
            <v>PANADOL SINUS 16X1</v>
          </cell>
          <cell r="F4799" t="str">
            <v>MEDICINA</v>
          </cell>
          <cell r="G4799" t="str">
            <v>014SKB</v>
          </cell>
          <cell r="H4799" t="str">
            <v>PANADOL</v>
          </cell>
          <cell r="I4799">
            <v>3.87</v>
          </cell>
        </row>
        <row r="4800">
          <cell r="A4800" t="str">
            <v>19-04799</v>
          </cell>
          <cell r="B4800" t="str">
            <v>MELO FARMA</v>
          </cell>
          <cell r="C4800" t="str">
            <v>A</v>
          </cell>
          <cell r="D4800" t="str">
            <v>SI</v>
          </cell>
          <cell r="E4800" t="str">
            <v>ALEVE PASTILLAS 12X1</v>
          </cell>
          <cell r="F4800" t="str">
            <v>MEDICINA</v>
          </cell>
          <cell r="G4800" t="str">
            <v>060BAY</v>
          </cell>
          <cell r="H4800" t="str">
            <v>ALEVE</v>
          </cell>
          <cell r="I4800">
            <v>3.16</v>
          </cell>
        </row>
        <row r="4801">
          <cell r="A4801" t="str">
            <v>19-04800</v>
          </cell>
          <cell r="B4801" t="str">
            <v>MELO FARMA</v>
          </cell>
          <cell r="C4801" t="str">
            <v>A</v>
          </cell>
          <cell r="D4801" t="str">
            <v>SI</v>
          </cell>
          <cell r="E4801" t="str">
            <v>ALEVE LIQUIGEL  24X1</v>
          </cell>
          <cell r="F4801" t="str">
            <v>MEDICINA</v>
          </cell>
          <cell r="G4801" t="str">
            <v>073BAY</v>
          </cell>
          <cell r="H4801" t="str">
            <v>ALEVE</v>
          </cell>
          <cell r="I4801">
            <v>8.61</v>
          </cell>
        </row>
        <row r="4802">
          <cell r="A4802" t="str">
            <v>19-04801</v>
          </cell>
          <cell r="B4802" t="str">
            <v>MELO FARMA</v>
          </cell>
          <cell r="C4802" t="str">
            <v>A</v>
          </cell>
          <cell r="D4802" t="str">
            <v>SI</v>
          </cell>
          <cell r="E4802" t="str">
            <v>ALKA SELTZER  12X1</v>
          </cell>
          <cell r="F4802" t="str">
            <v>MEDICINA</v>
          </cell>
          <cell r="G4802" t="str">
            <v>006BAY</v>
          </cell>
          <cell r="H4802" t="str">
            <v>ALKA SELTZER</v>
          </cell>
          <cell r="I4802">
            <v>1.85</v>
          </cell>
        </row>
        <row r="4803">
          <cell r="A4803" t="str">
            <v>19-04802</v>
          </cell>
          <cell r="B4803" t="str">
            <v>MELO FARMA</v>
          </cell>
          <cell r="C4803" t="str">
            <v>A</v>
          </cell>
          <cell r="D4803" t="str">
            <v>SI</v>
          </cell>
          <cell r="E4803" t="str">
            <v>ASPIRINA NINO  20X1</v>
          </cell>
          <cell r="F4803" t="str">
            <v>MEDICINA</v>
          </cell>
          <cell r="G4803" t="str">
            <v>009BAY</v>
          </cell>
          <cell r="H4803" t="str">
            <v>ASPIRINA</v>
          </cell>
          <cell r="I4803">
            <v>1.57</v>
          </cell>
        </row>
        <row r="4804">
          <cell r="A4804" t="str">
            <v>19-04803</v>
          </cell>
          <cell r="B4804" t="str">
            <v>MELO FARMA</v>
          </cell>
          <cell r="C4804" t="str">
            <v>A</v>
          </cell>
          <cell r="D4804" t="str">
            <v>SI</v>
          </cell>
          <cell r="E4804" t="str">
            <v>CARDIO ASPIRINA 30X1</v>
          </cell>
          <cell r="F4804" t="str">
            <v>MEDICINA</v>
          </cell>
          <cell r="G4804" t="str">
            <v>027BAY</v>
          </cell>
          <cell r="H4804" t="str">
            <v>ASPIRINA</v>
          </cell>
          <cell r="I4804">
            <v>6.95</v>
          </cell>
        </row>
        <row r="4805">
          <cell r="A4805" t="str">
            <v>19-04804</v>
          </cell>
          <cell r="B4805" t="str">
            <v>MELO FARMA</v>
          </cell>
          <cell r="C4805" t="str">
            <v>A</v>
          </cell>
          <cell r="D4805" t="str">
            <v>SI</v>
          </cell>
          <cell r="E4805" t="str">
            <v>DORIVAL 12X1</v>
          </cell>
          <cell r="F4805" t="str">
            <v>MEDICINA</v>
          </cell>
          <cell r="G4805" t="str">
            <v>057BAY</v>
          </cell>
          <cell r="H4805" t="str">
            <v>DORIVAL</v>
          </cell>
          <cell r="I4805">
            <v>2.6</v>
          </cell>
        </row>
        <row r="4806">
          <cell r="A4806" t="str">
            <v>19-04805</v>
          </cell>
          <cell r="B4806" t="str">
            <v>MELO FARMA</v>
          </cell>
          <cell r="C4806" t="str">
            <v>A</v>
          </cell>
          <cell r="D4806" t="str">
            <v>SI</v>
          </cell>
          <cell r="E4806" t="str">
            <v>TABCIN DIA LIQUI GEL  12X1</v>
          </cell>
          <cell r="F4806" t="str">
            <v>MEDICINA</v>
          </cell>
          <cell r="G4806" t="str">
            <v>064BAY</v>
          </cell>
          <cell r="H4806" t="str">
            <v>TABCIN</v>
          </cell>
          <cell r="I4806">
            <v>3.6</v>
          </cell>
        </row>
        <row r="4807">
          <cell r="A4807" t="str">
            <v>19-04806</v>
          </cell>
          <cell r="B4807" t="str">
            <v>MELO FARMA</v>
          </cell>
          <cell r="C4807" t="str">
            <v>A</v>
          </cell>
          <cell r="D4807" t="str">
            <v>SI</v>
          </cell>
          <cell r="E4807" t="str">
            <v>TABCIN NOCHE LIQUI GEL 12X1</v>
          </cell>
          <cell r="F4807" t="str">
            <v>MEDICINA</v>
          </cell>
          <cell r="G4807" t="str">
            <v>035BAY</v>
          </cell>
          <cell r="H4807" t="str">
            <v>TABCIN</v>
          </cell>
          <cell r="I4807">
            <v>3.6</v>
          </cell>
        </row>
        <row r="4808">
          <cell r="A4808" t="str">
            <v>19-04807</v>
          </cell>
          <cell r="B4808" t="str">
            <v>MELO FARMA</v>
          </cell>
          <cell r="C4808" t="str">
            <v>A</v>
          </cell>
          <cell r="D4808" t="str">
            <v>SI</v>
          </cell>
          <cell r="E4808" t="str">
            <v>TABCIN GRIPE Y TOS 12X1</v>
          </cell>
          <cell r="F4808" t="str">
            <v>MEDICINA</v>
          </cell>
          <cell r="G4808" t="str">
            <v>021BAY</v>
          </cell>
          <cell r="H4808" t="str">
            <v>TABCIN</v>
          </cell>
          <cell r="I4808">
            <v>2.5099999999999998</v>
          </cell>
        </row>
        <row r="4809">
          <cell r="A4809" t="str">
            <v>19-04808</v>
          </cell>
          <cell r="B4809" t="str">
            <v>MELO FARMA</v>
          </cell>
          <cell r="C4809" t="str">
            <v>A</v>
          </cell>
          <cell r="D4809" t="str">
            <v>SI</v>
          </cell>
          <cell r="E4809" t="str">
            <v>TABCIN NINO 12X1</v>
          </cell>
          <cell r="F4809" t="str">
            <v>MEDICINA</v>
          </cell>
          <cell r="G4809" t="str">
            <v>041BAY</v>
          </cell>
          <cell r="H4809" t="str">
            <v>TABCIN</v>
          </cell>
          <cell r="I4809">
            <v>2.15</v>
          </cell>
        </row>
        <row r="4810">
          <cell r="A4810" t="str">
            <v>19-04809</v>
          </cell>
          <cell r="B4810" t="str">
            <v>MELO FARMA</v>
          </cell>
          <cell r="C4810" t="str">
            <v>A</v>
          </cell>
          <cell r="D4810" t="str">
            <v>SI</v>
          </cell>
          <cell r="E4810" t="str">
            <v>TYLENOL  12X1</v>
          </cell>
          <cell r="F4810" t="str">
            <v>MEDICINA</v>
          </cell>
          <cell r="G4810" t="str">
            <v>026J&amp;J</v>
          </cell>
          <cell r="H4810" t="str">
            <v>TYLENOL</v>
          </cell>
          <cell r="I4810">
            <v>2.02</v>
          </cell>
        </row>
        <row r="4811">
          <cell r="A4811" t="str">
            <v>19-04810</v>
          </cell>
          <cell r="B4811" t="str">
            <v>MELO FARMA</v>
          </cell>
          <cell r="C4811" t="str">
            <v>A</v>
          </cell>
          <cell r="D4811" t="str">
            <v>SI</v>
          </cell>
          <cell r="E4811" t="str">
            <v>VICK VAPORUB 50 GR</v>
          </cell>
          <cell r="F4811" t="str">
            <v>MEDICINA</v>
          </cell>
          <cell r="G4811" t="str">
            <v>003P&amp;G</v>
          </cell>
          <cell r="H4811" t="str">
            <v>VICK</v>
          </cell>
          <cell r="I4811">
            <v>2.39</v>
          </cell>
        </row>
        <row r="4812">
          <cell r="A4812" t="str">
            <v>19-04811</v>
          </cell>
          <cell r="B4812" t="str">
            <v>MOTTA INT.</v>
          </cell>
          <cell r="C4812" t="str">
            <v>A</v>
          </cell>
          <cell r="D4812" t="str">
            <v>NO</v>
          </cell>
          <cell r="E4812" t="str">
            <v>HASBRO IRON MAN 3 WING ATTACK</v>
          </cell>
          <cell r="F4812" t="str">
            <v>JUGUETES</v>
          </cell>
          <cell r="H4812" t="str">
            <v>HASBRO</v>
          </cell>
          <cell r="I4812">
            <v>0</v>
          </cell>
        </row>
        <row r="4813">
          <cell r="A4813" t="str">
            <v>19-04812</v>
          </cell>
          <cell r="B4813" t="str">
            <v>H. MANCHA</v>
          </cell>
          <cell r="C4813" t="str">
            <v>A</v>
          </cell>
          <cell r="D4813" t="str">
            <v>NO</v>
          </cell>
          <cell r="E4813" t="str">
            <v>I AM DURAN</v>
          </cell>
          <cell r="F4813" t="str">
            <v>LIBRO</v>
          </cell>
          <cell r="G4813">
            <v>1055017</v>
          </cell>
          <cell r="H4813" t="str">
            <v>H. MANCHA</v>
          </cell>
          <cell r="I4813">
            <v>18.72</v>
          </cell>
        </row>
        <row r="4814">
          <cell r="A4814" t="str">
            <v>19-04813</v>
          </cell>
          <cell r="B4814" t="str">
            <v>H. MANCHA</v>
          </cell>
          <cell r="C4814" t="str">
            <v>A</v>
          </cell>
          <cell r="D4814" t="str">
            <v>NO</v>
          </cell>
          <cell r="E4814" t="str">
            <v>YO SOY DURAN</v>
          </cell>
          <cell r="F4814" t="str">
            <v>LIBRO</v>
          </cell>
          <cell r="G4814">
            <v>978073521518</v>
          </cell>
          <cell r="H4814" t="str">
            <v>H. MANCHA</v>
          </cell>
          <cell r="I4814">
            <v>14.4</v>
          </cell>
        </row>
        <row r="4815">
          <cell r="A4815" t="str">
            <v>19-04814</v>
          </cell>
          <cell r="B4815" t="str">
            <v>H. MANCHA</v>
          </cell>
          <cell r="C4815" t="str">
            <v>A</v>
          </cell>
          <cell r="D4815" t="str">
            <v>SI</v>
          </cell>
          <cell r="E4815" t="str">
            <v>AUTOAYUDATE QUE DIOS</v>
          </cell>
          <cell r="F4815" t="str">
            <v>LIBRO</v>
          </cell>
          <cell r="H4815" t="str">
            <v>H. MANCHA</v>
          </cell>
          <cell r="I4815">
            <v>11.484</v>
          </cell>
        </row>
        <row r="4816">
          <cell r="A4816" t="str">
            <v>19-04815</v>
          </cell>
          <cell r="B4816" t="str">
            <v>H. MANCHA</v>
          </cell>
          <cell r="C4816" t="str">
            <v>A</v>
          </cell>
          <cell r="D4816" t="str">
            <v>SI</v>
          </cell>
          <cell r="E4816" t="str">
            <v>ASFIXIA</v>
          </cell>
          <cell r="F4816" t="str">
            <v>LIBRO</v>
          </cell>
          <cell r="H4816" t="str">
            <v>H. MANCHA</v>
          </cell>
          <cell r="I4816">
            <v>17.963000000000001</v>
          </cell>
        </row>
        <row r="4817">
          <cell r="A4817" t="str">
            <v>19-04816</v>
          </cell>
          <cell r="B4817" t="str">
            <v>H. MANCHA</v>
          </cell>
          <cell r="C4817" t="str">
            <v>A</v>
          </cell>
          <cell r="D4817" t="str">
            <v>SI</v>
          </cell>
          <cell r="E4817" t="str">
            <v>EXODO 3 JUECES</v>
          </cell>
          <cell r="F4817" t="str">
            <v>LIBRO</v>
          </cell>
          <cell r="H4817" t="str">
            <v>H. MANCHA</v>
          </cell>
          <cell r="I4817">
            <v>15.803000000000001</v>
          </cell>
        </row>
        <row r="4818">
          <cell r="A4818" t="str">
            <v>19-04817</v>
          </cell>
          <cell r="B4818" t="str">
            <v>H. MANCHA</v>
          </cell>
          <cell r="C4818" t="str">
            <v>A</v>
          </cell>
          <cell r="D4818" t="str">
            <v>NO</v>
          </cell>
          <cell r="E4818" t="str">
            <v>CARVE THE MARK</v>
          </cell>
          <cell r="F4818" t="str">
            <v>LIBRO</v>
          </cell>
          <cell r="H4818" t="str">
            <v>H. MANCHA</v>
          </cell>
          <cell r="I4818">
            <v>17.244</v>
          </cell>
        </row>
        <row r="4819">
          <cell r="A4819" t="str">
            <v>19-04818</v>
          </cell>
          <cell r="B4819" t="str">
            <v>H. MANCHA</v>
          </cell>
          <cell r="C4819" t="str">
            <v>A</v>
          </cell>
          <cell r="D4819" t="str">
            <v>SI</v>
          </cell>
          <cell r="E4819" t="str">
            <v>FIDEL CASTRO INEDITO</v>
          </cell>
          <cell r="F4819" t="str">
            <v>LIBRO</v>
          </cell>
          <cell r="H4819" t="str">
            <v>H. MANCHA</v>
          </cell>
          <cell r="I4819">
            <v>8.6039999999999992</v>
          </cell>
        </row>
        <row r="4820">
          <cell r="A4820" t="str">
            <v>19-04819</v>
          </cell>
          <cell r="B4820" t="str">
            <v>H. MANCHA</v>
          </cell>
          <cell r="C4820" t="str">
            <v>A</v>
          </cell>
          <cell r="D4820" t="str">
            <v>NO</v>
          </cell>
          <cell r="E4820" t="str">
            <v>NINA ALEMANA</v>
          </cell>
          <cell r="F4820" t="str">
            <v>LIBRO</v>
          </cell>
          <cell r="G4820">
            <v>978958899120</v>
          </cell>
          <cell r="H4820" t="str">
            <v>H. MANCHA</v>
          </cell>
          <cell r="I4820">
            <v>15.084</v>
          </cell>
        </row>
        <row r="4821">
          <cell r="A4821" t="str">
            <v>19-04820</v>
          </cell>
          <cell r="B4821" t="str">
            <v>H. MANCHA</v>
          </cell>
          <cell r="C4821" t="str">
            <v>A</v>
          </cell>
          <cell r="D4821" t="str">
            <v>NO</v>
          </cell>
          <cell r="E4821" t="str">
            <v>BELLA Y LA BESTIA LA</v>
          </cell>
          <cell r="F4821" t="str">
            <v>LIBRO</v>
          </cell>
          <cell r="H4821" t="str">
            <v>H. MANCHA</v>
          </cell>
          <cell r="I4821">
            <v>7.1639999999999997</v>
          </cell>
        </row>
        <row r="4822">
          <cell r="A4822" t="str">
            <v>19-04821</v>
          </cell>
          <cell r="B4822" t="str">
            <v>H. MANCHA</v>
          </cell>
          <cell r="C4822" t="str">
            <v>A</v>
          </cell>
          <cell r="D4822" t="str">
            <v>NO</v>
          </cell>
          <cell r="E4822" t="str">
            <v>EDAD DE LA VERDAD</v>
          </cell>
          <cell r="F4822" t="str">
            <v>LIBRO</v>
          </cell>
          <cell r="H4822" t="str">
            <v>H. MANCHA</v>
          </cell>
          <cell r="I4822">
            <v>7.88</v>
          </cell>
        </row>
        <row r="4823">
          <cell r="A4823" t="str">
            <v>19-04822</v>
          </cell>
          <cell r="B4823" t="str">
            <v>H. MANCHA</v>
          </cell>
          <cell r="C4823" t="str">
            <v>A</v>
          </cell>
          <cell r="D4823" t="str">
            <v>SI</v>
          </cell>
          <cell r="E4823" t="str">
            <v>ARTE DE HACER DINERO EL</v>
          </cell>
          <cell r="F4823" t="str">
            <v>LIBRO</v>
          </cell>
          <cell r="H4823" t="str">
            <v>H. MANCHA</v>
          </cell>
          <cell r="I4823">
            <v>8.6039999999999992</v>
          </cell>
        </row>
        <row r="4824">
          <cell r="A4824" t="str">
            <v>19-04823</v>
          </cell>
          <cell r="B4824" t="str">
            <v>H. MANCHA</v>
          </cell>
          <cell r="C4824" t="str">
            <v>A</v>
          </cell>
          <cell r="D4824" t="str">
            <v>SI</v>
          </cell>
          <cell r="E4824" t="str">
            <v>MAGISTERIUM 1 PRUEBA DE</v>
          </cell>
          <cell r="F4824" t="str">
            <v>LIBRO</v>
          </cell>
          <cell r="H4824" t="str">
            <v>H. MANCHA</v>
          </cell>
          <cell r="I4824">
            <v>10.763999999999999</v>
          </cell>
        </row>
        <row r="4825">
          <cell r="A4825" t="str">
            <v>19-04824</v>
          </cell>
          <cell r="B4825" t="str">
            <v>H. MANCHA</v>
          </cell>
          <cell r="C4825" t="str">
            <v>A</v>
          </cell>
          <cell r="D4825" t="str">
            <v>SI</v>
          </cell>
          <cell r="E4825" t="str">
            <v>SELECCION 1</v>
          </cell>
          <cell r="F4825" t="str">
            <v>LIBRO</v>
          </cell>
          <cell r="H4825" t="str">
            <v>H. MANCHA</v>
          </cell>
          <cell r="I4825">
            <v>13.643000000000001</v>
          </cell>
        </row>
        <row r="4826">
          <cell r="A4826" t="str">
            <v>19-04825</v>
          </cell>
          <cell r="B4826" t="str">
            <v>H. MANCHA</v>
          </cell>
          <cell r="C4826" t="str">
            <v>A</v>
          </cell>
          <cell r="D4826" t="str">
            <v>NO</v>
          </cell>
          <cell r="E4826" t="str">
            <v>SELECCION 5 CORONA</v>
          </cell>
          <cell r="F4826" t="str">
            <v>LIBRO</v>
          </cell>
          <cell r="G4826">
            <v>978958876318</v>
          </cell>
          <cell r="H4826" t="str">
            <v>H. MANCHA</v>
          </cell>
          <cell r="I4826">
            <v>11.484</v>
          </cell>
        </row>
        <row r="4827">
          <cell r="A4827" t="str">
            <v>19-04826</v>
          </cell>
          <cell r="B4827" t="str">
            <v>H. MANCHA</v>
          </cell>
          <cell r="C4827" t="str">
            <v>A</v>
          </cell>
          <cell r="D4827" t="str">
            <v>NO</v>
          </cell>
          <cell r="E4827" t="str">
            <v>TU. SIMPLEMENTE TU</v>
          </cell>
          <cell r="F4827" t="str">
            <v>LIBRO</v>
          </cell>
          <cell r="H4827" t="str">
            <v>H. MANCHA</v>
          </cell>
          <cell r="I4827">
            <v>8.6029999999999998</v>
          </cell>
        </row>
        <row r="4828">
          <cell r="A4828" t="str">
            <v>19-04827</v>
          </cell>
          <cell r="B4828" t="str">
            <v>H. MANCHA</v>
          </cell>
          <cell r="C4828" t="str">
            <v>A</v>
          </cell>
          <cell r="D4828" t="str">
            <v>SI</v>
          </cell>
          <cell r="E4828" t="str">
            <v>PRINCIOE DE LA NIEBLA EL</v>
          </cell>
          <cell r="F4828" t="str">
            <v>LIBRO</v>
          </cell>
          <cell r="H4828" t="str">
            <v>H. MANCHA</v>
          </cell>
          <cell r="I4828">
            <v>9.3239999999999998</v>
          </cell>
        </row>
        <row r="4829">
          <cell r="A4829" t="str">
            <v>19-04828</v>
          </cell>
          <cell r="B4829" t="str">
            <v>H. MANCHA</v>
          </cell>
          <cell r="C4829" t="str">
            <v>A</v>
          </cell>
          <cell r="D4829" t="str">
            <v>SI</v>
          </cell>
          <cell r="E4829" t="str">
            <v>365 TIPS PARA CAMBIAR TU</v>
          </cell>
          <cell r="F4829" t="str">
            <v>LIBRO</v>
          </cell>
          <cell r="H4829" t="str">
            <v>H. MANCHA</v>
          </cell>
          <cell r="I4829">
            <v>9.3239999999999998</v>
          </cell>
        </row>
        <row r="4830">
          <cell r="A4830" t="str">
            <v>19-04829</v>
          </cell>
          <cell r="B4830" t="str">
            <v>H. MANCHA</v>
          </cell>
          <cell r="C4830" t="str">
            <v>A</v>
          </cell>
          <cell r="D4830" t="str">
            <v>SI</v>
          </cell>
          <cell r="E4830" t="str">
            <v>PERSONAS DESCONOCIDAS</v>
          </cell>
          <cell r="F4830" t="str">
            <v>LIBRO</v>
          </cell>
          <cell r="H4830" t="str">
            <v>H. MANCHA</v>
          </cell>
          <cell r="I4830">
            <v>15.083</v>
          </cell>
        </row>
        <row r="4831">
          <cell r="A4831" t="str">
            <v>19-04830</v>
          </cell>
          <cell r="B4831" t="str">
            <v>H. MANCHA</v>
          </cell>
          <cell r="C4831" t="str">
            <v>A</v>
          </cell>
          <cell r="D4831" t="str">
            <v>SI</v>
          </cell>
          <cell r="E4831" t="str">
            <v>UN ABOGADO REBELDE</v>
          </cell>
          <cell r="F4831" t="str">
            <v>LIBRO</v>
          </cell>
          <cell r="H4831" t="str">
            <v>H. MANCHA</v>
          </cell>
          <cell r="I4831">
            <v>15.804</v>
          </cell>
        </row>
        <row r="4832">
          <cell r="A4832" t="str">
            <v>19-04831</v>
          </cell>
          <cell r="B4832" t="str">
            <v>H. MANCHA</v>
          </cell>
          <cell r="C4832" t="str">
            <v>A</v>
          </cell>
          <cell r="D4832" t="str">
            <v>SI</v>
          </cell>
          <cell r="E4832" t="str">
            <v>MARCAS DE LA MUERTE</v>
          </cell>
          <cell r="F4832" t="str">
            <v>LIBRO</v>
          </cell>
          <cell r="H4832" t="str">
            <v>H. MANCHA</v>
          </cell>
          <cell r="I4832">
            <v>16.524000000000001</v>
          </cell>
        </row>
        <row r="4833">
          <cell r="A4833" t="str">
            <v>19-04832</v>
          </cell>
          <cell r="B4833" t="str">
            <v>H. MANCHA</v>
          </cell>
          <cell r="C4833" t="str">
            <v>A</v>
          </cell>
          <cell r="D4833" t="str">
            <v>SI</v>
          </cell>
          <cell r="E4833" t="str">
            <v>SECRETO DE GRAY MOUNTAIN</v>
          </cell>
          <cell r="F4833" t="str">
            <v>LIBRO</v>
          </cell>
          <cell r="H4833" t="str">
            <v>H. MANCHA</v>
          </cell>
          <cell r="I4833">
            <v>18.684000000000001</v>
          </cell>
        </row>
        <row r="4834">
          <cell r="A4834" t="str">
            <v>19-04833</v>
          </cell>
          <cell r="B4834" t="str">
            <v>H. MANCHA</v>
          </cell>
          <cell r="C4834" t="str">
            <v>A</v>
          </cell>
          <cell r="D4834" t="str">
            <v>SI</v>
          </cell>
          <cell r="E4834" t="str">
            <v>TALENTOS OCULTOS</v>
          </cell>
          <cell r="F4834" t="str">
            <v>LIBRO</v>
          </cell>
          <cell r="H4834" t="str">
            <v>H. MANCHA</v>
          </cell>
          <cell r="I4834">
            <v>14.364000000000001</v>
          </cell>
        </row>
        <row r="4835">
          <cell r="A4835" t="str">
            <v>19-04834</v>
          </cell>
          <cell r="B4835" t="str">
            <v>H. MANCHA</v>
          </cell>
          <cell r="C4835" t="str">
            <v>A</v>
          </cell>
          <cell r="D4835" t="str">
            <v>SI</v>
          </cell>
          <cell r="E4835" t="str">
            <v>HARRY POTTER AND CURSED</v>
          </cell>
          <cell r="F4835" t="str">
            <v>LIBRO</v>
          </cell>
          <cell r="H4835" t="str">
            <v>H. MANCHA</v>
          </cell>
          <cell r="I4835">
            <v>24.443999999999999</v>
          </cell>
        </row>
        <row r="4836">
          <cell r="A4836" t="str">
            <v>19-04835</v>
          </cell>
          <cell r="B4836" t="str">
            <v>H. MANCHA</v>
          </cell>
          <cell r="C4836" t="str">
            <v>A</v>
          </cell>
          <cell r="D4836" t="str">
            <v>NO</v>
          </cell>
          <cell r="E4836" t="str">
            <v>WATERFIRE 1 AZUL PROFUNDO</v>
          </cell>
          <cell r="F4836" t="str">
            <v>LIBRO</v>
          </cell>
          <cell r="G4836">
            <v>978607072471</v>
          </cell>
          <cell r="H4836" t="str">
            <v>H. MANCHA</v>
          </cell>
          <cell r="I4836">
            <v>9.3239999999999998</v>
          </cell>
        </row>
        <row r="4837">
          <cell r="A4837" t="str">
            <v>19-04836</v>
          </cell>
          <cell r="B4837" t="str">
            <v>H. MANCHA</v>
          </cell>
          <cell r="C4837" t="str">
            <v>A</v>
          </cell>
          <cell r="D4837" t="str">
            <v>SI</v>
          </cell>
          <cell r="E4837" t="str">
            <v>MUY PROFUNDO II: ETERNO</v>
          </cell>
          <cell r="F4837" t="str">
            <v>LIBRO</v>
          </cell>
          <cell r="H4837" t="str">
            <v>H. MANCHA</v>
          </cell>
          <cell r="I4837">
            <v>13.644</v>
          </cell>
        </row>
        <row r="4838">
          <cell r="A4838" t="str">
            <v>19-04837</v>
          </cell>
          <cell r="B4838" t="str">
            <v>H. MANCHA</v>
          </cell>
          <cell r="C4838" t="str">
            <v>A</v>
          </cell>
          <cell r="D4838" t="str">
            <v>SI</v>
          </cell>
          <cell r="E4838" t="str">
            <v>MI ANGEL GUARDIAN 1 LA V</v>
          </cell>
          <cell r="F4838" t="str">
            <v>LIBRO</v>
          </cell>
          <cell r="H4838" t="str">
            <v>H. MANCHA</v>
          </cell>
          <cell r="I4838">
            <v>17.244</v>
          </cell>
        </row>
        <row r="4839">
          <cell r="A4839" t="str">
            <v>19-04838</v>
          </cell>
          <cell r="B4839" t="str">
            <v>H. MANCHA</v>
          </cell>
          <cell r="C4839" t="str">
            <v>A</v>
          </cell>
          <cell r="D4839" t="str">
            <v>SI</v>
          </cell>
          <cell r="E4839" t="str">
            <v>DR ENGEL</v>
          </cell>
          <cell r="F4839" t="str">
            <v>LIBRO</v>
          </cell>
          <cell r="H4839" t="str">
            <v>H. MANCHA</v>
          </cell>
          <cell r="I4839">
            <v>16.524000000000001</v>
          </cell>
        </row>
        <row r="4840">
          <cell r="A4840" t="str">
            <v>19-04839</v>
          </cell>
          <cell r="B4840" t="str">
            <v>H. MANCHA</v>
          </cell>
          <cell r="C4840" t="str">
            <v>A</v>
          </cell>
          <cell r="D4840" t="str">
            <v>NO</v>
          </cell>
          <cell r="E4840" t="str">
            <v>FANTASTIC BEAST ORIGINAL</v>
          </cell>
          <cell r="F4840" t="str">
            <v>LIBRO</v>
          </cell>
          <cell r="H4840" t="str">
            <v>H. MANCHA</v>
          </cell>
          <cell r="I4840">
            <v>21.564</v>
          </cell>
        </row>
        <row r="4841">
          <cell r="A4841" t="str">
            <v>19-04840</v>
          </cell>
          <cell r="B4841" t="str">
            <v>H. MANCHA</v>
          </cell>
          <cell r="C4841" t="str">
            <v>A</v>
          </cell>
          <cell r="D4841" t="str">
            <v>SI</v>
          </cell>
          <cell r="E4841" t="str">
            <v>MORTAL INST 1 CITY OF BO</v>
          </cell>
          <cell r="F4841" t="str">
            <v>LIBRO</v>
          </cell>
          <cell r="H4841" t="str">
            <v>H. MANCHA</v>
          </cell>
          <cell r="I4841">
            <v>8.6039999999999992</v>
          </cell>
        </row>
        <row r="4842">
          <cell r="A4842" t="str">
            <v>19-04841</v>
          </cell>
          <cell r="B4842" t="str">
            <v>H. MANCHA</v>
          </cell>
          <cell r="C4842" t="str">
            <v>A</v>
          </cell>
          <cell r="D4842" t="str">
            <v>SI</v>
          </cell>
          <cell r="E4842" t="str">
            <v>MORTAL INST 2 CITY OF AS</v>
          </cell>
          <cell r="F4842" t="str">
            <v>LIBRO</v>
          </cell>
          <cell r="H4842" t="str">
            <v>H. MANCHA</v>
          </cell>
          <cell r="I4842">
            <v>8.6039999999999992</v>
          </cell>
        </row>
        <row r="4843">
          <cell r="A4843" t="str">
            <v>19-04842</v>
          </cell>
          <cell r="B4843" t="str">
            <v>H. MANCHA</v>
          </cell>
          <cell r="C4843" t="str">
            <v>A</v>
          </cell>
          <cell r="D4843" t="str">
            <v>SI</v>
          </cell>
          <cell r="E4843" t="str">
            <v>MORTAL INST 3 CITY OF GL</v>
          </cell>
          <cell r="F4843" t="str">
            <v>LIBRO</v>
          </cell>
          <cell r="H4843" t="str">
            <v>H. MANCHA</v>
          </cell>
          <cell r="I4843">
            <v>8.6039999999999992</v>
          </cell>
        </row>
        <row r="4844">
          <cell r="A4844" t="str">
            <v>19-04843</v>
          </cell>
          <cell r="B4844" t="str">
            <v>H. MANCHA</v>
          </cell>
          <cell r="C4844" t="str">
            <v>A</v>
          </cell>
          <cell r="D4844" t="str">
            <v>SI</v>
          </cell>
          <cell r="E4844" t="str">
            <v>QUIMICA LA</v>
          </cell>
          <cell r="F4844" t="str">
            <v>LIBRO</v>
          </cell>
          <cell r="H4844" t="str">
            <v>H. MANCHA</v>
          </cell>
          <cell r="I4844">
            <v>16.523</v>
          </cell>
        </row>
        <row r="4845">
          <cell r="A4845" t="str">
            <v>19-04844</v>
          </cell>
          <cell r="B4845" t="str">
            <v>H. MANCHA</v>
          </cell>
          <cell r="C4845" t="str">
            <v>A</v>
          </cell>
          <cell r="D4845" t="str">
            <v>SI</v>
          </cell>
          <cell r="E4845" t="str">
            <v>MUNDO IMAGINARIO DE</v>
          </cell>
          <cell r="F4845" t="str">
            <v>LIBRO</v>
          </cell>
          <cell r="H4845" t="str">
            <v>H. MANCHA</v>
          </cell>
          <cell r="I4845">
            <v>10.763999999999999</v>
          </cell>
        </row>
        <row r="4846">
          <cell r="A4846" t="str">
            <v>19-04845</v>
          </cell>
          <cell r="B4846" t="str">
            <v>H. MANCHA</v>
          </cell>
          <cell r="C4846" t="str">
            <v>A</v>
          </cell>
          <cell r="D4846" t="str">
            <v>NO</v>
          </cell>
          <cell r="E4846" t="str">
            <v>MAMA QUIERO SER UN YOUTUBER</v>
          </cell>
          <cell r="F4846" t="str">
            <v>LIBRO</v>
          </cell>
          <cell r="H4846" t="str">
            <v>H. MANCHA</v>
          </cell>
          <cell r="I4846">
            <v>10.042999999999999</v>
          </cell>
        </row>
        <row r="4847">
          <cell r="A4847" t="str">
            <v>19-04846</v>
          </cell>
          <cell r="B4847" t="str">
            <v>H. MANCHA</v>
          </cell>
          <cell r="C4847" t="str">
            <v>A</v>
          </cell>
          <cell r="D4847" t="str">
            <v>SI</v>
          </cell>
          <cell r="E4847" t="str">
            <v>LABERINTO DE LOS ESPIRITUS</v>
          </cell>
          <cell r="F4847" t="str">
            <v>LIBRO</v>
          </cell>
          <cell r="G4847">
            <v>978607073733</v>
          </cell>
          <cell r="H4847" t="str">
            <v>H. MANCHA</v>
          </cell>
          <cell r="I4847">
            <v>18.683</v>
          </cell>
        </row>
        <row r="4848">
          <cell r="A4848" t="str">
            <v>19-04847</v>
          </cell>
          <cell r="B4848" t="str">
            <v>H. MANCHA</v>
          </cell>
          <cell r="C4848" t="str">
            <v>A</v>
          </cell>
          <cell r="D4848" t="str">
            <v>SI</v>
          </cell>
          <cell r="E4848" t="str">
            <v>ALGO TAN SENCILLO 1 TUIT</v>
          </cell>
          <cell r="F4848" t="str">
            <v>LIBRO</v>
          </cell>
          <cell r="H4848" t="str">
            <v>H. MANCHA</v>
          </cell>
          <cell r="I4848">
            <v>19.402999999999999</v>
          </cell>
        </row>
        <row r="4849">
          <cell r="A4849" t="str">
            <v>19-04848</v>
          </cell>
          <cell r="B4849" t="str">
            <v>H. MANCHA</v>
          </cell>
          <cell r="C4849" t="str">
            <v>A</v>
          </cell>
          <cell r="D4849" t="str">
            <v>SI</v>
          </cell>
          <cell r="E4849" t="str">
            <v>PERSONAS COMPRAN PERSONAS</v>
          </cell>
          <cell r="F4849" t="str">
            <v>LIBRO</v>
          </cell>
          <cell r="H4849" t="str">
            <v>H. MANCHA</v>
          </cell>
          <cell r="I4849">
            <v>12.205</v>
          </cell>
        </row>
        <row r="4850">
          <cell r="A4850" t="str">
            <v>19-04849</v>
          </cell>
          <cell r="B4850" t="str">
            <v>H. MANCHA</v>
          </cell>
          <cell r="C4850" t="str">
            <v>A</v>
          </cell>
          <cell r="D4850" t="str">
            <v>NO</v>
          </cell>
          <cell r="E4850" t="str">
            <v>SELECCION 4 HEREDERA</v>
          </cell>
          <cell r="F4850" t="str">
            <v>LIBRO</v>
          </cell>
          <cell r="H4850" t="str">
            <v>H. MANCHA</v>
          </cell>
          <cell r="I4850">
            <v>13.644</v>
          </cell>
        </row>
        <row r="4851">
          <cell r="A4851" t="str">
            <v>19-04850</v>
          </cell>
          <cell r="B4851" t="str">
            <v>H. MANCHA</v>
          </cell>
          <cell r="C4851" t="str">
            <v>A</v>
          </cell>
          <cell r="D4851" t="str">
            <v>SI</v>
          </cell>
          <cell r="E4851" t="str">
            <v>SENTIDO DE LA VIDA</v>
          </cell>
          <cell r="F4851" t="str">
            <v>LIBRO</v>
          </cell>
          <cell r="H4851" t="str">
            <v>H. MANCHA</v>
          </cell>
          <cell r="I4851">
            <v>9.3239999999999998</v>
          </cell>
        </row>
        <row r="4852">
          <cell r="A4852" t="str">
            <v>19-04851</v>
          </cell>
          <cell r="B4852" t="str">
            <v>H. MANCHA</v>
          </cell>
          <cell r="C4852" t="str">
            <v>A</v>
          </cell>
          <cell r="D4852" t="str">
            <v>NO</v>
          </cell>
          <cell r="E4852" t="str">
            <v>SIEMPRE NOS QUEDARA EL V</v>
          </cell>
          <cell r="F4852" t="str">
            <v>LIBRO</v>
          </cell>
          <cell r="H4852" t="str">
            <v>H. MANCHA</v>
          </cell>
          <cell r="I4852">
            <v>15.804</v>
          </cell>
        </row>
        <row r="4853">
          <cell r="A4853" t="str">
            <v>19-04852</v>
          </cell>
          <cell r="B4853" t="str">
            <v>H. MANCHA</v>
          </cell>
          <cell r="C4853" t="str">
            <v>A</v>
          </cell>
          <cell r="D4853" t="str">
            <v>NO</v>
          </cell>
          <cell r="E4853" t="str">
            <v>Y SI QUEDAMOS AMIGOS ?</v>
          </cell>
          <cell r="F4853" t="str">
            <v>LIBRO</v>
          </cell>
          <cell r="H4853" t="str">
            <v>H. MANCHA</v>
          </cell>
          <cell r="I4853">
            <v>17.244</v>
          </cell>
        </row>
        <row r="4854">
          <cell r="A4854" t="str">
            <v>19-04853</v>
          </cell>
          <cell r="B4854" t="str">
            <v>H. MANCHA</v>
          </cell>
          <cell r="C4854" t="str">
            <v>A</v>
          </cell>
          <cell r="D4854" t="str">
            <v>SI</v>
          </cell>
          <cell r="E4854" t="str">
            <v>NINA QUE MIRABA LOS TREN</v>
          </cell>
          <cell r="F4854" t="str">
            <v>LIBRO</v>
          </cell>
          <cell r="H4854" t="str">
            <v>H. MANCHA</v>
          </cell>
          <cell r="I4854">
            <v>16.523</v>
          </cell>
        </row>
        <row r="4855">
          <cell r="A4855" t="str">
            <v>19-04854</v>
          </cell>
          <cell r="B4855" t="str">
            <v>H. MANCHA</v>
          </cell>
          <cell r="C4855" t="str">
            <v>A</v>
          </cell>
          <cell r="D4855" t="str">
            <v>SI</v>
          </cell>
          <cell r="E4855" t="str">
            <v>DR. SEUSS QUE ANIMAL SERA</v>
          </cell>
          <cell r="F4855" t="str">
            <v>LIBRO</v>
          </cell>
          <cell r="H4855" t="str">
            <v>H. MANCHA</v>
          </cell>
          <cell r="I4855">
            <v>12.204000000000001</v>
          </cell>
        </row>
        <row r="4856">
          <cell r="A4856" t="str">
            <v>19-04855</v>
          </cell>
          <cell r="B4856" t="str">
            <v>H. MANCHA</v>
          </cell>
          <cell r="C4856" t="str">
            <v>A</v>
          </cell>
          <cell r="D4856" t="str">
            <v>NO</v>
          </cell>
          <cell r="E4856" t="str">
            <v>DR. SEUSS. !QUE LEJOS LLE</v>
          </cell>
          <cell r="F4856" t="str">
            <v>LIBRO</v>
          </cell>
          <cell r="H4856" t="str">
            <v>H. MANCHA</v>
          </cell>
          <cell r="I4856">
            <v>11.484</v>
          </cell>
        </row>
        <row r="4857">
          <cell r="A4857" t="str">
            <v>19-04856</v>
          </cell>
          <cell r="B4857" t="str">
            <v>H. MANCHA</v>
          </cell>
          <cell r="C4857" t="str">
            <v>A</v>
          </cell>
          <cell r="D4857" t="str">
            <v>NO</v>
          </cell>
          <cell r="E4857" t="str">
            <v>COCTELES Y COMBINADOS</v>
          </cell>
          <cell r="F4857" t="str">
            <v>LIBRO</v>
          </cell>
          <cell r="H4857" t="str">
            <v>H. MANCHA</v>
          </cell>
          <cell r="I4857">
            <v>7.1639999999999997</v>
          </cell>
        </row>
        <row r="4858">
          <cell r="A4858" t="str">
            <v>19-04857</v>
          </cell>
          <cell r="B4858" t="str">
            <v>H. MANCHA</v>
          </cell>
          <cell r="C4858" t="str">
            <v>A</v>
          </cell>
          <cell r="D4858" t="str">
            <v>NO</v>
          </cell>
          <cell r="E4858" t="str">
            <v>CONSEJOS PARA EL HOGAR</v>
          </cell>
          <cell r="F4858" t="str">
            <v>LIBRO</v>
          </cell>
          <cell r="H4858" t="str">
            <v>H. MANCHA</v>
          </cell>
          <cell r="I4858">
            <v>8.6039999999999992</v>
          </cell>
        </row>
        <row r="4859">
          <cell r="A4859" t="str">
            <v>19-04858</v>
          </cell>
          <cell r="B4859" t="str">
            <v>H. MANCHA</v>
          </cell>
          <cell r="C4859" t="str">
            <v>A</v>
          </cell>
          <cell r="D4859" t="str">
            <v>NO</v>
          </cell>
          <cell r="E4859" t="str">
            <v>CAKEPOPS PASTELILLOS EN</v>
          </cell>
          <cell r="F4859" t="str">
            <v>LIBRO</v>
          </cell>
          <cell r="H4859" t="str">
            <v>H. MANCHA</v>
          </cell>
          <cell r="I4859">
            <v>7.1639999999999997</v>
          </cell>
        </row>
        <row r="4860">
          <cell r="A4860" t="str">
            <v>19-04859</v>
          </cell>
          <cell r="B4860" t="str">
            <v>H. MANCHA</v>
          </cell>
          <cell r="C4860" t="str">
            <v>A</v>
          </cell>
          <cell r="D4860" t="str">
            <v>NO</v>
          </cell>
          <cell r="E4860" t="str">
            <v>YOGUR HELADO Y MUCHO MAS</v>
          </cell>
          <cell r="F4860" t="str">
            <v>LIBRO</v>
          </cell>
          <cell r="H4860" t="str">
            <v>H. MANCHA</v>
          </cell>
          <cell r="I4860">
            <v>7.1639999999999997</v>
          </cell>
        </row>
        <row r="4861">
          <cell r="A4861" t="str">
            <v>19-04860</v>
          </cell>
          <cell r="B4861" t="str">
            <v>H. MANCHA</v>
          </cell>
          <cell r="C4861" t="str">
            <v>A</v>
          </cell>
          <cell r="D4861" t="str">
            <v>NO</v>
          </cell>
          <cell r="E4861" t="str">
            <v>DELICIOSA REPOSTERIA</v>
          </cell>
          <cell r="F4861" t="str">
            <v>LIBRO</v>
          </cell>
          <cell r="H4861" t="str">
            <v>H. MANCHA</v>
          </cell>
          <cell r="I4861">
            <v>7.1639999999999997</v>
          </cell>
        </row>
        <row r="4862">
          <cell r="A4862" t="str">
            <v>19-04861</v>
          </cell>
          <cell r="B4862" t="str">
            <v>H. MANCHA</v>
          </cell>
          <cell r="C4862" t="str">
            <v>A</v>
          </cell>
          <cell r="D4862" t="str">
            <v>NO</v>
          </cell>
          <cell r="E4862" t="str">
            <v>REFRESCOS Y MUCHOS MAS</v>
          </cell>
          <cell r="F4862" t="str">
            <v>LIBRO</v>
          </cell>
          <cell r="H4862" t="str">
            <v>H. MANCHA</v>
          </cell>
          <cell r="I4862">
            <v>7.1639999999999997</v>
          </cell>
        </row>
        <row r="4863">
          <cell r="A4863" t="str">
            <v>19-04862</v>
          </cell>
          <cell r="B4863" t="str">
            <v>H. MANCHA</v>
          </cell>
          <cell r="C4863" t="str">
            <v>A</v>
          </cell>
          <cell r="D4863" t="str">
            <v>SI</v>
          </cell>
          <cell r="E4863" t="str">
            <v>PESTO &amp; CHUTNEY (LO MEJO</v>
          </cell>
          <cell r="F4863" t="str">
            <v>LIBRO</v>
          </cell>
          <cell r="H4863" t="str">
            <v>H. MANCHA</v>
          </cell>
          <cell r="I4863">
            <v>7.1639999999999997</v>
          </cell>
        </row>
        <row r="4864">
          <cell r="A4864" t="str">
            <v>19-04863</v>
          </cell>
          <cell r="B4864" t="str">
            <v>H. MANCHA</v>
          </cell>
          <cell r="C4864" t="str">
            <v>A</v>
          </cell>
          <cell r="D4864" t="str">
            <v>NO</v>
          </cell>
          <cell r="E4864" t="str">
            <v>NOCHE PERFECTA DE CHICAS</v>
          </cell>
          <cell r="F4864" t="str">
            <v>LIBRO</v>
          </cell>
          <cell r="H4864" t="str">
            <v>H. MANCHA</v>
          </cell>
          <cell r="I4864">
            <v>7.1639999999999997</v>
          </cell>
        </row>
        <row r="4865">
          <cell r="A4865" t="str">
            <v>19-04864</v>
          </cell>
          <cell r="B4865" t="str">
            <v>H. MANCHA</v>
          </cell>
          <cell r="C4865" t="str">
            <v>A</v>
          </cell>
          <cell r="D4865" t="str">
            <v>NO</v>
          </cell>
          <cell r="E4865" t="str">
            <v>FOODPOPS PISCOLABIS SALA</v>
          </cell>
          <cell r="F4865" t="str">
            <v>LIBRO</v>
          </cell>
          <cell r="H4865" t="str">
            <v>H. MANCHA</v>
          </cell>
          <cell r="I4865">
            <v>7.1639999999999997</v>
          </cell>
        </row>
        <row r="4866">
          <cell r="A4866" t="str">
            <v>19-04865</v>
          </cell>
          <cell r="B4866" t="str">
            <v>H. MANCHA</v>
          </cell>
          <cell r="C4866" t="str">
            <v>A</v>
          </cell>
          <cell r="D4866" t="str">
            <v>SI</v>
          </cell>
          <cell r="E4866" t="str">
            <v>CONSERVAS CASERAS</v>
          </cell>
          <cell r="F4866" t="str">
            <v>LIBRO</v>
          </cell>
          <cell r="H4866" t="str">
            <v>H. MANCHA</v>
          </cell>
          <cell r="I4866">
            <v>7.1639999999999997</v>
          </cell>
        </row>
        <row r="4867">
          <cell r="A4867" t="str">
            <v>19-04866</v>
          </cell>
          <cell r="B4867" t="str">
            <v>H. MANCHA</v>
          </cell>
          <cell r="C4867" t="str">
            <v>A</v>
          </cell>
          <cell r="D4867" t="str">
            <v>NO</v>
          </cell>
          <cell r="E4867" t="str">
            <v>CUPCAKES Y MUFFINS SALAD</v>
          </cell>
          <cell r="F4867" t="str">
            <v>LIBRO</v>
          </cell>
          <cell r="H4867" t="str">
            <v>H. MANCHA</v>
          </cell>
          <cell r="I4867">
            <v>7.1639999999999997</v>
          </cell>
        </row>
        <row r="4868">
          <cell r="A4868" t="str">
            <v>19-04867</v>
          </cell>
          <cell r="B4868" t="str">
            <v>H. MANCHA</v>
          </cell>
          <cell r="C4868" t="str">
            <v>A</v>
          </cell>
          <cell r="D4868" t="str">
            <v>NO</v>
          </cell>
          <cell r="E4868" t="str">
            <v>PASTELES SORPRESA</v>
          </cell>
          <cell r="F4868" t="str">
            <v>LIBRO</v>
          </cell>
          <cell r="H4868" t="str">
            <v>H. MANCHA</v>
          </cell>
          <cell r="I4868">
            <v>7.1639999999999997</v>
          </cell>
        </row>
        <row r="4869">
          <cell r="A4869" t="str">
            <v>19-04868</v>
          </cell>
          <cell r="B4869" t="str">
            <v>H. MANCHA</v>
          </cell>
          <cell r="C4869" t="str">
            <v>A</v>
          </cell>
          <cell r="D4869" t="str">
            <v>NO</v>
          </cell>
          <cell r="E4869" t="str">
            <v>MUG CAKE</v>
          </cell>
          <cell r="F4869" t="str">
            <v>LIBRO</v>
          </cell>
          <cell r="H4869" t="str">
            <v>H. MANCHA</v>
          </cell>
          <cell r="I4869">
            <v>7.1639999999999997</v>
          </cell>
        </row>
        <row r="4870">
          <cell r="A4870" t="str">
            <v>19-04869</v>
          </cell>
          <cell r="B4870" t="str">
            <v>H. MANCHA</v>
          </cell>
          <cell r="C4870" t="str">
            <v>A</v>
          </cell>
          <cell r="D4870" t="str">
            <v>NO</v>
          </cell>
          <cell r="E4870" t="str">
            <v>CHIP SANOS Y SALSAS DEL</v>
          </cell>
          <cell r="F4870" t="str">
            <v>LIBRO</v>
          </cell>
          <cell r="H4870" t="str">
            <v>H. MANCHA</v>
          </cell>
          <cell r="I4870">
            <v>7.1639999999999997</v>
          </cell>
        </row>
        <row r="4871">
          <cell r="A4871" t="str">
            <v>19-04870</v>
          </cell>
          <cell r="B4871" t="str">
            <v>H. MANCHA</v>
          </cell>
          <cell r="C4871" t="str">
            <v>A</v>
          </cell>
          <cell r="D4871" t="str">
            <v>NO</v>
          </cell>
          <cell r="E4871" t="str">
            <v>QUIEN SE HA LLEVADO MI Q</v>
          </cell>
          <cell r="F4871" t="str">
            <v>LIBRO</v>
          </cell>
          <cell r="H4871" t="str">
            <v>H. MANCHA</v>
          </cell>
          <cell r="I4871">
            <v>17.963999999999999</v>
          </cell>
        </row>
        <row r="4872">
          <cell r="A4872" t="str">
            <v>19-04871</v>
          </cell>
          <cell r="B4872" t="str">
            <v>H. MANCHA</v>
          </cell>
          <cell r="C4872" t="str">
            <v>A</v>
          </cell>
          <cell r="D4872" t="str">
            <v>NO</v>
          </cell>
          <cell r="E4872" t="str">
            <v>AVENTURAS DE PENSAR</v>
          </cell>
          <cell r="F4872" t="str">
            <v>LIBRO</v>
          </cell>
          <cell r="H4872" t="str">
            <v>H. MANCHA</v>
          </cell>
          <cell r="I4872">
            <v>25.164000000000001</v>
          </cell>
        </row>
        <row r="4873">
          <cell r="A4873" t="str">
            <v>19-04872</v>
          </cell>
          <cell r="B4873" t="str">
            <v>H. MANCHA</v>
          </cell>
          <cell r="C4873" t="str">
            <v>A</v>
          </cell>
          <cell r="D4873" t="str">
            <v>NO</v>
          </cell>
          <cell r="E4873" t="str">
            <v>GALLETAS Y PASTAS CASERAS</v>
          </cell>
          <cell r="F4873" t="str">
            <v>LIBRO</v>
          </cell>
          <cell r="H4873" t="str">
            <v>H. MANCHA</v>
          </cell>
          <cell r="I4873">
            <v>10.763999999999999</v>
          </cell>
        </row>
        <row r="4874">
          <cell r="A4874" t="str">
            <v>19-04873</v>
          </cell>
          <cell r="B4874" t="str">
            <v>H. MANCHA</v>
          </cell>
          <cell r="C4874" t="str">
            <v>A</v>
          </cell>
          <cell r="D4874" t="str">
            <v>SI</v>
          </cell>
          <cell r="E4874" t="str">
            <v>BELLAS FABULAS DE ESOPO</v>
          </cell>
          <cell r="F4874" t="str">
            <v>LIBRO</v>
          </cell>
          <cell r="H4874" t="str">
            <v>H. MANCHA</v>
          </cell>
          <cell r="I4874">
            <v>9.3239999999999998</v>
          </cell>
        </row>
        <row r="4875">
          <cell r="A4875" t="str">
            <v>19-04874</v>
          </cell>
          <cell r="B4875" t="str">
            <v>H. MANCHA</v>
          </cell>
          <cell r="C4875" t="str">
            <v>A</v>
          </cell>
          <cell r="D4875" t="str">
            <v>SI</v>
          </cell>
          <cell r="E4875" t="str">
            <v>BELLOS CUENTOS DE GRIMM</v>
          </cell>
          <cell r="F4875" t="str">
            <v>LIBRO</v>
          </cell>
          <cell r="H4875" t="str">
            <v>H. MANCHA</v>
          </cell>
          <cell r="I4875">
            <v>9.3239999999999998</v>
          </cell>
        </row>
        <row r="4876">
          <cell r="A4876" t="str">
            <v>19-04875</v>
          </cell>
          <cell r="B4876" t="str">
            <v>H. MANCHA</v>
          </cell>
          <cell r="C4876" t="str">
            <v>A</v>
          </cell>
          <cell r="D4876" t="str">
            <v>SI</v>
          </cell>
          <cell r="E4876" t="str">
            <v>BELLOS CUENTOS DE ANDERS</v>
          </cell>
          <cell r="F4876" t="str">
            <v>LIBRO</v>
          </cell>
          <cell r="H4876" t="str">
            <v>H. MANCHA</v>
          </cell>
          <cell r="I4876">
            <v>9.3239999999999998</v>
          </cell>
        </row>
        <row r="4877">
          <cell r="A4877" t="str">
            <v>19-04876</v>
          </cell>
          <cell r="B4877" t="str">
            <v>H. MANCHA</v>
          </cell>
          <cell r="C4877" t="str">
            <v>A</v>
          </cell>
          <cell r="D4877" t="str">
            <v>NO</v>
          </cell>
          <cell r="E4877" t="str">
            <v>101 CUENTOS DE LAS BUENAS</v>
          </cell>
          <cell r="F4877" t="str">
            <v>LIBRO</v>
          </cell>
          <cell r="G4877">
            <v>842982960697</v>
          </cell>
          <cell r="H4877" t="str">
            <v>H. MANCHA</v>
          </cell>
          <cell r="I4877">
            <v>9.3230000000000004</v>
          </cell>
        </row>
        <row r="4878">
          <cell r="A4878" t="str">
            <v>19-04877</v>
          </cell>
          <cell r="B4878" t="str">
            <v>H. MANCHA</v>
          </cell>
          <cell r="C4878" t="str">
            <v>A</v>
          </cell>
          <cell r="D4878" t="str">
            <v>NO</v>
          </cell>
          <cell r="E4878" t="str">
            <v>YOU 2 NEED YOU</v>
          </cell>
          <cell r="F4878" t="str">
            <v>LIBRO</v>
          </cell>
          <cell r="H4878" t="str">
            <v>H. MANCHA</v>
          </cell>
          <cell r="I4878">
            <v>12.923999999999999</v>
          </cell>
        </row>
        <row r="4879">
          <cell r="A4879" t="str">
            <v>19-04878</v>
          </cell>
          <cell r="B4879" t="str">
            <v>H. MANCHA</v>
          </cell>
          <cell r="C4879" t="str">
            <v>A</v>
          </cell>
          <cell r="D4879" t="str">
            <v>SI</v>
          </cell>
          <cell r="E4879" t="str">
            <v>YOU 3 MISS YOU</v>
          </cell>
          <cell r="F4879" t="str">
            <v>LIBRO</v>
          </cell>
          <cell r="H4879" t="str">
            <v>H. MANCHA</v>
          </cell>
          <cell r="I4879">
            <v>12.204000000000001</v>
          </cell>
        </row>
        <row r="4880">
          <cell r="A4880" t="str">
            <v>19-04879</v>
          </cell>
          <cell r="B4880" t="str">
            <v>H. MANCHA</v>
          </cell>
          <cell r="C4880" t="str">
            <v>A</v>
          </cell>
          <cell r="D4880" t="str">
            <v>SI</v>
          </cell>
          <cell r="E4880" t="str">
            <v>VENDER SIN VENDER</v>
          </cell>
          <cell r="F4880" t="str">
            <v>LIBRO</v>
          </cell>
          <cell r="H4880" t="str">
            <v>H. MANCHA</v>
          </cell>
          <cell r="I4880">
            <v>9.3239999999999998</v>
          </cell>
        </row>
        <row r="4881">
          <cell r="A4881" t="str">
            <v>19-04880</v>
          </cell>
          <cell r="B4881" t="str">
            <v>H. MANCHA</v>
          </cell>
          <cell r="C4881" t="str">
            <v>A</v>
          </cell>
          <cell r="D4881" t="str">
            <v>SI</v>
          </cell>
          <cell r="E4881" t="str">
            <v>COMPLICES</v>
          </cell>
          <cell r="F4881" t="str">
            <v>LIBRO</v>
          </cell>
          <cell r="H4881" t="str">
            <v>H. MANCHA</v>
          </cell>
          <cell r="I4881">
            <v>7.1639999999999997</v>
          </cell>
        </row>
        <row r="4882">
          <cell r="A4882" t="str">
            <v>19-04881</v>
          </cell>
          <cell r="B4882" t="str">
            <v>H. MANCHA</v>
          </cell>
          <cell r="C4882" t="str">
            <v>A</v>
          </cell>
          <cell r="D4882" t="str">
            <v>SI</v>
          </cell>
          <cell r="E4882" t="str">
            <v>PASTELITOS Y PASTAS MINI</v>
          </cell>
          <cell r="F4882" t="str">
            <v>LIBRO</v>
          </cell>
          <cell r="H4882" t="str">
            <v>H. MANCHA</v>
          </cell>
          <cell r="I4882">
            <v>3.5640000000000001</v>
          </cell>
        </row>
        <row r="4883">
          <cell r="A4883" t="str">
            <v>19-04882</v>
          </cell>
          <cell r="B4883" t="str">
            <v>H. MANCHA</v>
          </cell>
          <cell r="C4883" t="str">
            <v>A</v>
          </cell>
          <cell r="D4883" t="str">
            <v>SI</v>
          </cell>
          <cell r="E4883" t="str">
            <v>COCINA PARA FIESTAS</v>
          </cell>
          <cell r="F4883" t="str">
            <v>LIBRO</v>
          </cell>
          <cell r="H4883" t="str">
            <v>H. MANCHA</v>
          </cell>
          <cell r="I4883">
            <v>3.5640000000000001</v>
          </cell>
        </row>
        <row r="4884">
          <cell r="A4884" t="str">
            <v>19-04883</v>
          </cell>
          <cell r="B4884" t="str">
            <v>H. MANCHA</v>
          </cell>
          <cell r="C4884" t="str">
            <v>A</v>
          </cell>
          <cell r="D4884" t="str">
            <v>SI</v>
          </cell>
          <cell r="E4884" t="str">
            <v>GINEBRA (MINI LIBROS DE CO</v>
          </cell>
          <cell r="F4884" t="str">
            <v>LIBRO</v>
          </cell>
          <cell r="H4884" t="str">
            <v>H. MANCHA</v>
          </cell>
          <cell r="I4884">
            <v>3.5640000000000001</v>
          </cell>
        </row>
        <row r="4885">
          <cell r="A4885" t="str">
            <v>19-04884</v>
          </cell>
          <cell r="B4885" t="str">
            <v>H. MANCHA</v>
          </cell>
          <cell r="C4885" t="str">
            <v>A</v>
          </cell>
          <cell r="D4885" t="str">
            <v>SI</v>
          </cell>
          <cell r="E4885" t="str">
            <v>PASTELITOS Y MINITARTAS</v>
          </cell>
          <cell r="F4885" t="str">
            <v>LIBRO</v>
          </cell>
          <cell r="H4885" t="str">
            <v>H. MANCHA</v>
          </cell>
          <cell r="I4885">
            <v>3.5640000000000001</v>
          </cell>
        </row>
        <row r="4886">
          <cell r="A4886" t="str">
            <v>19-04885</v>
          </cell>
          <cell r="B4886" t="str">
            <v>H. MANCHA</v>
          </cell>
          <cell r="C4886" t="str">
            <v>A</v>
          </cell>
          <cell r="D4886" t="str">
            <v>SI</v>
          </cell>
          <cell r="E4886" t="str">
            <v>PASTELES RAPIDOS Y TARTAS</v>
          </cell>
          <cell r="F4886" t="str">
            <v>LIBRO</v>
          </cell>
          <cell r="H4886" t="str">
            <v>H. MANCHA</v>
          </cell>
          <cell r="I4886">
            <v>3.5640000000000001</v>
          </cell>
        </row>
        <row r="4887">
          <cell r="A4887" t="str">
            <v>19-04886</v>
          </cell>
          <cell r="B4887" t="str">
            <v>H. MANCHA</v>
          </cell>
          <cell r="C4887" t="str">
            <v>A</v>
          </cell>
          <cell r="D4887" t="str">
            <v>SI</v>
          </cell>
          <cell r="E4887" t="str">
            <v>COCINA ALEMANA MINILIBROS</v>
          </cell>
          <cell r="F4887" t="str">
            <v>LIBRO</v>
          </cell>
          <cell r="H4887" t="str">
            <v>H. MANCHA</v>
          </cell>
          <cell r="I4887">
            <v>3.5640000000000001</v>
          </cell>
        </row>
        <row r="4888">
          <cell r="A4888" t="str">
            <v>19-04887</v>
          </cell>
          <cell r="B4888" t="str">
            <v>H. MANCHA</v>
          </cell>
          <cell r="C4888" t="str">
            <v>A</v>
          </cell>
          <cell r="D4888" t="str">
            <v>SI</v>
          </cell>
          <cell r="E4888" t="str">
            <v>WHISKY (MINILIBROS DE CO</v>
          </cell>
          <cell r="F4888" t="str">
            <v>LIBRO</v>
          </cell>
          <cell r="H4888" t="str">
            <v>H. MANCHA</v>
          </cell>
          <cell r="I4888">
            <v>3.5640000000000001</v>
          </cell>
        </row>
        <row r="4889">
          <cell r="A4889" t="str">
            <v>19-04888</v>
          </cell>
          <cell r="B4889" t="str">
            <v>H. MANCHA</v>
          </cell>
          <cell r="C4889" t="str">
            <v>A</v>
          </cell>
          <cell r="D4889" t="str">
            <v>SI</v>
          </cell>
          <cell r="E4889" t="str">
            <v>HADAS DE LAS NIEVES</v>
          </cell>
          <cell r="F4889" t="str">
            <v>LIBRO</v>
          </cell>
          <cell r="H4889" t="str">
            <v>H. MANCHA</v>
          </cell>
          <cell r="I4889">
            <v>8.6039999999999992</v>
          </cell>
        </row>
        <row r="4890">
          <cell r="A4890" t="str">
            <v>19-04889</v>
          </cell>
          <cell r="B4890" t="str">
            <v>H. MANCHA</v>
          </cell>
          <cell r="C4890" t="str">
            <v>A</v>
          </cell>
          <cell r="D4890" t="str">
            <v>NO</v>
          </cell>
          <cell r="E4890" t="str">
            <v>IT ( ESO)</v>
          </cell>
          <cell r="F4890" t="str">
            <v>LIBRO</v>
          </cell>
          <cell r="G4890">
            <v>978958882067</v>
          </cell>
          <cell r="H4890" t="str">
            <v>H. MANCHA</v>
          </cell>
          <cell r="I4890">
            <v>13.644</v>
          </cell>
        </row>
        <row r="4891">
          <cell r="A4891" t="str">
            <v>19-04890</v>
          </cell>
          <cell r="B4891" t="str">
            <v>H. MANCHA</v>
          </cell>
          <cell r="C4891" t="str">
            <v>A</v>
          </cell>
          <cell r="D4891" t="str">
            <v>SI</v>
          </cell>
          <cell r="E4891" t="str">
            <v>STEVE JOBS BIOGRAFIA DBO</v>
          </cell>
          <cell r="F4891" t="str">
            <v>LIBRO</v>
          </cell>
          <cell r="H4891" t="str">
            <v>H. MANCHA</v>
          </cell>
          <cell r="I4891">
            <v>9.3239999999999998</v>
          </cell>
        </row>
        <row r="4892">
          <cell r="A4892" t="str">
            <v>19-04891</v>
          </cell>
          <cell r="B4892" t="str">
            <v>H. MANCHA</v>
          </cell>
          <cell r="C4892" t="str">
            <v>A</v>
          </cell>
          <cell r="D4892" t="str">
            <v>SI</v>
          </cell>
          <cell r="E4892" t="str">
            <v>ANIMALES FANTASTICOS GUI</v>
          </cell>
          <cell r="F4892" t="str">
            <v>LIBRO</v>
          </cell>
          <cell r="H4892" t="str">
            <v>H. MANCHA</v>
          </cell>
          <cell r="I4892">
            <v>15.084</v>
          </cell>
        </row>
        <row r="4893">
          <cell r="A4893" t="str">
            <v>19-04892</v>
          </cell>
          <cell r="B4893" t="str">
            <v>H. MANCHA</v>
          </cell>
          <cell r="C4893" t="str">
            <v>A</v>
          </cell>
          <cell r="D4893" t="str">
            <v>SI</v>
          </cell>
          <cell r="E4893" t="str">
            <v>UNO ENTRE UN MILLON</v>
          </cell>
          <cell r="F4893" t="str">
            <v>LIBRO</v>
          </cell>
          <cell r="H4893" t="str">
            <v>H. MANCHA</v>
          </cell>
          <cell r="I4893">
            <v>14.363</v>
          </cell>
        </row>
        <row r="4894">
          <cell r="A4894" t="str">
            <v>19-04893</v>
          </cell>
          <cell r="B4894" t="str">
            <v>H. MANCHA</v>
          </cell>
          <cell r="C4894" t="str">
            <v>A</v>
          </cell>
          <cell r="D4894" t="str">
            <v>SI</v>
          </cell>
          <cell r="E4894" t="str">
            <v>CRIANZA RESPETUOSA</v>
          </cell>
          <cell r="F4894" t="str">
            <v>LIBRO</v>
          </cell>
          <cell r="H4894" t="str">
            <v>H. MANCHA</v>
          </cell>
          <cell r="I4894">
            <v>11.483000000000001</v>
          </cell>
        </row>
        <row r="4895">
          <cell r="A4895" t="str">
            <v>19-04894</v>
          </cell>
          <cell r="B4895" t="str">
            <v>H. MANCHA</v>
          </cell>
          <cell r="C4895" t="str">
            <v>A</v>
          </cell>
          <cell r="D4895" t="str">
            <v>SI</v>
          </cell>
          <cell r="E4895" t="str">
            <v>UNA CITA CONTIGO MISMA</v>
          </cell>
          <cell r="F4895" t="str">
            <v>LIBRO</v>
          </cell>
          <cell r="H4895" t="str">
            <v>H. MANCHA</v>
          </cell>
          <cell r="I4895">
            <v>10.044</v>
          </cell>
        </row>
        <row r="4896">
          <cell r="A4896" t="str">
            <v>19-04895</v>
          </cell>
          <cell r="B4896" t="str">
            <v>H. MANCHA</v>
          </cell>
          <cell r="C4896" t="str">
            <v>A</v>
          </cell>
          <cell r="D4896" t="str">
            <v>SI</v>
          </cell>
          <cell r="E4896" t="str">
            <v>SOY LUNA 1 VIAJE COMIENZ</v>
          </cell>
          <cell r="F4896" t="str">
            <v>LIBRO</v>
          </cell>
          <cell r="H4896" t="str">
            <v>H. MANCHA</v>
          </cell>
          <cell r="I4896">
            <v>7.4080000000000004</v>
          </cell>
        </row>
        <row r="4897">
          <cell r="A4897" t="str">
            <v>19-04896</v>
          </cell>
          <cell r="B4897" t="str">
            <v>H. MANCHA</v>
          </cell>
          <cell r="C4897" t="str">
            <v>A</v>
          </cell>
          <cell r="D4897" t="str">
            <v>SI</v>
          </cell>
          <cell r="E4897" t="str">
            <v>SABORES DE LA COCINA PAN</v>
          </cell>
          <cell r="F4897" t="str">
            <v>LIBRO</v>
          </cell>
          <cell r="H4897" t="str">
            <v>H. MANCHA</v>
          </cell>
          <cell r="I4897">
            <v>14.363</v>
          </cell>
        </row>
        <row r="4898">
          <cell r="A4898" t="str">
            <v>19-04897</v>
          </cell>
          <cell r="B4898" t="str">
            <v>DIST. LEWIS</v>
          </cell>
          <cell r="C4898" t="str">
            <v>A</v>
          </cell>
          <cell r="D4898" t="str">
            <v>SI</v>
          </cell>
          <cell r="E4898" t="str">
            <v>WESTERN HORSEMAN</v>
          </cell>
          <cell r="F4898" t="str">
            <v>REVISTA</v>
          </cell>
          <cell r="G4898">
            <v>1070</v>
          </cell>
          <cell r="H4898" t="str">
            <v>DIST. LEWIS</v>
          </cell>
          <cell r="I4898">
            <v>4.4000000000000004</v>
          </cell>
        </row>
        <row r="4899">
          <cell r="A4899" t="str">
            <v>19-04898</v>
          </cell>
          <cell r="B4899" t="str">
            <v>H. MANCHA</v>
          </cell>
          <cell r="C4899" t="str">
            <v>A</v>
          </cell>
          <cell r="D4899" t="str">
            <v>NO</v>
          </cell>
          <cell r="E4899" t="str">
            <v>365 DIAS PARA SER MAS CU</v>
          </cell>
          <cell r="F4899" t="str">
            <v>LIBRO</v>
          </cell>
          <cell r="H4899" t="str">
            <v>H. MANCHA</v>
          </cell>
          <cell r="I4899">
            <v>17.242999999999999</v>
          </cell>
        </row>
        <row r="4900">
          <cell r="A4900" t="str">
            <v>19-04899</v>
          </cell>
          <cell r="B4900" t="str">
            <v>H. MANCHA</v>
          </cell>
          <cell r="C4900" t="str">
            <v>A</v>
          </cell>
          <cell r="D4900" t="str">
            <v>NO</v>
          </cell>
          <cell r="E4900" t="str">
            <v>ADIVINA QUIEN SOY</v>
          </cell>
          <cell r="F4900" t="str">
            <v>LIBRO</v>
          </cell>
          <cell r="H4900" t="str">
            <v>H. MANCHA</v>
          </cell>
          <cell r="I4900">
            <v>15.804</v>
          </cell>
        </row>
        <row r="4901">
          <cell r="A4901" t="str">
            <v>19-04900</v>
          </cell>
          <cell r="B4901" t="str">
            <v>H. MANCHA</v>
          </cell>
          <cell r="C4901" t="str">
            <v>A</v>
          </cell>
          <cell r="D4901" t="str">
            <v>NO</v>
          </cell>
          <cell r="E4901" t="str">
            <v>AL OTRO LADO DEL MIEDO</v>
          </cell>
          <cell r="F4901" t="str">
            <v>LIBRO</v>
          </cell>
          <cell r="H4901" t="str">
            <v>H. MANCHA</v>
          </cell>
          <cell r="I4901">
            <v>11.484</v>
          </cell>
        </row>
        <row r="4902">
          <cell r="A4902" t="str">
            <v>19-04901</v>
          </cell>
          <cell r="B4902" t="str">
            <v>H. MANCHA</v>
          </cell>
          <cell r="C4902" t="str">
            <v>A</v>
          </cell>
          <cell r="D4902" t="str">
            <v>NO</v>
          </cell>
          <cell r="E4902" t="str">
            <v>AMOR EN LOS TIEMPOS DEL</v>
          </cell>
          <cell r="F4902" t="str">
            <v>LIBRO</v>
          </cell>
          <cell r="H4902" t="str">
            <v>H. MANCHA</v>
          </cell>
          <cell r="I4902">
            <v>7.8840000000000003</v>
          </cell>
        </row>
        <row r="4903">
          <cell r="A4903" t="str">
            <v>19-04902</v>
          </cell>
          <cell r="B4903" t="str">
            <v>H. MANCHA</v>
          </cell>
          <cell r="C4903" t="str">
            <v>A</v>
          </cell>
          <cell r="D4903" t="str">
            <v>NO</v>
          </cell>
          <cell r="E4903" t="str">
            <v>ANIMALES FANTASTICOS</v>
          </cell>
          <cell r="F4903" t="str">
            <v>LIBRO</v>
          </cell>
          <cell r="H4903" t="str">
            <v>H. MANCHA</v>
          </cell>
          <cell r="I4903">
            <v>11.484</v>
          </cell>
        </row>
        <row r="4904">
          <cell r="A4904" t="str">
            <v>19-04903</v>
          </cell>
          <cell r="B4904" t="str">
            <v>H. MANCHA</v>
          </cell>
          <cell r="C4904" t="str">
            <v>A</v>
          </cell>
          <cell r="D4904" t="str">
            <v>NO</v>
          </cell>
          <cell r="E4904" t="str">
            <v>ANIMALES FANTASTICOS GUI</v>
          </cell>
          <cell r="F4904" t="str">
            <v>LIBRO</v>
          </cell>
          <cell r="H4904" t="str">
            <v>H. MANCHA</v>
          </cell>
          <cell r="I4904">
            <v>15.084</v>
          </cell>
        </row>
        <row r="4905">
          <cell r="A4905" t="str">
            <v>19-04904</v>
          </cell>
          <cell r="B4905" t="str">
            <v>H. MANCHA</v>
          </cell>
          <cell r="C4905" t="str">
            <v>A</v>
          </cell>
          <cell r="D4905" t="str">
            <v>NO</v>
          </cell>
          <cell r="E4905" t="str">
            <v>ARTE TERAPIA BOSQUE ENCA</v>
          </cell>
          <cell r="F4905" t="str">
            <v>LIBRO</v>
          </cell>
          <cell r="H4905" t="str">
            <v>H. MANCHA</v>
          </cell>
          <cell r="I4905">
            <v>5.0039999999999996</v>
          </cell>
        </row>
        <row r="4906">
          <cell r="A4906" t="str">
            <v>19-04905</v>
          </cell>
          <cell r="B4906" t="str">
            <v>H. MANCHA</v>
          </cell>
          <cell r="C4906" t="str">
            <v>A</v>
          </cell>
          <cell r="D4906" t="str">
            <v>NO</v>
          </cell>
          <cell r="E4906" t="str">
            <v>ARTE TERAPIA MARAVILLOSO</v>
          </cell>
          <cell r="F4906" t="str">
            <v>LIBRO</v>
          </cell>
          <cell r="H4906" t="str">
            <v>H. MANCHA</v>
          </cell>
          <cell r="I4906">
            <v>5.0039999999999996</v>
          </cell>
        </row>
        <row r="4907">
          <cell r="A4907" t="str">
            <v>19-04906</v>
          </cell>
          <cell r="B4907" t="str">
            <v>H. MANCHA</v>
          </cell>
          <cell r="C4907" t="str">
            <v>A</v>
          </cell>
          <cell r="D4907" t="str">
            <v>NO</v>
          </cell>
          <cell r="E4907" t="str">
            <v>BAJO LA LUZ DE LAS ESTRELLAS</v>
          </cell>
          <cell r="F4907" t="str">
            <v>LIBRO</v>
          </cell>
          <cell r="H4907" t="str">
            <v>H. MANCHA</v>
          </cell>
          <cell r="I4907">
            <v>5.7240000000000002</v>
          </cell>
        </row>
        <row r="4908">
          <cell r="A4908" t="str">
            <v>19-04907</v>
          </cell>
          <cell r="B4908" t="str">
            <v>H. MANCHA</v>
          </cell>
          <cell r="C4908" t="str">
            <v>A</v>
          </cell>
          <cell r="D4908" t="str">
            <v>NO</v>
          </cell>
          <cell r="E4908" t="str">
            <v>BAJO LA MISMA ESTRELLA</v>
          </cell>
          <cell r="F4908" t="str">
            <v>LIBRO</v>
          </cell>
          <cell r="H4908" t="str">
            <v>H. MANCHA</v>
          </cell>
          <cell r="I4908">
            <v>7.8840000000000003</v>
          </cell>
        </row>
        <row r="4909">
          <cell r="A4909" t="str">
            <v>19-04908</v>
          </cell>
          <cell r="B4909" t="str">
            <v>H. MANCHA</v>
          </cell>
          <cell r="C4909" t="str">
            <v>A</v>
          </cell>
          <cell r="D4909" t="str">
            <v>NO</v>
          </cell>
          <cell r="E4909" t="str">
            <v>BELLEZA ATORMENTADA</v>
          </cell>
          <cell r="F4909" t="str">
            <v>LIBRO</v>
          </cell>
          <cell r="H4909" t="str">
            <v>H. MANCHA</v>
          </cell>
          <cell r="I4909">
            <v>17.963999999999999</v>
          </cell>
        </row>
        <row r="4910">
          <cell r="A4910" t="str">
            <v>19-04909</v>
          </cell>
          <cell r="B4910" t="str">
            <v>H. MANCHA</v>
          </cell>
          <cell r="C4910" t="str">
            <v>A</v>
          </cell>
          <cell r="D4910" t="str">
            <v>NO</v>
          </cell>
          <cell r="E4910" t="str">
            <v>BELLOS CUENTOS DE ANDERS</v>
          </cell>
          <cell r="F4910" t="str">
            <v>LIBRO</v>
          </cell>
          <cell r="H4910" t="str">
            <v>H. MANCHA</v>
          </cell>
          <cell r="I4910">
            <v>9.3239999999999998</v>
          </cell>
        </row>
        <row r="4911">
          <cell r="A4911" t="str">
            <v>19-04910</v>
          </cell>
          <cell r="B4911" t="str">
            <v>H. MANCHA</v>
          </cell>
          <cell r="C4911" t="str">
            <v>A</v>
          </cell>
          <cell r="D4911" t="str">
            <v>NO</v>
          </cell>
          <cell r="E4911" t="str">
            <v>BELLOS CUENTOSS DE GRIMM</v>
          </cell>
          <cell r="F4911" t="str">
            <v>LIBRO</v>
          </cell>
          <cell r="H4911" t="str">
            <v>H. MANCHA</v>
          </cell>
          <cell r="I4911">
            <v>9.3239999999999998</v>
          </cell>
        </row>
        <row r="4912">
          <cell r="A4912" t="str">
            <v>19-04911</v>
          </cell>
          <cell r="B4912" t="str">
            <v>H. MANCHA</v>
          </cell>
          <cell r="C4912" t="str">
            <v>A</v>
          </cell>
          <cell r="D4912" t="str">
            <v>NO</v>
          </cell>
          <cell r="E4912" t="str">
            <v>BG5 1 H DE HARRY</v>
          </cell>
          <cell r="F4912" t="str">
            <v>LIBRO</v>
          </cell>
          <cell r="H4912" t="str">
            <v>H. MANCHA</v>
          </cell>
          <cell r="I4912">
            <v>19.404</v>
          </cell>
        </row>
        <row r="4913">
          <cell r="A4913" t="str">
            <v>19-04912</v>
          </cell>
          <cell r="B4913" t="str">
            <v>H. MANCHA</v>
          </cell>
          <cell r="C4913" t="str">
            <v>A</v>
          </cell>
          <cell r="D4913" t="str">
            <v>SI</v>
          </cell>
          <cell r="E4913" t="str">
            <v>BOSQUE. EL</v>
          </cell>
          <cell r="F4913" t="str">
            <v>LIBRO</v>
          </cell>
          <cell r="G4913">
            <v>978958876323</v>
          </cell>
          <cell r="H4913" t="str">
            <v>H. MANCHA</v>
          </cell>
          <cell r="I4913">
            <v>18.684999999999999</v>
          </cell>
        </row>
        <row r="4914">
          <cell r="A4914" t="str">
            <v>19-04913</v>
          </cell>
          <cell r="B4914" t="str">
            <v>H. MANCHA</v>
          </cell>
          <cell r="C4914" t="str">
            <v>A</v>
          </cell>
          <cell r="D4914" t="str">
            <v>NO</v>
          </cell>
          <cell r="E4914" t="str">
            <v>CABRONA BORDE D UN ATAQUE</v>
          </cell>
          <cell r="F4914" t="str">
            <v>LIBRO</v>
          </cell>
          <cell r="H4914" t="str">
            <v>H. MANCHA</v>
          </cell>
          <cell r="I4914">
            <v>5.7240000000000002</v>
          </cell>
        </row>
        <row r="4915">
          <cell r="A4915" t="str">
            <v>19-04914</v>
          </cell>
          <cell r="B4915" t="str">
            <v>H. MANCHA</v>
          </cell>
          <cell r="C4915" t="str">
            <v>A</v>
          </cell>
          <cell r="D4915" t="str">
            <v>NO</v>
          </cell>
          <cell r="E4915" t="str">
            <v>CABRONA Y MILLONARIA</v>
          </cell>
          <cell r="F4915" t="str">
            <v>LIBRO</v>
          </cell>
          <cell r="H4915" t="str">
            <v>H. MANCHA</v>
          </cell>
          <cell r="I4915">
            <v>5.0039999999999996</v>
          </cell>
        </row>
        <row r="4916">
          <cell r="A4916" t="str">
            <v>19-04915</v>
          </cell>
          <cell r="B4916" t="str">
            <v>H. MANCHA</v>
          </cell>
          <cell r="C4916" t="str">
            <v>A</v>
          </cell>
          <cell r="D4916" t="str">
            <v>NO</v>
          </cell>
          <cell r="E4916" t="str">
            <v>CAMBIA DE HABITOS</v>
          </cell>
          <cell r="F4916" t="str">
            <v>LIBRO</v>
          </cell>
          <cell r="H4916" t="str">
            <v>H. MANCHA</v>
          </cell>
          <cell r="I4916">
            <v>11.484</v>
          </cell>
        </row>
        <row r="4917">
          <cell r="A4917" t="str">
            <v>19-04916</v>
          </cell>
          <cell r="B4917" t="str">
            <v>H. MANCHA</v>
          </cell>
          <cell r="C4917" t="str">
            <v>A</v>
          </cell>
          <cell r="D4917" t="str">
            <v>NO</v>
          </cell>
          <cell r="E4917" t="str">
            <v>CAZAD D SOMBRAS 1 ANGEL</v>
          </cell>
          <cell r="F4917" t="str">
            <v>LIBRO</v>
          </cell>
          <cell r="H4917" t="str">
            <v>H. MANCHA</v>
          </cell>
          <cell r="I4917">
            <v>16.524000000000001</v>
          </cell>
        </row>
        <row r="4918">
          <cell r="A4918" t="str">
            <v>19-04917</v>
          </cell>
          <cell r="B4918" t="str">
            <v>H. MANCHA</v>
          </cell>
          <cell r="C4918" t="str">
            <v>A</v>
          </cell>
          <cell r="D4918" t="str">
            <v>NO</v>
          </cell>
          <cell r="E4918" t="str">
            <v>CAZAD D SOMBRAS 2 CIUDAD</v>
          </cell>
          <cell r="F4918" t="str">
            <v>LIBRO</v>
          </cell>
          <cell r="H4918" t="str">
            <v>H. MANCHA</v>
          </cell>
          <cell r="I4918">
            <v>16.524000000000001</v>
          </cell>
        </row>
        <row r="4919">
          <cell r="A4919" t="str">
            <v>19-04918</v>
          </cell>
          <cell r="B4919" t="str">
            <v>H. MANCHA</v>
          </cell>
          <cell r="C4919" t="str">
            <v>A</v>
          </cell>
          <cell r="D4919" t="str">
            <v>NO</v>
          </cell>
          <cell r="E4919" t="str">
            <v>CAZAD D SOMBRAS 3 CIUDAD</v>
          </cell>
          <cell r="F4919" t="str">
            <v>LIBRO</v>
          </cell>
          <cell r="H4919" t="str">
            <v>H. MANCHA</v>
          </cell>
          <cell r="I4919">
            <v>16.524000000000001</v>
          </cell>
        </row>
        <row r="4920">
          <cell r="A4920" t="str">
            <v>19-04919</v>
          </cell>
          <cell r="B4920" t="str">
            <v>H. MANCHA</v>
          </cell>
          <cell r="C4920" t="str">
            <v>A</v>
          </cell>
          <cell r="D4920" t="str">
            <v>NO</v>
          </cell>
          <cell r="E4920" t="str">
            <v>CAZAD D SOMBRAS 3 PRINCE</v>
          </cell>
          <cell r="F4920" t="str">
            <v>LIBRO</v>
          </cell>
          <cell r="H4920" t="str">
            <v>H. MANCHA</v>
          </cell>
          <cell r="I4920">
            <v>19.404</v>
          </cell>
        </row>
        <row r="4921">
          <cell r="A4921" t="str">
            <v>19-04920</v>
          </cell>
          <cell r="B4921" t="str">
            <v>H. MANCHA</v>
          </cell>
          <cell r="C4921" t="str">
            <v>A</v>
          </cell>
          <cell r="D4921" t="str">
            <v>NO</v>
          </cell>
          <cell r="E4921" t="str">
            <v>CAZAD D SOMBRAS 4 CIUDAD</v>
          </cell>
          <cell r="F4921" t="str">
            <v>LIBRO</v>
          </cell>
          <cell r="H4921" t="str">
            <v>H. MANCHA</v>
          </cell>
          <cell r="I4921">
            <v>16.524000000000001</v>
          </cell>
        </row>
        <row r="4922">
          <cell r="A4922" t="str">
            <v>19-04921</v>
          </cell>
          <cell r="B4922" t="str">
            <v>H. MANCHA</v>
          </cell>
          <cell r="C4922" t="str">
            <v>A</v>
          </cell>
          <cell r="D4922" t="str">
            <v>NO</v>
          </cell>
          <cell r="E4922" t="str">
            <v>CAZAD D SOMBRAS CRONICAS</v>
          </cell>
          <cell r="F4922" t="str">
            <v>LIBRO</v>
          </cell>
          <cell r="H4922" t="str">
            <v>H. MANCHA</v>
          </cell>
          <cell r="I4922">
            <v>15.804</v>
          </cell>
        </row>
        <row r="4923">
          <cell r="A4923" t="str">
            <v>19-04922</v>
          </cell>
          <cell r="B4923" t="str">
            <v>H. MANCHA</v>
          </cell>
          <cell r="C4923" t="str">
            <v>A</v>
          </cell>
          <cell r="D4923" t="str">
            <v>NO</v>
          </cell>
          <cell r="E4923" t="str">
            <v>CHUPA EL PERRO</v>
          </cell>
          <cell r="F4923" t="str">
            <v>LIBRO</v>
          </cell>
          <cell r="H4923" t="str">
            <v>H. MANCHA</v>
          </cell>
          <cell r="I4923">
            <v>10.044</v>
          </cell>
        </row>
        <row r="4924">
          <cell r="A4924" t="str">
            <v>19-04923</v>
          </cell>
          <cell r="B4924" t="str">
            <v>H. MANCHA</v>
          </cell>
          <cell r="C4924" t="str">
            <v>A</v>
          </cell>
          <cell r="D4924" t="str">
            <v>NO</v>
          </cell>
          <cell r="E4924" t="str">
            <v>CLUB DE LOS TENIS 1 ROJO</v>
          </cell>
          <cell r="F4924" t="str">
            <v>LIBRO</v>
          </cell>
          <cell r="H4924" t="str">
            <v>H. MANCHA</v>
          </cell>
          <cell r="I4924">
            <v>10.044</v>
          </cell>
        </row>
        <row r="4925">
          <cell r="A4925" t="str">
            <v>19-04924</v>
          </cell>
          <cell r="B4925" t="str">
            <v>H. MANCHA</v>
          </cell>
          <cell r="C4925" t="str">
            <v>A</v>
          </cell>
          <cell r="D4925" t="str">
            <v>NO</v>
          </cell>
          <cell r="E4925" t="str">
            <v>CLUB DE LOS TENIS 2 ROJO</v>
          </cell>
          <cell r="F4925" t="str">
            <v>LIBRO</v>
          </cell>
          <cell r="H4925" t="str">
            <v>H. MANCHA</v>
          </cell>
          <cell r="I4925">
            <v>10.044</v>
          </cell>
        </row>
        <row r="4926">
          <cell r="A4926" t="str">
            <v>19-04925</v>
          </cell>
          <cell r="B4926" t="str">
            <v>H. MANCHA</v>
          </cell>
          <cell r="C4926" t="str">
            <v>A</v>
          </cell>
          <cell r="D4926" t="str">
            <v>NO</v>
          </cell>
          <cell r="E4926" t="str">
            <v>CLUB DE LOS TENIS 3 ROJO</v>
          </cell>
          <cell r="F4926" t="str">
            <v>LIBRO</v>
          </cell>
          <cell r="H4926" t="str">
            <v>H. MANCHA</v>
          </cell>
          <cell r="I4926">
            <v>10.044</v>
          </cell>
        </row>
        <row r="4927">
          <cell r="A4927" t="str">
            <v>19-04926</v>
          </cell>
          <cell r="B4927" t="str">
            <v>H. MANCHA</v>
          </cell>
          <cell r="C4927" t="str">
            <v>A</v>
          </cell>
          <cell r="D4927" t="str">
            <v>NO</v>
          </cell>
          <cell r="E4927" t="str">
            <v>CLUB DE TEA 1 ESCENAS DE</v>
          </cell>
          <cell r="F4927" t="str">
            <v>LIBRO</v>
          </cell>
          <cell r="H4927" t="str">
            <v>H. MANCHA</v>
          </cell>
          <cell r="I4927">
            <v>6.444</v>
          </cell>
        </row>
        <row r="4928">
          <cell r="A4928" t="str">
            <v>19-04927</v>
          </cell>
          <cell r="B4928" t="str">
            <v>H. MANCHA</v>
          </cell>
          <cell r="C4928" t="str">
            <v>A</v>
          </cell>
          <cell r="D4928" t="str">
            <v>NO</v>
          </cell>
          <cell r="E4928" t="str">
            <v>COCINA VEGETARIANA</v>
          </cell>
          <cell r="F4928" t="str">
            <v>LIBRO</v>
          </cell>
          <cell r="H4928" t="str">
            <v>H. MANCHA</v>
          </cell>
          <cell r="I4928">
            <v>8.6039999999999992</v>
          </cell>
        </row>
        <row r="4929">
          <cell r="A4929" t="str">
            <v>19-04928</v>
          </cell>
          <cell r="B4929" t="str">
            <v>H. MANCHA</v>
          </cell>
          <cell r="C4929" t="str">
            <v>A</v>
          </cell>
          <cell r="D4929" t="str">
            <v>NO</v>
          </cell>
          <cell r="E4929" t="str">
            <v>CONSPIRACION LA</v>
          </cell>
          <cell r="F4929" t="str">
            <v>LIBRO</v>
          </cell>
          <cell r="H4929" t="str">
            <v>H. MANCHA</v>
          </cell>
          <cell r="I4929">
            <v>11.484</v>
          </cell>
        </row>
        <row r="4930">
          <cell r="A4930" t="str">
            <v>19-04929</v>
          </cell>
          <cell r="B4930" t="str">
            <v>H. MANCHA</v>
          </cell>
          <cell r="C4930" t="str">
            <v>A</v>
          </cell>
          <cell r="D4930" t="str">
            <v>NO</v>
          </cell>
          <cell r="E4930" t="str">
            <v>CORAZONADAS</v>
          </cell>
          <cell r="F4930" t="str">
            <v>LIBRO</v>
          </cell>
          <cell r="H4930" t="str">
            <v>H. MANCHA</v>
          </cell>
          <cell r="I4930">
            <v>6.444</v>
          </cell>
        </row>
        <row r="4931">
          <cell r="A4931" t="str">
            <v>19-04930</v>
          </cell>
          <cell r="B4931" t="str">
            <v>H. MANCHA</v>
          </cell>
          <cell r="C4931" t="str">
            <v>A</v>
          </cell>
          <cell r="D4931" t="str">
            <v>NO</v>
          </cell>
          <cell r="E4931" t="str">
            <v>CORONA CRUEL</v>
          </cell>
          <cell r="F4931" t="str">
            <v>LIBRO</v>
          </cell>
          <cell r="H4931" t="str">
            <v>H. MANCHA</v>
          </cell>
          <cell r="I4931">
            <v>11.484</v>
          </cell>
        </row>
        <row r="4932">
          <cell r="A4932" t="str">
            <v>19-04931</v>
          </cell>
          <cell r="B4932" t="str">
            <v>H. MANCHA</v>
          </cell>
          <cell r="C4932" t="str">
            <v>A</v>
          </cell>
          <cell r="D4932" t="str">
            <v>NO</v>
          </cell>
          <cell r="E4932" t="str">
            <v>CUENTAME UN CUENTO PARA</v>
          </cell>
          <cell r="F4932" t="str">
            <v>LIBRO</v>
          </cell>
          <cell r="H4932" t="str">
            <v>H. MANCHA</v>
          </cell>
          <cell r="I4932">
            <v>8.6039999999999992</v>
          </cell>
        </row>
        <row r="4933">
          <cell r="A4933" t="str">
            <v>19-04932</v>
          </cell>
          <cell r="B4933" t="str">
            <v>H. MANCHA</v>
          </cell>
          <cell r="C4933" t="str">
            <v>A</v>
          </cell>
          <cell r="D4933" t="str">
            <v>NO</v>
          </cell>
          <cell r="E4933" t="str">
            <v>DEL AMOR Y OTROS DEMONIOS</v>
          </cell>
          <cell r="F4933" t="str">
            <v>LIBRO</v>
          </cell>
          <cell r="H4933" t="str">
            <v>H. MANCHA</v>
          </cell>
          <cell r="I4933">
            <v>7.1639999999999997</v>
          </cell>
        </row>
        <row r="4934">
          <cell r="A4934" t="str">
            <v>19-04933</v>
          </cell>
          <cell r="B4934" t="str">
            <v>H. MANCHA</v>
          </cell>
          <cell r="C4934" t="str">
            <v>A</v>
          </cell>
          <cell r="D4934" t="str">
            <v>NO</v>
          </cell>
          <cell r="E4934" t="str">
            <v>DELICIAS DE CHOCOLATE</v>
          </cell>
          <cell r="F4934" t="str">
            <v>LIBRO</v>
          </cell>
          <cell r="H4934" t="str">
            <v>H. MANCHA</v>
          </cell>
          <cell r="I4934">
            <v>8.6039999999999992</v>
          </cell>
        </row>
        <row r="4935">
          <cell r="A4935" t="str">
            <v>19-04934</v>
          </cell>
          <cell r="B4935" t="str">
            <v>H. MANCHA</v>
          </cell>
          <cell r="C4935" t="str">
            <v>A</v>
          </cell>
          <cell r="D4935" t="str">
            <v>NO</v>
          </cell>
          <cell r="E4935" t="str">
            <v>DELIRIO</v>
          </cell>
          <cell r="F4935" t="str">
            <v>LIBRO</v>
          </cell>
          <cell r="H4935" t="str">
            <v>H. MANCHA</v>
          </cell>
          <cell r="I4935">
            <v>10.044</v>
          </cell>
        </row>
        <row r="4936">
          <cell r="A4936" t="str">
            <v>19-04935</v>
          </cell>
          <cell r="B4936" t="str">
            <v>H. MANCHA</v>
          </cell>
          <cell r="C4936" t="str">
            <v>A</v>
          </cell>
          <cell r="D4936" t="str">
            <v>NO</v>
          </cell>
          <cell r="E4936" t="str">
            <v>DESPIERTA CON CALA</v>
          </cell>
          <cell r="F4936" t="str">
            <v>LIBRO</v>
          </cell>
          <cell r="H4936" t="str">
            <v>H. MANCHA</v>
          </cell>
          <cell r="I4936">
            <v>13.644</v>
          </cell>
        </row>
        <row r="4937">
          <cell r="A4937" t="str">
            <v>19-04936</v>
          </cell>
          <cell r="B4937" t="str">
            <v>H. MANCHA</v>
          </cell>
          <cell r="C4937" t="str">
            <v>A</v>
          </cell>
          <cell r="D4937" t="str">
            <v>NO</v>
          </cell>
          <cell r="E4937" t="str">
            <v>DESPUES DE TI</v>
          </cell>
          <cell r="F4937" t="str">
            <v>LIBRO</v>
          </cell>
          <cell r="H4937" t="str">
            <v>H. MANCHA</v>
          </cell>
          <cell r="I4937">
            <v>17.244</v>
          </cell>
        </row>
        <row r="4938">
          <cell r="A4938" t="str">
            <v>19-04937</v>
          </cell>
          <cell r="B4938" t="str">
            <v>H. MANCHA</v>
          </cell>
          <cell r="C4938" t="str">
            <v>A</v>
          </cell>
          <cell r="D4938" t="str">
            <v>NO</v>
          </cell>
          <cell r="E4938" t="str">
            <v>DETOX</v>
          </cell>
          <cell r="F4938" t="str">
            <v>LIBRO</v>
          </cell>
          <cell r="H4938" t="str">
            <v>H. MANCHA</v>
          </cell>
          <cell r="I4938">
            <v>7.1639999999999997</v>
          </cell>
        </row>
        <row r="4939">
          <cell r="A4939" t="str">
            <v>19-04938</v>
          </cell>
          <cell r="B4939" t="str">
            <v>H. MANCHA</v>
          </cell>
          <cell r="C4939" t="str">
            <v>A</v>
          </cell>
          <cell r="D4939" t="str">
            <v>NO</v>
          </cell>
          <cell r="E4939" t="str">
            <v>DIARIO GREG 1 UN RENACUA</v>
          </cell>
          <cell r="F4939" t="str">
            <v>LIBRO</v>
          </cell>
          <cell r="H4939" t="str">
            <v>H. MANCHA</v>
          </cell>
          <cell r="I4939">
            <v>11.483000000000001</v>
          </cell>
        </row>
        <row r="4940">
          <cell r="A4940" t="str">
            <v>19-04939</v>
          </cell>
          <cell r="B4940" t="str">
            <v>H. MANCHA</v>
          </cell>
          <cell r="C4940" t="str">
            <v>A</v>
          </cell>
          <cell r="D4940" t="str">
            <v>NO</v>
          </cell>
          <cell r="E4940" t="str">
            <v>DIARIO GREG 4 DIAS DE PE</v>
          </cell>
          <cell r="F4940" t="str">
            <v>LIBRO</v>
          </cell>
          <cell r="H4940" t="str">
            <v>H. MANCHA</v>
          </cell>
          <cell r="I4940">
            <v>11.483000000000001</v>
          </cell>
        </row>
        <row r="4941">
          <cell r="A4941" t="str">
            <v>19-04940</v>
          </cell>
          <cell r="B4941" t="str">
            <v>H. MANCHA</v>
          </cell>
          <cell r="C4941" t="str">
            <v>A</v>
          </cell>
          <cell r="D4941" t="str">
            <v>NO</v>
          </cell>
          <cell r="E4941" t="str">
            <v>DIARIO GREG 5 LA HORRIBL</v>
          </cell>
          <cell r="F4941" t="str">
            <v>LIBRO</v>
          </cell>
          <cell r="H4941" t="str">
            <v>H. MANCHA</v>
          </cell>
          <cell r="I4941">
            <v>11.483000000000001</v>
          </cell>
        </row>
        <row r="4942">
          <cell r="A4942" t="str">
            <v>19-04941</v>
          </cell>
          <cell r="B4942" t="str">
            <v>H. MANCHA</v>
          </cell>
          <cell r="C4942" t="str">
            <v>A</v>
          </cell>
          <cell r="D4942" t="str">
            <v>NO</v>
          </cell>
          <cell r="E4942" t="str">
            <v>DINOSAURIOS ASOMBROSOS</v>
          </cell>
          <cell r="F4942" t="str">
            <v>LIBRO</v>
          </cell>
          <cell r="H4942" t="str">
            <v>H. MANCHA</v>
          </cell>
          <cell r="I4942">
            <v>7.8840000000000003</v>
          </cell>
        </row>
        <row r="4943">
          <cell r="A4943" t="str">
            <v>19-04942</v>
          </cell>
          <cell r="B4943" t="str">
            <v>H. MANCHA</v>
          </cell>
          <cell r="C4943" t="str">
            <v>A</v>
          </cell>
          <cell r="D4943" t="str">
            <v>NO</v>
          </cell>
          <cell r="E4943" t="str">
            <v>DOODLES Y PASATIEMPOS</v>
          </cell>
          <cell r="F4943" t="str">
            <v>LIBRO</v>
          </cell>
          <cell r="H4943" t="str">
            <v>H. MANCHA</v>
          </cell>
          <cell r="I4943">
            <v>3.5640000000000001</v>
          </cell>
        </row>
        <row r="4944">
          <cell r="A4944" t="str">
            <v>19-04943</v>
          </cell>
          <cell r="B4944" t="str">
            <v>H. MANCHA</v>
          </cell>
          <cell r="C4944" t="str">
            <v>A</v>
          </cell>
          <cell r="D4944" t="str">
            <v>NO</v>
          </cell>
          <cell r="E4944" t="str">
            <v>DULCES PARA EL CAFE</v>
          </cell>
          <cell r="F4944" t="str">
            <v>LIBRO</v>
          </cell>
          <cell r="H4944" t="str">
            <v>H. MANCHA</v>
          </cell>
          <cell r="I4944">
            <v>7.1639999999999997</v>
          </cell>
        </row>
        <row r="4945">
          <cell r="A4945" t="str">
            <v>19-04944</v>
          </cell>
          <cell r="B4945" t="str">
            <v>H. MANCHA</v>
          </cell>
          <cell r="C4945" t="str">
            <v>A</v>
          </cell>
          <cell r="D4945" t="str">
            <v>NO</v>
          </cell>
          <cell r="E4945" t="str">
            <v>ENLAZADOS</v>
          </cell>
          <cell r="F4945" t="str">
            <v>LIBRO</v>
          </cell>
          <cell r="H4945" t="str">
            <v>H. MANCHA</v>
          </cell>
          <cell r="I4945">
            <v>15.083</v>
          </cell>
        </row>
        <row r="4946">
          <cell r="A4946" t="str">
            <v>19-04945</v>
          </cell>
          <cell r="B4946" t="str">
            <v>H. MANCHA</v>
          </cell>
          <cell r="C4946" t="str">
            <v>A</v>
          </cell>
          <cell r="D4946" t="str">
            <v>NO</v>
          </cell>
          <cell r="E4946" t="str">
            <v>ENSALADAS PARA FIESTAS</v>
          </cell>
          <cell r="F4946" t="str">
            <v>LIBRO</v>
          </cell>
          <cell r="H4946" t="str">
            <v>H. MANCHA</v>
          </cell>
          <cell r="I4946">
            <v>3.5640000000000001</v>
          </cell>
        </row>
        <row r="4947">
          <cell r="A4947" t="str">
            <v>19-04946</v>
          </cell>
          <cell r="B4947" t="str">
            <v>H. MANCHA</v>
          </cell>
          <cell r="C4947" t="str">
            <v>A</v>
          </cell>
          <cell r="D4947" t="str">
            <v>NO</v>
          </cell>
          <cell r="E4947" t="str">
            <v>ENTRE EL HONOR Y LA ESP</v>
          </cell>
          <cell r="F4947" t="str">
            <v>LIBRO</v>
          </cell>
          <cell r="H4947" t="str">
            <v>H. MANCHA</v>
          </cell>
          <cell r="I4947">
            <v>12.923999999999999</v>
          </cell>
        </row>
        <row r="4948">
          <cell r="A4948" t="str">
            <v>19-04947</v>
          </cell>
          <cell r="B4948" t="str">
            <v>H. MANCHA</v>
          </cell>
          <cell r="C4948" t="str">
            <v>A</v>
          </cell>
          <cell r="D4948" t="str">
            <v>NO</v>
          </cell>
          <cell r="E4948" t="str">
            <v>ESE INSTANTE DE FELICIDAD</v>
          </cell>
          <cell r="F4948" t="str">
            <v>LIBRO</v>
          </cell>
          <cell r="H4948" t="str">
            <v>H. MANCHA</v>
          </cell>
          <cell r="I4948">
            <v>8.6029999999999998</v>
          </cell>
        </row>
        <row r="4949">
          <cell r="A4949" t="str">
            <v>19-04948</v>
          </cell>
          <cell r="B4949" t="str">
            <v>H. MANCHA</v>
          </cell>
          <cell r="C4949" t="str">
            <v>A</v>
          </cell>
          <cell r="D4949" t="str">
            <v>NO</v>
          </cell>
          <cell r="E4949" t="str">
            <v>EXODO 1</v>
          </cell>
          <cell r="F4949" t="str">
            <v>LIBRO</v>
          </cell>
          <cell r="H4949" t="str">
            <v>H. MANCHA</v>
          </cell>
          <cell r="I4949">
            <v>15.804</v>
          </cell>
        </row>
        <row r="4950">
          <cell r="A4950" t="str">
            <v>19-04949</v>
          </cell>
          <cell r="B4950" t="str">
            <v>H. MANCHA</v>
          </cell>
          <cell r="C4950" t="str">
            <v>A</v>
          </cell>
          <cell r="D4950" t="str">
            <v>NO</v>
          </cell>
          <cell r="E4950" t="str">
            <v>EXODO 2 REVELACION</v>
          </cell>
          <cell r="F4950" t="str">
            <v>LIBRO</v>
          </cell>
          <cell r="H4950" t="str">
            <v>H. MANCHA</v>
          </cell>
          <cell r="I4950">
            <v>15.804</v>
          </cell>
        </row>
        <row r="4951">
          <cell r="A4951" t="str">
            <v>19-04950</v>
          </cell>
          <cell r="B4951" t="str">
            <v>H. MANCHA</v>
          </cell>
          <cell r="C4951" t="str">
            <v>A</v>
          </cell>
          <cell r="D4951" t="str">
            <v>NO</v>
          </cell>
          <cell r="E4951" t="str">
            <v>FANTASIA DOODLES PARA P</v>
          </cell>
          <cell r="F4951" t="str">
            <v>LIBRO</v>
          </cell>
          <cell r="H4951" t="str">
            <v>H. MANCHA</v>
          </cell>
          <cell r="I4951">
            <v>3.5640000000000001</v>
          </cell>
        </row>
        <row r="4952">
          <cell r="A4952" t="str">
            <v>19-04951</v>
          </cell>
          <cell r="B4952" t="str">
            <v>H. MANCHA</v>
          </cell>
          <cell r="C4952" t="str">
            <v>A</v>
          </cell>
          <cell r="D4952" t="str">
            <v>NO</v>
          </cell>
          <cell r="E4952" t="str">
            <v>FLOWER. UN AMOR INTENSO</v>
          </cell>
          <cell r="F4952" t="str">
            <v>LIBRO</v>
          </cell>
          <cell r="H4952" t="str">
            <v>H. MANCHA</v>
          </cell>
          <cell r="I4952">
            <v>10.763999999999999</v>
          </cell>
        </row>
        <row r="4953">
          <cell r="A4953" t="str">
            <v>19-04952</v>
          </cell>
          <cell r="B4953" t="str">
            <v>H. MANCHA</v>
          </cell>
          <cell r="C4953" t="str">
            <v>A</v>
          </cell>
          <cell r="D4953" t="str">
            <v>NO</v>
          </cell>
          <cell r="E4953" t="str">
            <v>FUNERALES DE LA MAMA GRA</v>
          </cell>
          <cell r="F4953" t="str">
            <v>LIBRO</v>
          </cell>
          <cell r="H4953" t="str">
            <v>H. MANCHA</v>
          </cell>
          <cell r="I4953">
            <v>6.444</v>
          </cell>
        </row>
        <row r="4954">
          <cell r="A4954" t="str">
            <v>19-04953</v>
          </cell>
          <cell r="B4954" t="str">
            <v>H. MANCHA</v>
          </cell>
          <cell r="C4954" t="str">
            <v>A</v>
          </cell>
          <cell r="D4954" t="str">
            <v>NO</v>
          </cell>
          <cell r="E4954" t="str">
            <v>GEEK GRIL 2 MODELO INADA</v>
          </cell>
          <cell r="F4954" t="str">
            <v>LIBRO</v>
          </cell>
          <cell r="H4954" t="str">
            <v>H. MANCHA</v>
          </cell>
          <cell r="I4954">
            <v>12.923999999999999</v>
          </cell>
        </row>
        <row r="4955">
          <cell r="A4955" t="str">
            <v>19-04954</v>
          </cell>
          <cell r="B4955" t="str">
            <v>H. MANCHA</v>
          </cell>
          <cell r="C4955" t="str">
            <v>A</v>
          </cell>
          <cell r="D4955" t="str">
            <v>NO</v>
          </cell>
          <cell r="E4955" t="str">
            <v>GEN. EL</v>
          </cell>
          <cell r="F4955" t="str">
            <v>LIBRO</v>
          </cell>
          <cell r="H4955" t="str">
            <v>H. MANCHA</v>
          </cell>
          <cell r="I4955">
            <v>17.245000000000001</v>
          </cell>
        </row>
        <row r="4956">
          <cell r="A4956" t="str">
            <v>19-04955</v>
          </cell>
          <cell r="B4956" t="str">
            <v>H. MANCHA</v>
          </cell>
          <cell r="C4956" t="str">
            <v>A</v>
          </cell>
          <cell r="D4956" t="str">
            <v>NO</v>
          </cell>
          <cell r="E4956" t="str">
            <v>GENERAL EN SU LABERINTO</v>
          </cell>
          <cell r="F4956" t="str">
            <v>LIBRO</v>
          </cell>
          <cell r="H4956" t="str">
            <v>H. MANCHA</v>
          </cell>
          <cell r="I4956">
            <v>7.1639999999999997</v>
          </cell>
        </row>
        <row r="4957">
          <cell r="A4957" t="str">
            <v>19-04956</v>
          </cell>
          <cell r="B4957" t="str">
            <v>H. MANCHA</v>
          </cell>
          <cell r="C4957" t="str">
            <v>A</v>
          </cell>
          <cell r="D4957" t="str">
            <v>NO</v>
          </cell>
          <cell r="E4957" t="str">
            <v>HE SIDO AMABLE</v>
          </cell>
          <cell r="F4957" t="str">
            <v>LIBRO</v>
          </cell>
          <cell r="H4957" t="str">
            <v>H. MANCHA</v>
          </cell>
          <cell r="I4957">
            <v>5.7240000000000002</v>
          </cell>
        </row>
        <row r="4958">
          <cell r="A4958" t="str">
            <v>19-04957</v>
          </cell>
          <cell r="B4958" t="str">
            <v>H. MANCHA</v>
          </cell>
          <cell r="C4958" t="str">
            <v>A</v>
          </cell>
          <cell r="D4958" t="str">
            <v>NO</v>
          </cell>
          <cell r="E4958" t="str">
            <v>HE SIDO ORDENADO</v>
          </cell>
          <cell r="F4958" t="str">
            <v>LIBRO</v>
          </cell>
          <cell r="H4958" t="str">
            <v>H. MANCHA</v>
          </cell>
          <cell r="I4958">
            <v>5.7240000000000002</v>
          </cell>
        </row>
        <row r="4959">
          <cell r="A4959" t="str">
            <v>19-04958</v>
          </cell>
          <cell r="B4959" t="str">
            <v>H. MANCHA</v>
          </cell>
          <cell r="C4959" t="str">
            <v>A</v>
          </cell>
          <cell r="D4959" t="str">
            <v>NO</v>
          </cell>
          <cell r="E4959" t="str">
            <v>HEROES DEL OLIMPO 2 HIJO</v>
          </cell>
          <cell r="F4959" t="str">
            <v>LIBRO</v>
          </cell>
          <cell r="H4959" t="str">
            <v>H. MANCHA</v>
          </cell>
          <cell r="I4959">
            <v>13.644</v>
          </cell>
        </row>
        <row r="4960">
          <cell r="A4960" t="str">
            <v>19-04959</v>
          </cell>
          <cell r="B4960" t="str">
            <v>H. MANCHA</v>
          </cell>
          <cell r="C4960" t="str">
            <v>A</v>
          </cell>
          <cell r="D4960" t="str">
            <v>NO</v>
          </cell>
          <cell r="E4960" t="str">
            <v>HEROES DEL OLIMPO 3 MARC</v>
          </cell>
          <cell r="F4960" t="str">
            <v>LIBRO</v>
          </cell>
          <cell r="H4960" t="str">
            <v>H. MANCHA</v>
          </cell>
          <cell r="I4960">
            <v>14.364000000000001</v>
          </cell>
        </row>
        <row r="4961">
          <cell r="A4961" t="str">
            <v>19-04960</v>
          </cell>
          <cell r="B4961" t="str">
            <v>H. MANCHA</v>
          </cell>
          <cell r="C4961" t="str">
            <v>A</v>
          </cell>
          <cell r="D4961" t="str">
            <v>NO</v>
          </cell>
          <cell r="E4961" t="str">
            <v>HEROES DEL OLIMPO 5 SANG</v>
          </cell>
          <cell r="F4961" t="str">
            <v>LIBRO</v>
          </cell>
          <cell r="H4961" t="str">
            <v>H. MANCHA</v>
          </cell>
          <cell r="I4961">
            <v>13.644</v>
          </cell>
        </row>
        <row r="4962">
          <cell r="A4962" t="str">
            <v>19-04961</v>
          </cell>
          <cell r="B4962" t="str">
            <v>H. MANCHA</v>
          </cell>
          <cell r="C4962" t="str">
            <v>A</v>
          </cell>
          <cell r="D4962" t="str">
            <v>NO</v>
          </cell>
          <cell r="E4962" t="str">
            <v>HOGAR DE MISS PEREGRINE</v>
          </cell>
          <cell r="F4962" t="str">
            <v>LIBRO</v>
          </cell>
          <cell r="H4962" t="str">
            <v>H. MANCHA</v>
          </cell>
          <cell r="I4962">
            <v>15.804</v>
          </cell>
        </row>
        <row r="4963">
          <cell r="A4963" t="str">
            <v>19-04962</v>
          </cell>
          <cell r="B4963" t="str">
            <v>H. MANCHA</v>
          </cell>
          <cell r="C4963" t="str">
            <v>A</v>
          </cell>
          <cell r="D4963" t="str">
            <v>NO</v>
          </cell>
          <cell r="E4963" t="str">
            <v>HOJARASCA LA (2015)</v>
          </cell>
          <cell r="F4963" t="str">
            <v>LIBRO</v>
          </cell>
          <cell r="H4963" t="str">
            <v>H. MANCHA</v>
          </cell>
          <cell r="I4963">
            <v>7.1639999999999997</v>
          </cell>
        </row>
        <row r="4964">
          <cell r="A4964" t="str">
            <v>19-04963</v>
          </cell>
          <cell r="B4964" t="str">
            <v>H. MANCHA</v>
          </cell>
          <cell r="C4964" t="str">
            <v>A</v>
          </cell>
          <cell r="D4964" t="str">
            <v>NO</v>
          </cell>
          <cell r="E4964" t="str">
            <v>HOMBRE DEL TELEFONO</v>
          </cell>
          <cell r="F4964" t="str">
            <v>LIBRO</v>
          </cell>
          <cell r="H4964" t="str">
            <v>H. MANCHA</v>
          </cell>
          <cell r="I4964">
            <v>12.204000000000001</v>
          </cell>
        </row>
        <row r="4965">
          <cell r="A4965" t="str">
            <v>19-04964</v>
          </cell>
          <cell r="B4965" t="str">
            <v>H. MANCHA</v>
          </cell>
          <cell r="C4965" t="str">
            <v>A</v>
          </cell>
          <cell r="D4965" t="str">
            <v>NO</v>
          </cell>
          <cell r="E4965" t="str">
            <v>HUSH  HUSH CRESCENDO</v>
          </cell>
          <cell r="F4965" t="str">
            <v>LIBRO</v>
          </cell>
          <cell r="H4965" t="str">
            <v>H. MANCHA</v>
          </cell>
          <cell r="I4965">
            <v>15.084</v>
          </cell>
        </row>
        <row r="4966">
          <cell r="A4966" t="str">
            <v>19-04965</v>
          </cell>
          <cell r="B4966" t="str">
            <v>H. MANCHA</v>
          </cell>
          <cell r="C4966" t="str">
            <v>A</v>
          </cell>
          <cell r="D4966" t="str">
            <v>NO</v>
          </cell>
          <cell r="E4966" t="str">
            <v>HUSH HUSH FINALE</v>
          </cell>
          <cell r="F4966" t="str">
            <v>LIBRO</v>
          </cell>
          <cell r="H4966" t="str">
            <v>H. MANCHA</v>
          </cell>
          <cell r="I4966">
            <v>15.084</v>
          </cell>
        </row>
        <row r="4967">
          <cell r="A4967" t="str">
            <v>19-04966</v>
          </cell>
          <cell r="B4967" t="str">
            <v>H. MANCHA</v>
          </cell>
          <cell r="C4967" t="str">
            <v>A</v>
          </cell>
          <cell r="D4967" t="str">
            <v>NO</v>
          </cell>
          <cell r="E4967" t="str">
            <v>HUSH HUSH SILENCIO</v>
          </cell>
          <cell r="F4967" t="str">
            <v>LIBRO</v>
          </cell>
          <cell r="H4967" t="str">
            <v>H. MANCHA</v>
          </cell>
          <cell r="I4967">
            <v>15.084</v>
          </cell>
        </row>
        <row r="4968">
          <cell r="A4968" t="str">
            <v>19-04967</v>
          </cell>
          <cell r="B4968" t="str">
            <v>H. MANCHA</v>
          </cell>
          <cell r="C4968" t="str">
            <v>A</v>
          </cell>
          <cell r="D4968" t="str">
            <v>NO</v>
          </cell>
          <cell r="E4968" t="str">
            <v>INQUEBRANTABLE: MI HISTO</v>
          </cell>
          <cell r="F4968" t="str">
            <v>LIBRO</v>
          </cell>
          <cell r="H4968" t="str">
            <v>H. MANCHA</v>
          </cell>
          <cell r="I4968">
            <v>7.1639999999999997</v>
          </cell>
        </row>
        <row r="4969">
          <cell r="A4969" t="str">
            <v>19-04968</v>
          </cell>
          <cell r="B4969" t="str">
            <v>H. MANCHA</v>
          </cell>
          <cell r="C4969" t="str">
            <v>A</v>
          </cell>
          <cell r="D4969" t="str">
            <v>NO</v>
          </cell>
          <cell r="E4969" t="str">
            <v>JUEGOS DE RIPPER EL (RED</v>
          </cell>
          <cell r="F4969" t="str">
            <v>LIBRO</v>
          </cell>
          <cell r="H4969" t="str">
            <v>H. MANCHA</v>
          </cell>
          <cell r="I4969">
            <v>9.3239999999999998</v>
          </cell>
        </row>
        <row r="4970">
          <cell r="A4970" t="str">
            <v>19-04969</v>
          </cell>
          <cell r="B4970" t="str">
            <v>H. MANCHA</v>
          </cell>
          <cell r="C4970" t="str">
            <v>A</v>
          </cell>
          <cell r="D4970" t="str">
            <v>NO</v>
          </cell>
          <cell r="E4970" t="str">
            <v>JUEGOS D HAMBRE 1 DBOLSILLO</v>
          </cell>
          <cell r="F4970" t="str">
            <v>LIBRO</v>
          </cell>
          <cell r="H4970" t="str">
            <v>H. MANCHA</v>
          </cell>
          <cell r="I4970">
            <v>0</v>
          </cell>
        </row>
        <row r="4971">
          <cell r="A4971" t="str">
            <v>19-04970</v>
          </cell>
          <cell r="B4971" t="str">
            <v>H. MANCHA</v>
          </cell>
          <cell r="C4971" t="str">
            <v>A</v>
          </cell>
          <cell r="D4971" t="str">
            <v>NO</v>
          </cell>
          <cell r="E4971" t="str">
            <v>LA CASA DE LOS ESPIRITUS</v>
          </cell>
          <cell r="F4971" t="str">
            <v>LIBRO</v>
          </cell>
          <cell r="H4971" t="str">
            <v>H. MANCHA</v>
          </cell>
          <cell r="I4971">
            <v>7.1639999999999997</v>
          </cell>
        </row>
        <row r="4972">
          <cell r="A4972" t="str">
            <v>19-04971</v>
          </cell>
          <cell r="B4972" t="str">
            <v>H. MANCHA</v>
          </cell>
          <cell r="C4972" t="str">
            <v>D</v>
          </cell>
          <cell r="D4972" t="str">
            <v>N/A</v>
          </cell>
          <cell r="E4972" t="str">
            <v>LABERINTO DE LOS ESPIRITUS/CANCELLED</v>
          </cell>
          <cell r="F4972" t="str">
            <v>LIBRO</v>
          </cell>
          <cell r="H4972" t="str">
            <v>H. MANCHA</v>
          </cell>
          <cell r="I4972">
            <v>18.684000000000001</v>
          </cell>
        </row>
        <row r="4973">
          <cell r="A4973" t="str">
            <v>19-04972</v>
          </cell>
          <cell r="B4973" t="str">
            <v>H. MANCHA</v>
          </cell>
          <cell r="C4973" t="str">
            <v>A</v>
          </cell>
          <cell r="D4973" t="str">
            <v>NO</v>
          </cell>
          <cell r="E4973" t="str">
            <v>LECTURA DIARIA DIA ES VI</v>
          </cell>
          <cell r="F4973" t="str">
            <v>LIBRO</v>
          </cell>
          <cell r="H4973" t="str">
            <v>H. MANCHA</v>
          </cell>
          <cell r="I4973">
            <v>7.1639999999999997</v>
          </cell>
        </row>
        <row r="4974">
          <cell r="A4974" t="str">
            <v>19-04973</v>
          </cell>
          <cell r="B4974" t="str">
            <v>H. MANCHA</v>
          </cell>
          <cell r="C4974" t="str">
            <v>A</v>
          </cell>
          <cell r="D4974" t="str">
            <v>NO</v>
          </cell>
          <cell r="E4974" t="str">
            <v>LIBRO TROLL</v>
          </cell>
          <cell r="F4974" t="str">
            <v>LIBRO</v>
          </cell>
          <cell r="H4974" t="str">
            <v>H. MANCHA</v>
          </cell>
          <cell r="I4974">
            <v>7.8840000000000003</v>
          </cell>
        </row>
        <row r="4975">
          <cell r="A4975" t="str">
            <v>19-04974</v>
          </cell>
          <cell r="B4975" t="str">
            <v>H. MANCHA</v>
          </cell>
          <cell r="C4975" t="str">
            <v>A</v>
          </cell>
          <cell r="D4975" t="str">
            <v>NO</v>
          </cell>
          <cell r="E4975" t="str">
            <v>MANDALAS PQ CONCIENCIA D</v>
          </cell>
          <cell r="F4975" t="str">
            <v>LIBRO</v>
          </cell>
          <cell r="H4975" t="str">
            <v>H. MANCHA</v>
          </cell>
          <cell r="I4975">
            <v>5.7240000000000002</v>
          </cell>
        </row>
        <row r="4976">
          <cell r="A4976" t="str">
            <v>19-04975</v>
          </cell>
          <cell r="B4976" t="str">
            <v>H. MANCHA</v>
          </cell>
          <cell r="C4976" t="str">
            <v>A</v>
          </cell>
          <cell r="D4976" t="str">
            <v>NO</v>
          </cell>
          <cell r="E4976" t="str">
            <v>MANDALAS PQ PARA ILUMINA</v>
          </cell>
          <cell r="F4976" t="str">
            <v>LIBRO</v>
          </cell>
          <cell r="H4976" t="str">
            <v>H. MANCHA</v>
          </cell>
          <cell r="I4976">
            <v>3.5640000000000001</v>
          </cell>
        </row>
        <row r="4977">
          <cell r="A4977" t="str">
            <v>19-04976</v>
          </cell>
          <cell r="B4977" t="str">
            <v>H. MANCHA</v>
          </cell>
          <cell r="C4977" t="str">
            <v>A</v>
          </cell>
          <cell r="D4977" t="str">
            <v>NO</v>
          </cell>
          <cell r="E4977" t="str">
            <v>MANDALAS PQ SECRETOS DE</v>
          </cell>
          <cell r="F4977" t="str">
            <v>LIBRO</v>
          </cell>
          <cell r="H4977" t="str">
            <v>H. MANCHA</v>
          </cell>
          <cell r="I4977">
            <v>5.0039999999999996</v>
          </cell>
        </row>
        <row r="4978">
          <cell r="A4978" t="str">
            <v>19-04977</v>
          </cell>
          <cell r="B4978" t="str">
            <v>H. MANCHA</v>
          </cell>
          <cell r="C4978" t="str">
            <v>A</v>
          </cell>
          <cell r="D4978" t="str">
            <v>NO</v>
          </cell>
          <cell r="E4978" t="str">
            <v>MEJOR REPOSTER A. LA</v>
          </cell>
          <cell r="F4978" t="str">
            <v>LIBRO</v>
          </cell>
          <cell r="H4978" t="str">
            <v>H. MANCHA</v>
          </cell>
          <cell r="I4978">
            <v>8.6039999999999992</v>
          </cell>
        </row>
        <row r="4979">
          <cell r="A4979" t="str">
            <v>19-04978</v>
          </cell>
          <cell r="B4979" t="str">
            <v>H. MANCHA</v>
          </cell>
          <cell r="C4979" t="str">
            <v>A</v>
          </cell>
          <cell r="D4979" t="str">
            <v>NO</v>
          </cell>
          <cell r="E4979" t="str">
            <v>MERMELADAS Y JALEAS</v>
          </cell>
          <cell r="F4979" t="str">
            <v>LIBRO</v>
          </cell>
          <cell r="H4979" t="str">
            <v>H. MANCHA</v>
          </cell>
          <cell r="I4979">
            <v>7.1639999999999997</v>
          </cell>
        </row>
        <row r="4980">
          <cell r="A4980" t="str">
            <v>19-04979</v>
          </cell>
          <cell r="B4980" t="str">
            <v>H. MANCHA</v>
          </cell>
          <cell r="C4980" t="str">
            <v>A</v>
          </cell>
          <cell r="D4980" t="str">
            <v>NO</v>
          </cell>
          <cell r="E4980" t="str">
            <v>METODO 15/33</v>
          </cell>
          <cell r="F4980" t="str">
            <v>LIBRO</v>
          </cell>
          <cell r="H4980" t="str">
            <v>H. MANCHA</v>
          </cell>
          <cell r="I4980">
            <v>15.804</v>
          </cell>
        </row>
        <row r="4981">
          <cell r="A4981" t="str">
            <v>19-04980</v>
          </cell>
          <cell r="B4981" t="str">
            <v>H. MANCHA</v>
          </cell>
          <cell r="C4981" t="str">
            <v>A</v>
          </cell>
          <cell r="D4981" t="str">
            <v>NO</v>
          </cell>
          <cell r="E4981" t="str">
            <v>MI ABUELA  ME QUIERE</v>
          </cell>
          <cell r="F4981" t="str">
            <v>LIBRO</v>
          </cell>
          <cell r="H4981" t="str">
            <v>H. MANCHA</v>
          </cell>
          <cell r="I4981">
            <v>7.1639999999999997</v>
          </cell>
        </row>
        <row r="4982">
          <cell r="A4982" t="str">
            <v>19-04981</v>
          </cell>
          <cell r="B4982" t="str">
            <v>H. MANCHA</v>
          </cell>
          <cell r="C4982" t="str">
            <v>A</v>
          </cell>
          <cell r="D4982" t="str">
            <v>NO</v>
          </cell>
          <cell r="E4982" t="str">
            <v>MI ANGEL GUARDIAN 2 LA M</v>
          </cell>
          <cell r="F4982" t="str">
            <v>LIBRO</v>
          </cell>
          <cell r="H4982" t="str">
            <v>H. MANCHA</v>
          </cell>
          <cell r="I4982">
            <v>18.684000000000001</v>
          </cell>
        </row>
        <row r="4983">
          <cell r="A4983" t="str">
            <v>19-04982</v>
          </cell>
          <cell r="B4983" t="str">
            <v>H. MANCHA</v>
          </cell>
          <cell r="C4983" t="str">
            <v>A</v>
          </cell>
          <cell r="D4983" t="str">
            <v>NO</v>
          </cell>
          <cell r="E4983" t="str">
            <v>MIS CUENTOS DE LA BIBLIA</v>
          </cell>
          <cell r="F4983" t="str">
            <v>LIBRO</v>
          </cell>
          <cell r="H4983" t="str">
            <v>H. MANCHA</v>
          </cell>
          <cell r="I4983">
            <v>8.6039999999999992</v>
          </cell>
        </row>
        <row r="4984">
          <cell r="A4984" t="str">
            <v>19-04983</v>
          </cell>
          <cell r="B4984" t="str">
            <v>H. MANCHA</v>
          </cell>
          <cell r="C4984" t="str">
            <v>A</v>
          </cell>
          <cell r="D4984" t="str">
            <v>NO</v>
          </cell>
          <cell r="E4984" t="str">
            <v>MUNDOS INVISIBLES</v>
          </cell>
          <cell r="F4984" t="str">
            <v>LIBRO</v>
          </cell>
          <cell r="H4984" t="str">
            <v>H. MANCHA</v>
          </cell>
          <cell r="I4984">
            <v>12.204000000000001</v>
          </cell>
        </row>
        <row r="4985">
          <cell r="A4985" t="str">
            <v>19-04984</v>
          </cell>
          <cell r="B4985" t="str">
            <v>H. MANCHA</v>
          </cell>
          <cell r="C4985" t="str">
            <v>A</v>
          </cell>
          <cell r="D4985" t="str">
            <v>NO</v>
          </cell>
          <cell r="E4985" t="str">
            <v>NARNIA 5 TRAVIESA DEL V</v>
          </cell>
          <cell r="F4985" t="str">
            <v>LIBRO</v>
          </cell>
          <cell r="H4985" t="str">
            <v>H. MANCHA</v>
          </cell>
          <cell r="I4985">
            <v>10.044</v>
          </cell>
        </row>
        <row r="4986">
          <cell r="A4986" t="str">
            <v>19-04985</v>
          </cell>
          <cell r="B4986" t="str">
            <v>H. MANCHA</v>
          </cell>
          <cell r="C4986" t="str">
            <v>A</v>
          </cell>
          <cell r="D4986" t="str">
            <v>NO</v>
          </cell>
          <cell r="E4986" t="str">
            <v>NARNIA 6 LA SILLA DE PL</v>
          </cell>
          <cell r="F4986" t="str">
            <v>LIBRO</v>
          </cell>
          <cell r="H4986" t="str">
            <v>H. MANCHA</v>
          </cell>
          <cell r="I4986">
            <v>10.044</v>
          </cell>
        </row>
        <row r="4987">
          <cell r="A4987" t="str">
            <v>19-04986</v>
          </cell>
          <cell r="B4987" t="str">
            <v>H. MANCHA</v>
          </cell>
          <cell r="C4987" t="str">
            <v>A</v>
          </cell>
          <cell r="D4987" t="str">
            <v>NO</v>
          </cell>
          <cell r="E4987" t="str">
            <v>NARNIA 7 LA ULTIMA BATA</v>
          </cell>
          <cell r="F4987" t="str">
            <v>LIBRO</v>
          </cell>
          <cell r="H4987" t="str">
            <v>H. MANCHA</v>
          </cell>
          <cell r="I4987">
            <v>10.044</v>
          </cell>
        </row>
        <row r="4988">
          <cell r="A4988" t="str">
            <v>19-04987</v>
          </cell>
          <cell r="B4988" t="str">
            <v>H. MANCHA</v>
          </cell>
          <cell r="C4988" t="str">
            <v>A</v>
          </cell>
          <cell r="D4988" t="str">
            <v>NO</v>
          </cell>
          <cell r="E4988" t="str">
            <v>NUNCA OLVIDES LA MISERIC</v>
          </cell>
          <cell r="F4988" t="str">
            <v>LIBRO</v>
          </cell>
          <cell r="H4988" t="str">
            <v>H. MANCHA</v>
          </cell>
          <cell r="I4988">
            <v>7.1639999999999997</v>
          </cell>
        </row>
        <row r="4989">
          <cell r="A4989" t="str">
            <v>19-04988</v>
          </cell>
          <cell r="B4989" t="str">
            <v>H. MANCHA</v>
          </cell>
          <cell r="C4989" t="str">
            <v>A</v>
          </cell>
          <cell r="D4989" t="str">
            <v>NO</v>
          </cell>
          <cell r="E4989" t="str">
            <v>OJOS DE PERRO AZUL</v>
          </cell>
          <cell r="F4989" t="str">
            <v>LIBRO</v>
          </cell>
          <cell r="H4989" t="str">
            <v>H. MANCHA</v>
          </cell>
          <cell r="I4989">
            <v>6.444</v>
          </cell>
        </row>
        <row r="4990">
          <cell r="A4990" t="str">
            <v>19-04989</v>
          </cell>
          <cell r="B4990" t="str">
            <v>H. MANCHA</v>
          </cell>
          <cell r="C4990" t="str">
            <v>A</v>
          </cell>
          <cell r="D4990" t="str">
            <v>NO</v>
          </cell>
          <cell r="E4990" t="str">
            <v>OTONO DEL PATRIARCA EL</v>
          </cell>
          <cell r="F4990" t="str">
            <v>LIBRO</v>
          </cell>
          <cell r="H4990" t="str">
            <v>H. MANCHA</v>
          </cell>
          <cell r="I4990">
            <v>7.8840000000000003</v>
          </cell>
        </row>
        <row r="4991">
          <cell r="A4991" t="str">
            <v>19-04990</v>
          </cell>
          <cell r="B4991" t="str">
            <v>H. MANCHA</v>
          </cell>
          <cell r="C4991" t="str">
            <v>A</v>
          </cell>
          <cell r="D4991" t="str">
            <v>NO</v>
          </cell>
          <cell r="E4991" t="str">
            <v>PALABRAS 12-18 MESES(PAS</v>
          </cell>
          <cell r="F4991" t="str">
            <v>LIBRO</v>
          </cell>
          <cell r="H4991" t="str">
            <v>H. MANCHA</v>
          </cell>
          <cell r="I4991">
            <v>4.2839999999999998</v>
          </cell>
        </row>
        <row r="4992">
          <cell r="A4992" t="str">
            <v>19-04991</v>
          </cell>
          <cell r="B4992" t="str">
            <v>H. MANCHA</v>
          </cell>
          <cell r="C4992" t="str">
            <v>A</v>
          </cell>
          <cell r="D4992" t="str">
            <v>NO</v>
          </cell>
          <cell r="E4992" t="str">
            <v>PALABRAS 18-24 MESES (PAS</v>
          </cell>
          <cell r="F4992" t="str">
            <v>LIBRO</v>
          </cell>
          <cell r="H4992" t="str">
            <v>H. MANCHA</v>
          </cell>
          <cell r="I4992">
            <v>4.2850000000000001</v>
          </cell>
        </row>
        <row r="4993">
          <cell r="A4993" t="str">
            <v>19-04992</v>
          </cell>
          <cell r="B4993" t="str">
            <v>H. MANCHA</v>
          </cell>
          <cell r="C4993" t="str">
            <v>A</v>
          </cell>
          <cell r="D4993" t="str">
            <v>NO</v>
          </cell>
          <cell r="E4993" t="str">
            <v>PALABRAS 24:36 MESES PAS</v>
          </cell>
          <cell r="F4993" t="str">
            <v>LIBRO</v>
          </cell>
          <cell r="H4993" t="str">
            <v>H. MANCHA</v>
          </cell>
          <cell r="I4993">
            <v>4.2839999999999998</v>
          </cell>
        </row>
        <row r="4994">
          <cell r="A4994" t="str">
            <v>19-04993</v>
          </cell>
          <cell r="B4994" t="str">
            <v>H. MANCHA</v>
          </cell>
          <cell r="C4994" t="str">
            <v>A</v>
          </cell>
          <cell r="D4994" t="str">
            <v>NO</v>
          </cell>
          <cell r="E4994" t="str">
            <v>PALEO</v>
          </cell>
          <cell r="F4994" t="str">
            <v>LIBRO</v>
          </cell>
          <cell r="H4994" t="str">
            <v>H. MANCHA</v>
          </cell>
          <cell r="I4994">
            <v>7.1639999999999997</v>
          </cell>
        </row>
        <row r="4995">
          <cell r="A4995" t="str">
            <v>19-04994</v>
          </cell>
          <cell r="B4995" t="str">
            <v>H. MANCHA</v>
          </cell>
          <cell r="C4995" t="str">
            <v>A</v>
          </cell>
          <cell r="D4995" t="str">
            <v>NO</v>
          </cell>
          <cell r="E4995" t="str">
            <v>PESCADO Y MARISCO (MINIL</v>
          </cell>
          <cell r="F4995" t="str">
            <v>LIBRO</v>
          </cell>
          <cell r="H4995" t="str">
            <v>H. MANCHA</v>
          </cell>
          <cell r="I4995">
            <v>3.5640000000000001</v>
          </cell>
        </row>
        <row r="4996">
          <cell r="A4996" t="str">
            <v>19-04995</v>
          </cell>
          <cell r="B4996" t="str">
            <v>H. MANCHA</v>
          </cell>
          <cell r="C4996" t="str">
            <v>A</v>
          </cell>
          <cell r="D4996" t="str">
            <v>NO</v>
          </cell>
          <cell r="E4996" t="str">
            <v>PODER SECRETO 2</v>
          </cell>
          <cell r="F4996" t="str">
            <v>LIBRO</v>
          </cell>
          <cell r="H4996" t="str">
            <v>H. MANCHA</v>
          </cell>
          <cell r="I4996">
            <v>23.004000000000001</v>
          </cell>
        </row>
        <row r="4997">
          <cell r="A4997" t="str">
            <v>19-04996</v>
          </cell>
          <cell r="B4997" t="str">
            <v>H. MANCHA</v>
          </cell>
          <cell r="C4997" t="str">
            <v>A</v>
          </cell>
          <cell r="D4997" t="str">
            <v>NO</v>
          </cell>
          <cell r="E4997" t="str">
            <v>PORQUE NO FLUYE EL AMOR</v>
          </cell>
          <cell r="F4997" t="str">
            <v>LIBRO</v>
          </cell>
          <cell r="H4997" t="str">
            <v>H. MANCHA</v>
          </cell>
          <cell r="I4997">
            <v>10.765000000000001</v>
          </cell>
        </row>
        <row r="4998">
          <cell r="A4998" t="str">
            <v>19-04997</v>
          </cell>
          <cell r="B4998" t="str">
            <v>H. MANCHA</v>
          </cell>
          <cell r="C4998" t="str">
            <v>A</v>
          </cell>
          <cell r="D4998" t="str">
            <v>NO</v>
          </cell>
          <cell r="E4998" t="str">
            <v>POR QUEENROJECES COMO TO</v>
          </cell>
          <cell r="F4998" t="str">
            <v>LIBRO</v>
          </cell>
          <cell r="H4998" t="str">
            <v>H. MANCHA</v>
          </cell>
          <cell r="I4998">
            <v>8.6039999999999992</v>
          </cell>
        </row>
        <row r="4999">
          <cell r="A4999" t="str">
            <v>19-04998</v>
          </cell>
          <cell r="B4999" t="str">
            <v>H. MANCHA</v>
          </cell>
          <cell r="C4999" t="str">
            <v>A</v>
          </cell>
          <cell r="D4999" t="str">
            <v>NO</v>
          </cell>
          <cell r="E4999" t="str">
            <v>POR UNA ROSA</v>
          </cell>
          <cell r="F4999" t="str">
            <v>LIBRO</v>
          </cell>
          <cell r="H4999" t="str">
            <v>H. MANCHA</v>
          </cell>
          <cell r="I4999">
            <v>9.3239999999999998</v>
          </cell>
        </row>
        <row r="5000">
          <cell r="A5000" t="str">
            <v>19-04999</v>
          </cell>
          <cell r="B5000" t="str">
            <v>H. MANCHA</v>
          </cell>
          <cell r="C5000" t="str">
            <v>A</v>
          </cell>
          <cell r="D5000" t="str">
            <v>NO</v>
          </cell>
          <cell r="E5000" t="str">
            <v>PRINCIPE DE LA NIEBLA EL</v>
          </cell>
          <cell r="F5000" t="str">
            <v>LIBRO</v>
          </cell>
          <cell r="H5000" t="str">
            <v>H. MANCHA</v>
          </cell>
          <cell r="I5000">
            <v>9.3239999999999998</v>
          </cell>
        </row>
        <row r="5001">
          <cell r="A5001" t="str">
            <v>19-05000</v>
          </cell>
          <cell r="B5001" t="str">
            <v>H. MANCHA</v>
          </cell>
          <cell r="C5001" t="str">
            <v>A</v>
          </cell>
          <cell r="D5001" t="str">
            <v>NO</v>
          </cell>
          <cell r="E5001" t="str">
            <v>PROBLEMA DE LOS TRES CUE</v>
          </cell>
          <cell r="F5001" t="str">
            <v>LIBRO</v>
          </cell>
          <cell r="H5001" t="str">
            <v>H. MANCHA</v>
          </cell>
          <cell r="I5001">
            <v>15.804</v>
          </cell>
        </row>
        <row r="5002">
          <cell r="A5002" t="str">
            <v>19-05001</v>
          </cell>
          <cell r="B5002" t="str">
            <v>H. MANCHA</v>
          </cell>
          <cell r="C5002" t="str">
            <v>A</v>
          </cell>
          <cell r="D5002" t="str">
            <v>NO</v>
          </cell>
          <cell r="E5002" t="str">
            <v>PROHIBIDO</v>
          </cell>
          <cell r="F5002" t="str">
            <v>LIBRO</v>
          </cell>
          <cell r="H5002" t="str">
            <v>H. MANCHA</v>
          </cell>
          <cell r="I5002">
            <v>15.804</v>
          </cell>
        </row>
        <row r="5003">
          <cell r="A5003" t="str">
            <v>19-05002</v>
          </cell>
          <cell r="B5003" t="str">
            <v>H. MANCHA</v>
          </cell>
          <cell r="C5003" t="str">
            <v>A</v>
          </cell>
          <cell r="D5003" t="str">
            <v>NO</v>
          </cell>
          <cell r="E5003" t="str">
            <v>QUIEN DOMINA EL MUNDO</v>
          </cell>
          <cell r="F5003" t="str">
            <v>LIBRO</v>
          </cell>
          <cell r="H5003" t="str">
            <v>H. MANCHA</v>
          </cell>
          <cell r="I5003">
            <v>17.244</v>
          </cell>
        </row>
        <row r="5004">
          <cell r="A5004" t="str">
            <v>19-05003</v>
          </cell>
          <cell r="B5004" t="str">
            <v>H. MANCHA</v>
          </cell>
          <cell r="C5004" t="str">
            <v>A</v>
          </cell>
          <cell r="D5004" t="str">
            <v>NO</v>
          </cell>
          <cell r="E5004" t="str">
            <v>QUIERO MAS!</v>
          </cell>
          <cell r="F5004" t="str">
            <v>LIBRO</v>
          </cell>
          <cell r="H5004" t="str">
            <v>H. MANCHA</v>
          </cell>
          <cell r="I5004">
            <v>7.8840000000000003</v>
          </cell>
        </row>
        <row r="5005">
          <cell r="A5005" t="str">
            <v>19-05004</v>
          </cell>
          <cell r="B5005" t="str">
            <v>H. MANCHA</v>
          </cell>
          <cell r="C5005" t="str">
            <v>A</v>
          </cell>
          <cell r="D5005" t="str">
            <v>NO</v>
          </cell>
          <cell r="E5005" t="str">
            <v>RAYUELA</v>
          </cell>
          <cell r="F5005" t="str">
            <v>LIBRO</v>
          </cell>
          <cell r="H5005" t="str">
            <v>H. MANCHA</v>
          </cell>
          <cell r="I5005">
            <v>11.484</v>
          </cell>
        </row>
        <row r="5006">
          <cell r="A5006" t="str">
            <v>19-05005</v>
          </cell>
          <cell r="B5006" t="str">
            <v>H. MANCHA</v>
          </cell>
          <cell r="C5006" t="str">
            <v>A</v>
          </cell>
          <cell r="D5006" t="str">
            <v>NO</v>
          </cell>
          <cell r="E5006" t="str">
            <v>RECETAS RAPIDAS</v>
          </cell>
          <cell r="F5006" t="str">
            <v>LIBRO</v>
          </cell>
          <cell r="H5006" t="str">
            <v>H. MANCHA</v>
          </cell>
          <cell r="I5006">
            <v>8.6039999999999992</v>
          </cell>
        </row>
        <row r="5007">
          <cell r="A5007" t="str">
            <v>19-05006</v>
          </cell>
          <cell r="B5007" t="str">
            <v>H. MANCHA</v>
          </cell>
          <cell r="C5007" t="str">
            <v>A</v>
          </cell>
          <cell r="D5007" t="str">
            <v>NO</v>
          </cell>
          <cell r="E5007" t="str">
            <v>RED QUEEN 2 GLASS SWORD</v>
          </cell>
          <cell r="F5007" t="str">
            <v>LIBRO</v>
          </cell>
          <cell r="H5007" t="str">
            <v>H. MANCHA</v>
          </cell>
          <cell r="I5007">
            <v>10.763999999999999</v>
          </cell>
        </row>
        <row r="5008">
          <cell r="A5008" t="str">
            <v>19-05007</v>
          </cell>
          <cell r="B5008" t="str">
            <v>H. MANCHA</v>
          </cell>
          <cell r="C5008" t="str">
            <v>A</v>
          </cell>
          <cell r="D5008" t="str">
            <v>NO</v>
          </cell>
          <cell r="E5008" t="str">
            <v>REINA ROJA LA</v>
          </cell>
          <cell r="F5008" t="str">
            <v>LIBRO</v>
          </cell>
          <cell r="H5008" t="str">
            <v>H. MANCHA</v>
          </cell>
          <cell r="I5008">
            <v>15.084</v>
          </cell>
        </row>
        <row r="5009">
          <cell r="A5009" t="str">
            <v>19-05008</v>
          </cell>
          <cell r="B5009" t="str">
            <v>H. MANCHA</v>
          </cell>
          <cell r="C5009" t="str">
            <v>A</v>
          </cell>
          <cell r="D5009" t="str">
            <v>NO</v>
          </cell>
          <cell r="E5009" t="str">
            <v>SABIDURIA INTERIOR</v>
          </cell>
          <cell r="F5009" t="str">
            <v>LIBRO</v>
          </cell>
          <cell r="H5009" t="str">
            <v>H. MANCHA</v>
          </cell>
          <cell r="I5009">
            <v>10.044</v>
          </cell>
        </row>
        <row r="5010">
          <cell r="A5010" t="str">
            <v>19-05009</v>
          </cell>
          <cell r="B5010" t="str">
            <v>H. MANCHA</v>
          </cell>
          <cell r="C5010" t="str">
            <v>A</v>
          </cell>
          <cell r="D5010" t="str">
            <v>NO</v>
          </cell>
          <cell r="E5010" t="str">
            <v>SARAH MIDNIGHT 3 ESPIRIT</v>
          </cell>
          <cell r="F5010" t="str">
            <v>LIBRO</v>
          </cell>
          <cell r="H5010" t="str">
            <v>H. MANCHA</v>
          </cell>
          <cell r="I5010">
            <v>15.084</v>
          </cell>
        </row>
        <row r="5011">
          <cell r="A5011" t="str">
            <v>19-05010</v>
          </cell>
          <cell r="B5011" t="str">
            <v>H. MANCHA</v>
          </cell>
          <cell r="C5011" t="str">
            <v>A</v>
          </cell>
          <cell r="D5011" t="str">
            <v>NO</v>
          </cell>
          <cell r="E5011" t="str">
            <v>SEGUNDAS OPORTUNIDADES</v>
          </cell>
          <cell r="F5011" t="str">
            <v>LIBRO</v>
          </cell>
          <cell r="G5011">
            <v>978842048243</v>
          </cell>
          <cell r="H5011" t="str">
            <v>H. MANCHA</v>
          </cell>
          <cell r="I5011">
            <v>15.085000000000001</v>
          </cell>
        </row>
        <row r="5012">
          <cell r="A5012" t="str">
            <v>19-05011</v>
          </cell>
          <cell r="B5012" t="str">
            <v>H. MANCHA</v>
          </cell>
          <cell r="C5012" t="str">
            <v>A</v>
          </cell>
          <cell r="D5012" t="str">
            <v>NO</v>
          </cell>
          <cell r="E5012" t="str">
            <v>SELECCION 2 ELITE</v>
          </cell>
          <cell r="F5012" t="str">
            <v>LIBRO</v>
          </cell>
          <cell r="H5012" t="str">
            <v>H. MANCHA</v>
          </cell>
          <cell r="I5012">
            <v>13.644</v>
          </cell>
        </row>
        <row r="5013">
          <cell r="A5013" t="str">
            <v>19-05012</v>
          </cell>
          <cell r="B5013" t="str">
            <v>H. MANCHA</v>
          </cell>
          <cell r="C5013" t="str">
            <v>A</v>
          </cell>
          <cell r="D5013" t="str">
            <v>NO</v>
          </cell>
          <cell r="E5013" t="str">
            <v>SMOOTHIES SALUDABLES</v>
          </cell>
          <cell r="F5013" t="str">
            <v>LIBRO</v>
          </cell>
          <cell r="H5013" t="str">
            <v>H. MANCHA</v>
          </cell>
          <cell r="I5013">
            <v>7.1639999999999997</v>
          </cell>
        </row>
        <row r="5014">
          <cell r="A5014" t="str">
            <v>19-05013</v>
          </cell>
          <cell r="B5014" t="str">
            <v>H. MANCHA</v>
          </cell>
          <cell r="C5014" t="str">
            <v>A</v>
          </cell>
          <cell r="D5014" t="str">
            <v>NO</v>
          </cell>
          <cell r="E5014" t="str">
            <v>SOLO NOSOTROS DOS</v>
          </cell>
          <cell r="F5014" t="str">
            <v>LIBRO</v>
          </cell>
          <cell r="H5014" t="str">
            <v>H. MANCHA</v>
          </cell>
          <cell r="I5014">
            <v>11.484</v>
          </cell>
        </row>
        <row r="5015">
          <cell r="A5015" t="str">
            <v>19-05014</v>
          </cell>
          <cell r="B5015" t="str">
            <v>H. MANCHA</v>
          </cell>
          <cell r="C5015" t="str">
            <v>A</v>
          </cell>
          <cell r="D5015" t="str">
            <v>NO</v>
          </cell>
          <cell r="E5015" t="str">
            <v>SOLO UN DIA</v>
          </cell>
          <cell r="F5015" t="str">
            <v>LIBRO</v>
          </cell>
          <cell r="H5015" t="str">
            <v>H. MANCHA</v>
          </cell>
          <cell r="I5015">
            <v>12.923999999999999</v>
          </cell>
        </row>
        <row r="5016">
          <cell r="A5016" t="str">
            <v>19-05015</v>
          </cell>
          <cell r="B5016" t="str">
            <v>H. MANCHA</v>
          </cell>
          <cell r="C5016" t="str">
            <v>A</v>
          </cell>
          <cell r="D5016" t="str">
            <v>NO</v>
          </cell>
          <cell r="E5016" t="str">
            <v>SOMOS LO QUE COMEMOS</v>
          </cell>
          <cell r="F5016" t="str">
            <v>LIBRO</v>
          </cell>
          <cell r="H5016" t="str">
            <v>H. MANCHA</v>
          </cell>
          <cell r="I5016">
            <v>11.484</v>
          </cell>
        </row>
        <row r="5017">
          <cell r="A5017" t="str">
            <v>19-05016</v>
          </cell>
          <cell r="B5017" t="str">
            <v>H. MANCHA</v>
          </cell>
          <cell r="C5017" t="str">
            <v>A</v>
          </cell>
          <cell r="D5017" t="str">
            <v>NO</v>
          </cell>
          <cell r="E5017" t="str">
            <v>STILTON 17 MISTERIO DE L</v>
          </cell>
          <cell r="F5017" t="str">
            <v>LIBRO</v>
          </cell>
          <cell r="H5017" t="str">
            <v>H. MANCHA</v>
          </cell>
          <cell r="I5017">
            <v>5.7240000000000002</v>
          </cell>
        </row>
        <row r="5018">
          <cell r="A5018" t="str">
            <v>19-05017</v>
          </cell>
          <cell r="B5018" t="str">
            <v>H. MANCHA</v>
          </cell>
          <cell r="C5018" t="str">
            <v>A</v>
          </cell>
          <cell r="D5018" t="str">
            <v>NO</v>
          </cell>
          <cell r="E5018" t="str">
            <v>STILTON 18 SECRETO DE LA</v>
          </cell>
          <cell r="F5018" t="str">
            <v>LIBRO</v>
          </cell>
          <cell r="H5018" t="str">
            <v>H. MANCHA</v>
          </cell>
          <cell r="I5018">
            <v>7.1639999999999997</v>
          </cell>
        </row>
        <row r="5019">
          <cell r="A5019" t="str">
            <v>19-05018</v>
          </cell>
          <cell r="B5019" t="str">
            <v>H. MANCHA</v>
          </cell>
          <cell r="C5019" t="str">
            <v>A</v>
          </cell>
          <cell r="D5019" t="str">
            <v>NO</v>
          </cell>
          <cell r="E5019" t="str">
            <v>TEOREMA KATHERINE EL</v>
          </cell>
          <cell r="F5019" t="str">
            <v>LIBRO</v>
          </cell>
          <cell r="H5019" t="str">
            <v>H. MANCHA</v>
          </cell>
          <cell r="I5019">
            <v>13.644</v>
          </cell>
        </row>
        <row r="5020">
          <cell r="A5020" t="str">
            <v>19-05019</v>
          </cell>
          <cell r="B5020" t="str">
            <v>H. MANCHA</v>
          </cell>
          <cell r="C5020" t="str">
            <v>A</v>
          </cell>
          <cell r="D5020" t="str">
            <v>NO</v>
          </cell>
          <cell r="E5020" t="str">
            <v>THE CHEMIST</v>
          </cell>
          <cell r="F5020" t="str">
            <v>LIBRO</v>
          </cell>
          <cell r="H5020" t="str">
            <v>H. MANCHA</v>
          </cell>
          <cell r="I5020">
            <v>14.364000000000001</v>
          </cell>
        </row>
        <row r="5021">
          <cell r="A5021" t="str">
            <v>19-05020</v>
          </cell>
          <cell r="B5021" t="str">
            <v>H. MANCHA</v>
          </cell>
          <cell r="C5021" t="str">
            <v>A</v>
          </cell>
          <cell r="D5021" t="str">
            <v>NO</v>
          </cell>
          <cell r="E5021" t="str">
            <v>ULTIMA CAZADORA</v>
          </cell>
          <cell r="F5021" t="str">
            <v>LIBRO</v>
          </cell>
          <cell r="H5021" t="str">
            <v>H. MANCHA</v>
          </cell>
          <cell r="I5021">
            <v>16.524000000000001</v>
          </cell>
        </row>
        <row r="5022">
          <cell r="A5022" t="str">
            <v>19-05021</v>
          </cell>
          <cell r="B5022" t="str">
            <v>H. MANCHA</v>
          </cell>
          <cell r="C5022" t="str">
            <v>A</v>
          </cell>
          <cell r="D5022" t="str">
            <v>NO</v>
          </cell>
          <cell r="E5022" t="str">
            <v>VAMOS A LEER CUENTOS 5 M</v>
          </cell>
          <cell r="F5022" t="str">
            <v>LIBRO</v>
          </cell>
          <cell r="H5022" t="str">
            <v>H. MANCHA</v>
          </cell>
          <cell r="I5022">
            <v>8.6039999999999992</v>
          </cell>
        </row>
        <row r="5023">
          <cell r="A5023" t="str">
            <v>19-05022</v>
          </cell>
          <cell r="B5023" t="str">
            <v>H. MANCHA</v>
          </cell>
          <cell r="C5023" t="str">
            <v>A</v>
          </cell>
          <cell r="D5023" t="str">
            <v>NO</v>
          </cell>
          <cell r="E5023" t="str">
            <v>VENTAJAS DE SER INVISIBLE</v>
          </cell>
          <cell r="F5023" t="str">
            <v>LIBRO</v>
          </cell>
          <cell r="H5023" t="str">
            <v>H. MANCHA</v>
          </cell>
          <cell r="I5023">
            <v>12.204000000000001</v>
          </cell>
        </row>
        <row r="5024">
          <cell r="A5024" t="str">
            <v>19-05023</v>
          </cell>
          <cell r="B5024" t="str">
            <v>H. MANCHA</v>
          </cell>
          <cell r="C5024" t="str">
            <v>A</v>
          </cell>
          <cell r="D5024" t="str">
            <v>NO</v>
          </cell>
          <cell r="E5024" t="str">
            <v>YOU 1 LOVE YOU</v>
          </cell>
          <cell r="F5024" t="str">
            <v>LIBRO</v>
          </cell>
          <cell r="H5024" t="str">
            <v>H. MANCHA</v>
          </cell>
          <cell r="I5024">
            <v>15.804</v>
          </cell>
        </row>
        <row r="5025">
          <cell r="A5025" t="str">
            <v>19-05024</v>
          </cell>
          <cell r="B5025" t="str">
            <v>ORKHON GROUP</v>
          </cell>
          <cell r="C5025" t="str">
            <v>A</v>
          </cell>
          <cell r="D5025" t="str">
            <v>N/A</v>
          </cell>
          <cell r="E5025" t="str">
            <v>A1603-30  ALTAMAR COLLAR</v>
          </cell>
          <cell r="F5025" t="str">
            <v>COLLAR</v>
          </cell>
          <cell r="G5025" t="str">
            <v>A007711</v>
          </cell>
          <cell r="H5025" t="str">
            <v>ALTAMAR</v>
          </cell>
          <cell r="I5025">
            <v>9.9</v>
          </cell>
        </row>
        <row r="5026">
          <cell r="A5026" t="str">
            <v>19-05025</v>
          </cell>
          <cell r="B5026" t="str">
            <v>ORKHON GROUP</v>
          </cell>
          <cell r="C5026" t="str">
            <v>A</v>
          </cell>
          <cell r="D5026" t="str">
            <v>N/A</v>
          </cell>
          <cell r="E5026" t="str">
            <v>A1603-33  ALTAMAR COLLAR</v>
          </cell>
          <cell r="F5026" t="str">
            <v>COLLAR</v>
          </cell>
          <cell r="G5026" t="str">
            <v>A007712</v>
          </cell>
          <cell r="H5026" t="str">
            <v>ALTAMAR</v>
          </cell>
          <cell r="I5026">
            <v>9.9</v>
          </cell>
        </row>
        <row r="5027">
          <cell r="A5027" t="str">
            <v>19-05026</v>
          </cell>
          <cell r="B5027" t="str">
            <v>ORKHON GROUP</v>
          </cell>
          <cell r="C5027" t="str">
            <v>A</v>
          </cell>
          <cell r="D5027" t="str">
            <v>N/A</v>
          </cell>
          <cell r="E5027" t="str">
            <v>A1603-34  ALTAMAR COLLAR</v>
          </cell>
          <cell r="F5027" t="str">
            <v>COLLAR</v>
          </cell>
          <cell r="G5027" t="str">
            <v>A007713</v>
          </cell>
          <cell r="H5027" t="str">
            <v>ALTAMAR</v>
          </cell>
          <cell r="I5027">
            <v>9.3049999999999997</v>
          </cell>
        </row>
        <row r="5028">
          <cell r="A5028" t="str">
            <v>19-05027</v>
          </cell>
          <cell r="B5028" t="str">
            <v>ORKHON GROUP</v>
          </cell>
          <cell r="C5028" t="str">
            <v>A</v>
          </cell>
          <cell r="D5028" t="str">
            <v>N/A</v>
          </cell>
          <cell r="E5028" t="str">
            <v>A1603-35  ALTAMAR COLLAR</v>
          </cell>
          <cell r="F5028" t="str">
            <v>COLLAR</v>
          </cell>
          <cell r="G5028" t="str">
            <v>A007714</v>
          </cell>
          <cell r="H5028" t="str">
            <v>ALTAMAR</v>
          </cell>
          <cell r="I5028">
            <v>9.9</v>
          </cell>
        </row>
        <row r="5029">
          <cell r="A5029" t="str">
            <v>19-05028</v>
          </cell>
          <cell r="B5029" t="str">
            <v>ORKHON GROUP</v>
          </cell>
          <cell r="C5029" t="str">
            <v>A</v>
          </cell>
          <cell r="D5029" t="str">
            <v>N/A</v>
          </cell>
          <cell r="E5029" t="str">
            <v>A1603-36  ALTAMAR COLLAR</v>
          </cell>
          <cell r="F5029" t="str">
            <v>COLLAR</v>
          </cell>
          <cell r="G5029" t="str">
            <v>A007715</v>
          </cell>
          <cell r="H5029" t="str">
            <v>ALTAMAR</v>
          </cell>
          <cell r="I5029">
            <v>9.9</v>
          </cell>
        </row>
        <row r="5030">
          <cell r="A5030" t="str">
            <v>19-05029</v>
          </cell>
          <cell r="B5030" t="str">
            <v>ORKHON GROUP</v>
          </cell>
          <cell r="C5030" t="str">
            <v>A</v>
          </cell>
          <cell r="D5030" t="str">
            <v>N/A</v>
          </cell>
          <cell r="E5030" t="str">
            <v>A1603-39  ALTAMAR COLLAR</v>
          </cell>
          <cell r="F5030" t="str">
            <v>COLLAR</v>
          </cell>
          <cell r="G5030" t="str">
            <v>A007716</v>
          </cell>
          <cell r="H5030" t="str">
            <v>ALTAMAR</v>
          </cell>
          <cell r="I5030">
            <v>9.3000000000000007</v>
          </cell>
        </row>
        <row r="5031">
          <cell r="A5031" t="str">
            <v>19-05030</v>
          </cell>
          <cell r="B5031" t="str">
            <v>ORKHON GROUP</v>
          </cell>
          <cell r="C5031" t="str">
            <v>A</v>
          </cell>
          <cell r="D5031" t="str">
            <v>N/A</v>
          </cell>
          <cell r="E5031" t="str">
            <v>A1603-42  ALTAMAR COLLAR</v>
          </cell>
          <cell r="F5031" t="str">
            <v>COLLAR</v>
          </cell>
          <cell r="G5031" t="str">
            <v>A007717</v>
          </cell>
          <cell r="H5031" t="str">
            <v>ALTAMAR</v>
          </cell>
          <cell r="I5031">
            <v>9.3000000000000007</v>
          </cell>
        </row>
        <row r="5032">
          <cell r="A5032" t="str">
            <v>19-05031</v>
          </cell>
          <cell r="B5032" t="str">
            <v>ORKHON GROUP</v>
          </cell>
          <cell r="C5032" t="str">
            <v>A</v>
          </cell>
          <cell r="D5032" t="str">
            <v>N/A</v>
          </cell>
          <cell r="E5032" t="str">
            <v>A1603-43  ALTAMAR COLLAR</v>
          </cell>
          <cell r="F5032" t="str">
            <v>COLLAR</v>
          </cell>
          <cell r="G5032" t="str">
            <v>A007718</v>
          </cell>
          <cell r="H5032" t="str">
            <v>ALTAMAR</v>
          </cell>
          <cell r="I5032">
            <v>9.3000000000000007</v>
          </cell>
        </row>
        <row r="5033">
          <cell r="A5033" t="str">
            <v>19-05032</v>
          </cell>
          <cell r="B5033" t="str">
            <v>ORKHON GROUP</v>
          </cell>
          <cell r="C5033" t="str">
            <v>A</v>
          </cell>
          <cell r="D5033" t="str">
            <v>N/A</v>
          </cell>
          <cell r="E5033" t="str">
            <v>A1603-46  ALTAMAR COLLAR</v>
          </cell>
          <cell r="F5033" t="str">
            <v>COLLAR</v>
          </cell>
          <cell r="G5033" t="str">
            <v>A007719</v>
          </cell>
          <cell r="H5033" t="str">
            <v>ALTAMAR</v>
          </cell>
          <cell r="I5033">
            <v>10.199999999999999</v>
          </cell>
        </row>
        <row r="5034">
          <cell r="A5034" t="str">
            <v>19-05033</v>
          </cell>
          <cell r="B5034" t="str">
            <v>ORKHON GROUP</v>
          </cell>
          <cell r="C5034" t="str">
            <v>A</v>
          </cell>
          <cell r="D5034" t="str">
            <v>N/A</v>
          </cell>
          <cell r="E5034" t="str">
            <v>A1603-54  ALTAMAR COLLAR</v>
          </cell>
          <cell r="F5034" t="str">
            <v>COLLAR</v>
          </cell>
          <cell r="G5034" t="str">
            <v>A007720</v>
          </cell>
          <cell r="H5034" t="str">
            <v>ALTAMAR</v>
          </cell>
          <cell r="I5034">
            <v>11.2</v>
          </cell>
        </row>
        <row r="5035">
          <cell r="A5035" t="str">
            <v>19-05034</v>
          </cell>
          <cell r="B5035" t="str">
            <v>ORKHON GROUP</v>
          </cell>
          <cell r="C5035" t="str">
            <v>A</v>
          </cell>
          <cell r="D5035" t="str">
            <v>N/A</v>
          </cell>
          <cell r="E5035" t="str">
            <v>A1603-55  ALTAMAR COLLAR</v>
          </cell>
          <cell r="F5035" t="str">
            <v>COLLAR</v>
          </cell>
          <cell r="G5035" t="str">
            <v>A007721</v>
          </cell>
          <cell r="H5035" t="str">
            <v>ALTAMAR</v>
          </cell>
          <cell r="I5035">
            <v>11.2</v>
          </cell>
        </row>
        <row r="5036">
          <cell r="A5036" t="str">
            <v>19-05035</v>
          </cell>
          <cell r="B5036" t="str">
            <v>ORKHON GROUP</v>
          </cell>
          <cell r="C5036" t="str">
            <v>A</v>
          </cell>
          <cell r="D5036" t="str">
            <v>N/A</v>
          </cell>
          <cell r="E5036" t="str">
            <v>A1603-56  ALTAMAR COLLAR</v>
          </cell>
          <cell r="F5036" t="str">
            <v>COLLAR</v>
          </cell>
          <cell r="G5036" t="str">
            <v>A007722</v>
          </cell>
          <cell r="H5036" t="str">
            <v>ALTAMAR</v>
          </cell>
          <cell r="I5036">
            <v>11.2</v>
          </cell>
        </row>
        <row r="5037">
          <cell r="A5037" t="str">
            <v>19-05036</v>
          </cell>
          <cell r="B5037" t="str">
            <v>ORKHON GROUP</v>
          </cell>
          <cell r="C5037" t="str">
            <v>A</v>
          </cell>
          <cell r="D5037" t="str">
            <v>N/A</v>
          </cell>
          <cell r="E5037" t="str">
            <v>A1603-57  ALTAMAR COLLAR</v>
          </cell>
          <cell r="F5037" t="str">
            <v>COLLAR</v>
          </cell>
          <cell r="G5037" t="str">
            <v>A007723</v>
          </cell>
          <cell r="H5037" t="str">
            <v>ALTAMAR</v>
          </cell>
          <cell r="I5037">
            <v>10.53</v>
          </cell>
        </row>
        <row r="5038">
          <cell r="A5038" t="str">
            <v>19-05037</v>
          </cell>
          <cell r="B5038" t="str">
            <v>ORKHON GROUP</v>
          </cell>
          <cell r="C5038" t="str">
            <v>A</v>
          </cell>
          <cell r="D5038" t="str">
            <v>N/A</v>
          </cell>
          <cell r="E5038" t="str">
            <v>A1603-58  ALTAMAR COLLAR</v>
          </cell>
          <cell r="F5038" t="str">
            <v>COLLAR</v>
          </cell>
          <cell r="G5038" t="str">
            <v>A007724</v>
          </cell>
          <cell r="H5038" t="str">
            <v>ALTAMAR</v>
          </cell>
          <cell r="I5038">
            <v>0</v>
          </cell>
        </row>
        <row r="5039">
          <cell r="A5039" t="str">
            <v>19-05038</v>
          </cell>
          <cell r="B5039" t="str">
            <v>ORKHON GROUP</v>
          </cell>
          <cell r="C5039" t="str">
            <v>A</v>
          </cell>
          <cell r="D5039" t="str">
            <v>N/A</v>
          </cell>
          <cell r="E5039" t="str">
            <v>A1603-59  ALTAMAR COLLAR</v>
          </cell>
          <cell r="F5039" t="str">
            <v>COLLAR</v>
          </cell>
          <cell r="G5039" t="str">
            <v>A007725</v>
          </cell>
          <cell r="H5039" t="str">
            <v>ALTAMAR</v>
          </cell>
          <cell r="I5039">
            <v>0</v>
          </cell>
        </row>
        <row r="5040">
          <cell r="A5040" t="str">
            <v>19-05039</v>
          </cell>
          <cell r="B5040" t="str">
            <v>ORKHON GROUP</v>
          </cell>
          <cell r="C5040" t="str">
            <v>A</v>
          </cell>
          <cell r="D5040" t="str">
            <v>N/A</v>
          </cell>
          <cell r="E5040" t="str">
            <v>A1603-60  ALTAMAR COLLAR</v>
          </cell>
          <cell r="F5040" t="str">
            <v>COLLAR</v>
          </cell>
          <cell r="G5040" t="str">
            <v>A007726</v>
          </cell>
          <cell r="H5040" t="str">
            <v>ALTAMAR</v>
          </cell>
          <cell r="I5040">
            <v>11.2</v>
          </cell>
        </row>
        <row r="5041">
          <cell r="A5041" t="str">
            <v>19-05040</v>
          </cell>
          <cell r="B5041" t="str">
            <v>ORKHON GROUP</v>
          </cell>
          <cell r="C5041" t="str">
            <v>A</v>
          </cell>
          <cell r="D5041" t="str">
            <v>N/A</v>
          </cell>
          <cell r="E5041" t="str">
            <v>A1603-61  ALTAMAR COLLAR</v>
          </cell>
          <cell r="F5041" t="str">
            <v>COLLAR</v>
          </cell>
          <cell r="G5041" t="str">
            <v>A007727</v>
          </cell>
          <cell r="H5041" t="str">
            <v>ALTAMAR</v>
          </cell>
          <cell r="I5041">
            <v>11.2</v>
          </cell>
        </row>
        <row r="5042">
          <cell r="A5042" t="str">
            <v>19-05041</v>
          </cell>
          <cell r="B5042" t="str">
            <v>ORKHON GROUP</v>
          </cell>
          <cell r="C5042" t="str">
            <v>A</v>
          </cell>
          <cell r="D5042" t="str">
            <v>N/A</v>
          </cell>
          <cell r="E5042" t="str">
            <v>A1603-67  ALTAMAR COLLAR</v>
          </cell>
          <cell r="F5042" t="str">
            <v>COLLAR</v>
          </cell>
          <cell r="G5042" t="str">
            <v>A007728</v>
          </cell>
          <cell r="H5042" t="str">
            <v>ALTAMAR</v>
          </cell>
          <cell r="I5042">
            <v>0</v>
          </cell>
        </row>
        <row r="5043">
          <cell r="A5043" t="str">
            <v>19-05042</v>
          </cell>
          <cell r="B5043" t="str">
            <v>ORKHON GROUP</v>
          </cell>
          <cell r="C5043" t="str">
            <v>A</v>
          </cell>
          <cell r="D5043" t="str">
            <v>N/A</v>
          </cell>
          <cell r="E5043" t="str">
            <v>A1603-71  ALTAMAR COLLAR</v>
          </cell>
          <cell r="F5043" t="str">
            <v>COLLAR</v>
          </cell>
          <cell r="G5043" t="str">
            <v>A007729</v>
          </cell>
          <cell r="H5043" t="str">
            <v>ALTAMAR</v>
          </cell>
          <cell r="I5043">
            <v>0</v>
          </cell>
        </row>
        <row r="5044">
          <cell r="A5044" t="str">
            <v>19-05043</v>
          </cell>
          <cell r="B5044" t="str">
            <v>ORKHON GROUP</v>
          </cell>
          <cell r="C5044" t="str">
            <v>A</v>
          </cell>
          <cell r="D5044" t="str">
            <v>N/A</v>
          </cell>
          <cell r="E5044" t="str">
            <v>A1603-74  ALTAMAR COLLAR</v>
          </cell>
          <cell r="F5044" t="str">
            <v>COLLAR</v>
          </cell>
          <cell r="G5044" t="str">
            <v>A007730</v>
          </cell>
          <cell r="H5044" t="str">
            <v>ALTAMAR</v>
          </cell>
          <cell r="I5044">
            <v>9.3000000000000007</v>
          </cell>
        </row>
        <row r="5045">
          <cell r="A5045" t="str">
            <v>19-05044</v>
          </cell>
          <cell r="B5045" t="str">
            <v>ORKHON GROUP</v>
          </cell>
          <cell r="C5045" t="str">
            <v>A</v>
          </cell>
          <cell r="D5045" t="str">
            <v>N/A</v>
          </cell>
          <cell r="E5045" t="str">
            <v>A1603-75  ALTAMAR COLLAR</v>
          </cell>
          <cell r="F5045" t="str">
            <v>COLLAR</v>
          </cell>
          <cell r="G5045" t="str">
            <v>A007731</v>
          </cell>
          <cell r="H5045" t="str">
            <v>ALTAMAR</v>
          </cell>
          <cell r="I5045">
            <v>9.9</v>
          </cell>
        </row>
        <row r="5046">
          <cell r="A5046" t="str">
            <v>19-05045</v>
          </cell>
          <cell r="B5046" t="str">
            <v>ORKHON GROUP</v>
          </cell>
          <cell r="C5046" t="str">
            <v>A</v>
          </cell>
          <cell r="D5046" t="str">
            <v>N/A</v>
          </cell>
          <cell r="E5046" t="str">
            <v>A1603-76  ALTAMAR COLLAR</v>
          </cell>
          <cell r="F5046" t="str">
            <v>COLLAR</v>
          </cell>
          <cell r="G5046" t="str">
            <v>A007732</v>
          </cell>
          <cell r="H5046" t="str">
            <v>ALTAMAR</v>
          </cell>
          <cell r="I5046">
            <v>9.9</v>
          </cell>
        </row>
        <row r="5047">
          <cell r="A5047" t="str">
            <v>19-05046</v>
          </cell>
          <cell r="B5047" t="str">
            <v>ORKHON GROUP</v>
          </cell>
          <cell r="C5047" t="str">
            <v>A</v>
          </cell>
          <cell r="D5047" t="str">
            <v>N/A</v>
          </cell>
          <cell r="E5047" t="str">
            <v>A1603-78  ALTAMAR COLLAR</v>
          </cell>
          <cell r="F5047" t="str">
            <v>COLLAR</v>
          </cell>
          <cell r="G5047" t="str">
            <v>A007733</v>
          </cell>
          <cell r="H5047" t="str">
            <v>ALTAMAR</v>
          </cell>
          <cell r="I5047">
            <v>9.9</v>
          </cell>
        </row>
        <row r="5048">
          <cell r="A5048" t="str">
            <v>19-05047</v>
          </cell>
          <cell r="B5048" t="str">
            <v>ORKHON GROUP</v>
          </cell>
          <cell r="C5048" t="str">
            <v>A</v>
          </cell>
          <cell r="D5048" t="str">
            <v>N/A</v>
          </cell>
          <cell r="E5048" t="str">
            <v>A1603-91  ALTAMAR COLLAR</v>
          </cell>
          <cell r="F5048" t="str">
            <v>COLLAR</v>
          </cell>
          <cell r="G5048" t="str">
            <v>A007734</v>
          </cell>
          <cell r="H5048" t="str">
            <v>ALTAMAR</v>
          </cell>
          <cell r="I5048">
            <v>10.199999999999999</v>
          </cell>
        </row>
        <row r="5049">
          <cell r="A5049" t="str">
            <v>19-05048</v>
          </cell>
          <cell r="B5049" t="str">
            <v>ORKHON GROUP</v>
          </cell>
          <cell r="C5049" t="str">
            <v>D</v>
          </cell>
          <cell r="D5049" t="str">
            <v>N/A</v>
          </cell>
          <cell r="E5049" t="str">
            <v>A1603-92 ALTAMAR ARETES</v>
          </cell>
          <cell r="F5049" t="str">
            <v>PENDIENTE</v>
          </cell>
          <cell r="G5049" t="str">
            <v>A007735</v>
          </cell>
          <cell r="H5049" t="str">
            <v>ALTAMAR</v>
          </cell>
          <cell r="I5049">
            <v>0</v>
          </cell>
        </row>
        <row r="5050">
          <cell r="A5050" t="str">
            <v>19-05049</v>
          </cell>
          <cell r="B5050" t="str">
            <v>ORKHON GROUP</v>
          </cell>
          <cell r="C5050" t="str">
            <v>A</v>
          </cell>
          <cell r="D5050" t="str">
            <v>N/A</v>
          </cell>
          <cell r="E5050" t="str">
            <v>A1603-92  ALTAMAR ARETES SURTIDOS</v>
          </cell>
          <cell r="F5050" t="str">
            <v>PENDIENTE</v>
          </cell>
          <cell r="G5050" t="str">
            <v>A007735</v>
          </cell>
          <cell r="H5050" t="str">
            <v>ALTAMAR</v>
          </cell>
          <cell r="I5050">
            <v>4.7939999999999996</v>
          </cell>
        </row>
        <row r="5051">
          <cell r="A5051" t="str">
            <v>19-05050</v>
          </cell>
          <cell r="B5051" t="str">
            <v>ORKHON GROUP</v>
          </cell>
          <cell r="C5051" t="str">
            <v>A</v>
          </cell>
          <cell r="D5051" t="str">
            <v>N/A</v>
          </cell>
          <cell r="E5051" t="str">
            <v>A1603-93 ALTAMAR ARETES SURTIDOS</v>
          </cell>
          <cell r="F5051" t="str">
            <v>PENDIENTE</v>
          </cell>
          <cell r="G5051" t="str">
            <v>A007736</v>
          </cell>
          <cell r="H5051" t="str">
            <v>ALTAMAR</v>
          </cell>
          <cell r="I5051">
            <v>4.7939999999999996</v>
          </cell>
        </row>
        <row r="5052">
          <cell r="A5052" t="str">
            <v>19-05051</v>
          </cell>
          <cell r="B5052" t="str">
            <v>ORKHON GROUP</v>
          </cell>
          <cell r="C5052" t="str">
            <v>A</v>
          </cell>
          <cell r="D5052" t="str">
            <v>N/A</v>
          </cell>
          <cell r="E5052" t="str">
            <v>A1603-94  ALTAMAR ARETES SURTIDOS</v>
          </cell>
          <cell r="F5052" t="str">
            <v>PENDIENTE</v>
          </cell>
          <cell r="G5052" t="str">
            <v>A007737</v>
          </cell>
          <cell r="H5052" t="str">
            <v>ALTAMAR</v>
          </cell>
          <cell r="I5052">
            <v>3.948</v>
          </cell>
        </row>
        <row r="5053">
          <cell r="A5053" t="str">
            <v>19-05052</v>
          </cell>
          <cell r="B5053" t="str">
            <v>ORKHON GROUP</v>
          </cell>
          <cell r="C5053" t="str">
            <v>A</v>
          </cell>
          <cell r="D5053" t="str">
            <v>N/A</v>
          </cell>
          <cell r="E5053" t="str">
            <v>A1603-95  ALTAMAR ARETES SURTIDOS</v>
          </cell>
          <cell r="F5053" t="str">
            <v>PENDIENTE</v>
          </cell>
          <cell r="G5053" t="str">
            <v>A007738</v>
          </cell>
          <cell r="H5053" t="str">
            <v>ALTAMAR</v>
          </cell>
          <cell r="I5053">
            <v>3.948</v>
          </cell>
        </row>
        <row r="5054">
          <cell r="A5054" t="str">
            <v>19-05053</v>
          </cell>
          <cell r="B5054" t="str">
            <v>ORKHON GROUP</v>
          </cell>
          <cell r="C5054" t="str">
            <v>A</v>
          </cell>
          <cell r="D5054" t="str">
            <v>N/A</v>
          </cell>
          <cell r="E5054" t="str">
            <v>A1603-96  ALTAMAR ARETES SURTIDOS</v>
          </cell>
          <cell r="F5054" t="str">
            <v>PENDIENTE</v>
          </cell>
          <cell r="G5054" t="str">
            <v>A007739</v>
          </cell>
          <cell r="H5054" t="str">
            <v>ALTAMAR</v>
          </cell>
          <cell r="I5054">
            <v>3.948</v>
          </cell>
        </row>
        <row r="5055">
          <cell r="A5055" t="str">
            <v>19-05054</v>
          </cell>
          <cell r="B5055" t="str">
            <v>ORKHON GROUP</v>
          </cell>
          <cell r="C5055" t="str">
            <v>A</v>
          </cell>
          <cell r="D5055" t="str">
            <v>N/A</v>
          </cell>
          <cell r="E5055" t="str">
            <v>A1603-97 ALTAMAR ARETES SURTIDOS</v>
          </cell>
          <cell r="F5055" t="str">
            <v>PENDIENTE</v>
          </cell>
          <cell r="G5055" t="str">
            <v>A007740</v>
          </cell>
          <cell r="H5055" t="str">
            <v>ALTAMAR</v>
          </cell>
          <cell r="I5055">
            <v>3.8540000000000001</v>
          </cell>
        </row>
        <row r="5056">
          <cell r="A5056" t="str">
            <v>19-05055</v>
          </cell>
          <cell r="B5056" t="str">
            <v>ORKHON GROUP</v>
          </cell>
          <cell r="C5056" t="str">
            <v>A</v>
          </cell>
          <cell r="D5056" t="str">
            <v>N/A</v>
          </cell>
          <cell r="E5056" t="str">
            <v>A1603-98  ALTAMAR ARETES SURTIDOS</v>
          </cell>
          <cell r="F5056" t="str">
            <v>PENDIENTE</v>
          </cell>
          <cell r="G5056" t="str">
            <v>A007741</v>
          </cell>
          <cell r="H5056" t="str">
            <v>ALTAMAR</v>
          </cell>
          <cell r="I5056">
            <v>3.8540000000000001</v>
          </cell>
        </row>
        <row r="5057">
          <cell r="A5057" t="str">
            <v>19-05056</v>
          </cell>
          <cell r="B5057" t="str">
            <v>ORKHON GROUP</v>
          </cell>
          <cell r="C5057" t="str">
            <v>A</v>
          </cell>
          <cell r="D5057" t="str">
            <v>N/A</v>
          </cell>
          <cell r="E5057" t="str">
            <v>A1603-100  ALTAMAR ARETES SURTIDOS</v>
          </cell>
          <cell r="F5057" t="str">
            <v>PENDIENTE</v>
          </cell>
          <cell r="G5057" t="str">
            <v>A007743</v>
          </cell>
          <cell r="H5057" t="str">
            <v>ALTAMAR</v>
          </cell>
          <cell r="I5057">
            <v>5.2640000000000002</v>
          </cell>
        </row>
        <row r="5058">
          <cell r="A5058" t="str">
            <v>19-05057</v>
          </cell>
          <cell r="B5058" t="str">
            <v>ORKHON GROUP</v>
          </cell>
          <cell r="C5058" t="str">
            <v>A</v>
          </cell>
          <cell r="D5058" t="str">
            <v>N/A</v>
          </cell>
          <cell r="E5058" t="str">
            <v>A1603-101 ALTAMAR ARETES</v>
          </cell>
          <cell r="F5058" t="str">
            <v>PENDIENTE</v>
          </cell>
          <cell r="G5058" t="str">
            <v>A007744</v>
          </cell>
          <cell r="H5058" t="str">
            <v>ALTAMAR</v>
          </cell>
          <cell r="I5058">
            <v>5.64</v>
          </cell>
        </row>
        <row r="5059">
          <cell r="A5059" t="str">
            <v>19-05058</v>
          </cell>
          <cell r="B5059" t="str">
            <v>ORKHON GROUP</v>
          </cell>
          <cell r="C5059" t="str">
            <v>A</v>
          </cell>
          <cell r="D5059" t="str">
            <v>N/A</v>
          </cell>
          <cell r="E5059" t="str">
            <v>A1603-21 ALTAMAR PULSERA CLOE</v>
          </cell>
          <cell r="F5059" t="str">
            <v>BRAZALETE</v>
          </cell>
          <cell r="G5059" t="str">
            <v>A007703</v>
          </cell>
          <cell r="H5059" t="str">
            <v>ALTAMAR</v>
          </cell>
          <cell r="I5059">
            <v>5.5460000000000003</v>
          </cell>
        </row>
        <row r="5060">
          <cell r="A5060" t="str">
            <v>19-05059</v>
          </cell>
          <cell r="B5060" t="str">
            <v>ORKHON GROUP</v>
          </cell>
          <cell r="C5060" t="str">
            <v>A</v>
          </cell>
          <cell r="D5060" t="str">
            <v>N/A</v>
          </cell>
          <cell r="E5060" t="str">
            <v>A1603-22 ALTAMAR PULSERA CLOE</v>
          </cell>
          <cell r="F5060" t="str">
            <v>BRAZALETE</v>
          </cell>
          <cell r="G5060" t="str">
            <v>A007704</v>
          </cell>
          <cell r="H5060" t="str">
            <v>ALTAMAR</v>
          </cell>
          <cell r="I5060">
            <v>3</v>
          </cell>
        </row>
        <row r="5061">
          <cell r="A5061" t="str">
            <v>19-05060</v>
          </cell>
          <cell r="B5061" t="str">
            <v>ORKHON GROUP</v>
          </cell>
          <cell r="C5061" t="str">
            <v>A</v>
          </cell>
          <cell r="D5061" t="str">
            <v>N/A</v>
          </cell>
          <cell r="E5061" t="str">
            <v>A1603-23 ALTAMAR PULSERA CLOE</v>
          </cell>
          <cell r="F5061" t="str">
            <v>BRAZALETE</v>
          </cell>
          <cell r="G5061" t="str">
            <v>A007705</v>
          </cell>
          <cell r="H5061" t="str">
            <v>ALTAMAR</v>
          </cell>
          <cell r="I5061">
            <v>4</v>
          </cell>
        </row>
        <row r="5062">
          <cell r="A5062" t="str">
            <v>19-05061</v>
          </cell>
          <cell r="B5062" t="str">
            <v>ORKHON GROUP</v>
          </cell>
          <cell r="C5062" t="str">
            <v>A</v>
          </cell>
          <cell r="D5062" t="str">
            <v>N/A</v>
          </cell>
          <cell r="E5062" t="str">
            <v>A1603-26 ALTAMAR PULSERA CLOE</v>
          </cell>
          <cell r="F5062" t="str">
            <v>BRAZALETE</v>
          </cell>
          <cell r="G5062" t="str">
            <v>A007708</v>
          </cell>
          <cell r="H5062" t="str">
            <v>ALTAMAR</v>
          </cell>
          <cell r="I5062">
            <v>4.7</v>
          </cell>
        </row>
        <row r="5063">
          <cell r="A5063" t="str">
            <v>19-05062</v>
          </cell>
          <cell r="B5063" t="str">
            <v>ORKHON GROUP</v>
          </cell>
          <cell r="C5063" t="str">
            <v>A</v>
          </cell>
          <cell r="D5063" t="str">
            <v>N/A</v>
          </cell>
          <cell r="E5063" t="str">
            <v>A1603-27 ALTAMAR PULSERA CLOE</v>
          </cell>
          <cell r="F5063" t="str">
            <v>BRAZALETE</v>
          </cell>
          <cell r="G5063" t="str">
            <v>A007709</v>
          </cell>
          <cell r="H5063" t="str">
            <v>ALTAMAR</v>
          </cell>
          <cell r="I5063">
            <v>5.2359999999999998</v>
          </cell>
        </row>
        <row r="5064">
          <cell r="A5064" t="str">
            <v>19-05063</v>
          </cell>
          <cell r="B5064" t="str">
            <v>ORKHON GROUP</v>
          </cell>
          <cell r="C5064" t="str">
            <v>A</v>
          </cell>
          <cell r="D5064" t="str">
            <v>N/A</v>
          </cell>
          <cell r="E5064" t="str">
            <v>A1603-102 ALTAMAR  PULSERA CLOE LUXURY</v>
          </cell>
          <cell r="F5064" t="str">
            <v>BRAZALETE</v>
          </cell>
          <cell r="G5064" t="str">
            <v>A007745</v>
          </cell>
          <cell r="H5064" t="str">
            <v>ALTAMAR</v>
          </cell>
          <cell r="I5064">
            <v>4.0419999999999998</v>
          </cell>
        </row>
        <row r="5065">
          <cell r="A5065" t="str">
            <v>19-05064</v>
          </cell>
          <cell r="B5065" t="str">
            <v>ORKHON GROUP</v>
          </cell>
          <cell r="C5065" t="str">
            <v>A</v>
          </cell>
          <cell r="D5065" t="str">
            <v>N/A</v>
          </cell>
          <cell r="E5065" t="str">
            <v>A1603-103 ALTAMAR PULSERA CLOE LUXURY</v>
          </cell>
          <cell r="F5065" t="str">
            <v>BRAZALETE</v>
          </cell>
          <cell r="G5065" t="str">
            <v>A007746</v>
          </cell>
          <cell r="H5065" t="str">
            <v>ALTAMAR</v>
          </cell>
          <cell r="I5065">
            <v>6.298</v>
          </cell>
        </row>
        <row r="5066">
          <cell r="A5066" t="str">
            <v>19-05065</v>
          </cell>
          <cell r="B5066" t="str">
            <v>ORKHON GROUP</v>
          </cell>
          <cell r="C5066" t="str">
            <v>A</v>
          </cell>
          <cell r="D5066" t="str">
            <v>N/A</v>
          </cell>
          <cell r="E5066" t="str">
            <v>A1603-01 ALTAMAR PULSERA FASHION</v>
          </cell>
          <cell r="F5066" t="str">
            <v>BRAZALETE</v>
          </cell>
          <cell r="G5066" t="str">
            <v>A007683</v>
          </cell>
          <cell r="H5066" t="str">
            <v>ALTAMAR</v>
          </cell>
          <cell r="I5066">
            <v>7.4</v>
          </cell>
        </row>
        <row r="5067">
          <cell r="A5067" t="str">
            <v>19-05066</v>
          </cell>
          <cell r="B5067" t="str">
            <v>ORKHON GROUP</v>
          </cell>
          <cell r="C5067" t="str">
            <v>A</v>
          </cell>
          <cell r="D5067" t="str">
            <v>N/A</v>
          </cell>
          <cell r="E5067" t="str">
            <v>A1603-03 ALTAMAR PULSERA FASHION</v>
          </cell>
          <cell r="F5067" t="str">
            <v>BRAZALETE</v>
          </cell>
          <cell r="G5067" t="str">
            <v>A007685</v>
          </cell>
          <cell r="H5067" t="str">
            <v>ALTAMAR</v>
          </cell>
          <cell r="I5067">
            <v>0</v>
          </cell>
        </row>
        <row r="5068">
          <cell r="A5068" t="str">
            <v>19-05067</v>
          </cell>
          <cell r="B5068" t="str">
            <v>ORKHON GROUP</v>
          </cell>
          <cell r="C5068" t="str">
            <v>A</v>
          </cell>
          <cell r="D5068" t="str">
            <v>N/A</v>
          </cell>
          <cell r="E5068" t="str">
            <v>A1603-04 ALTAMAR PULSERA FASHION</v>
          </cell>
          <cell r="F5068" t="str">
            <v>BRAZALETE</v>
          </cell>
          <cell r="G5068" t="str">
            <v>A007686</v>
          </cell>
          <cell r="H5068" t="str">
            <v>ALTAMAR</v>
          </cell>
          <cell r="I5068">
            <v>13.3</v>
          </cell>
        </row>
        <row r="5069">
          <cell r="A5069" t="str">
            <v>19-05068</v>
          </cell>
          <cell r="B5069" t="str">
            <v>ORKHON GROUP</v>
          </cell>
          <cell r="C5069" t="str">
            <v>A</v>
          </cell>
          <cell r="D5069" t="str">
            <v>N/A</v>
          </cell>
          <cell r="E5069" t="str">
            <v>A1603-05 ALTAMAR PULSERA FASHION</v>
          </cell>
          <cell r="F5069" t="str">
            <v>BRAZALETE</v>
          </cell>
          <cell r="G5069" t="str">
            <v>A007687</v>
          </cell>
          <cell r="H5069" t="str">
            <v>ALTAMAR</v>
          </cell>
          <cell r="I5069">
            <v>5.8</v>
          </cell>
        </row>
        <row r="5070">
          <cell r="A5070" t="str">
            <v>19-05069</v>
          </cell>
          <cell r="B5070" t="str">
            <v>ORKHON GROUP</v>
          </cell>
          <cell r="C5070" t="str">
            <v>A</v>
          </cell>
          <cell r="D5070" t="str">
            <v>N/A</v>
          </cell>
          <cell r="E5070" t="str">
            <v>A1603-06 ALTAMAR PULSERA FASHION</v>
          </cell>
          <cell r="F5070" t="str">
            <v>BRAZALETE</v>
          </cell>
          <cell r="G5070" t="str">
            <v>A007688</v>
          </cell>
          <cell r="H5070" t="str">
            <v>ALTAMAR</v>
          </cell>
          <cell r="I5070">
            <v>12.7</v>
          </cell>
        </row>
        <row r="5071">
          <cell r="A5071" t="str">
            <v>19-05070</v>
          </cell>
          <cell r="B5071" t="str">
            <v>ORKHON GROUP</v>
          </cell>
          <cell r="C5071" t="str">
            <v>A</v>
          </cell>
          <cell r="D5071" t="str">
            <v>N/A</v>
          </cell>
          <cell r="E5071" t="str">
            <v>A1603-07 ALTAMAR PULSERA FASHION</v>
          </cell>
          <cell r="F5071" t="str">
            <v>BRAZALETE</v>
          </cell>
          <cell r="G5071" t="str">
            <v>A007689</v>
          </cell>
          <cell r="H5071" t="str">
            <v>ALTAMAR</v>
          </cell>
          <cell r="I5071">
            <v>6.4</v>
          </cell>
        </row>
        <row r="5072">
          <cell r="A5072" t="str">
            <v>19-05071</v>
          </cell>
          <cell r="B5072" t="str">
            <v>ORKHON GROUP</v>
          </cell>
          <cell r="C5072" t="str">
            <v>A</v>
          </cell>
          <cell r="D5072" t="str">
            <v>N/A</v>
          </cell>
          <cell r="E5072" t="str">
            <v>A1603-08 ALTAMAR PULSERA FASHION</v>
          </cell>
          <cell r="F5072" t="str">
            <v>BRAZALETE</v>
          </cell>
          <cell r="G5072" t="str">
            <v>A007690</v>
          </cell>
          <cell r="H5072" t="str">
            <v>ALTAMAR</v>
          </cell>
          <cell r="I5072">
            <v>10</v>
          </cell>
        </row>
        <row r="5073">
          <cell r="A5073" t="str">
            <v>19-05072</v>
          </cell>
          <cell r="B5073" t="str">
            <v>ORKHON GROUP</v>
          </cell>
          <cell r="C5073" t="str">
            <v>A</v>
          </cell>
          <cell r="D5073" t="str">
            <v>N/A</v>
          </cell>
          <cell r="E5073" t="str">
            <v>A1603-09 ALTAMAR PULSERA FASHION</v>
          </cell>
          <cell r="F5073" t="str">
            <v>BRAZALETE</v>
          </cell>
          <cell r="G5073" t="str">
            <v>A007691</v>
          </cell>
          <cell r="H5073" t="str">
            <v>ALTAMAR</v>
          </cell>
          <cell r="I5073">
            <v>7.6</v>
          </cell>
        </row>
        <row r="5074">
          <cell r="A5074" t="str">
            <v>19-05073</v>
          </cell>
          <cell r="B5074" t="str">
            <v>ORKHON GROUP</v>
          </cell>
          <cell r="C5074" t="str">
            <v>A</v>
          </cell>
          <cell r="D5074" t="str">
            <v>N/A</v>
          </cell>
          <cell r="E5074" t="str">
            <v>A1603-10 ALTAMAR PULSERA FASHION</v>
          </cell>
          <cell r="F5074" t="str">
            <v>BRAZALETE</v>
          </cell>
          <cell r="G5074" t="str">
            <v>A007692</v>
          </cell>
          <cell r="H5074" t="str">
            <v>ALTAMAR</v>
          </cell>
          <cell r="I5074">
            <v>10.4</v>
          </cell>
        </row>
        <row r="5075">
          <cell r="A5075" t="str">
            <v>19-05074</v>
          </cell>
          <cell r="B5075" t="str">
            <v>ORKHON GROUP</v>
          </cell>
          <cell r="C5075" t="str">
            <v>A</v>
          </cell>
          <cell r="D5075" t="str">
            <v>N/A</v>
          </cell>
          <cell r="E5075" t="str">
            <v>A1603-12 ALTAMAR PULSERA FASHION</v>
          </cell>
          <cell r="F5075" t="str">
            <v>BRAZALETE</v>
          </cell>
          <cell r="G5075" t="str">
            <v>A007694</v>
          </cell>
          <cell r="H5075" t="str">
            <v>ALTAMAR</v>
          </cell>
          <cell r="I5075">
            <v>3.8</v>
          </cell>
        </row>
        <row r="5076">
          <cell r="A5076" t="str">
            <v>19-05075</v>
          </cell>
          <cell r="B5076" t="str">
            <v>ORKHON GROUP</v>
          </cell>
          <cell r="C5076" t="str">
            <v>A</v>
          </cell>
          <cell r="D5076" t="str">
            <v>N/A</v>
          </cell>
          <cell r="E5076" t="str">
            <v>A1603-13 ALTAMAR PULSERA FASHION</v>
          </cell>
          <cell r="F5076" t="str">
            <v>BRAZALETE</v>
          </cell>
          <cell r="G5076" t="str">
            <v>A007695</v>
          </cell>
          <cell r="H5076" t="str">
            <v>ALTAMAR</v>
          </cell>
          <cell r="I5076">
            <v>4.5999999999999996</v>
          </cell>
        </row>
        <row r="5077">
          <cell r="A5077" t="str">
            <v>19-05076</v>
          </cell>
          <cell r="B5077" t="str">
            <v>ORKHON GROUP</v>
          </cell>
          <cell r="C5077" t="str">
            <v>A</v>
          </cell>
          <cell r="D5077" t="str">
            <v>N/A</v>
          </cell>
          <cell r="E5077" t="str">
            <v>A1603-14 ALTAMAR PULSERA FASHION</v>
          </cell>
          <cell r="F5077" t="str">
            <v>BRAZALETE</v>
          </cell>
          <cell r="G5077" t="str">
            <v>A007696</v>
          </cell>
          <cell r="H5077" t="str">
            <v>ALTAMAR</v>
          </cell>
          <cell r="I5077">
            <v>4.5999999999999996</v>
          </cell>
        </row>
        <row r="5078">
          <cell r="A5078" t="str">
            <v>19-05077</v>
          </cell>
          <cell r="B5078" t="str">
            <v>ORKHON GROUP</v>
          </cell>
          <cell r="C5078" t="str">
            <v>A</v>
          </cell>
          <cell r="D5078" t="str">
            <v>N/A</v>
          </cell>
          <cell r="E5078" t="str">
            <v>A1603-15 ALTAMAR PULSERA FASHION</v>
          </cell>
          <cell r="F5078" t="str">
            <v>BRAZALETE</v>
          </cell>
          <cell r="G5078" t="str">
            <v>A007697</v>
          </cell>
          <cell r="H5078" t="str">
            <v>ALTAMAR</v>
          </cell>
          <cell r="I5078">
            <v>4.5999999999999996</v>
          </cell>
        </row>
        <row r="5079">
          <cell r="A5079" t="str">
            <v>19-05078</v>
          </cell>
          <cell r="B5079" t="str">
            <v>ORKHON GROUP</v>
          </cell>
          <cell r="C5079" t="str">
            <v>A</v>
          </cell>
          <cell r="D5079" t="str">
            <v>N/A</v>
          </cell>
          <cell r="E5079" t="str">
            <v>A1603-16 ALTAMAR PULSERA FASHION</v>
          </cell>
          <cell r="F5079" t="str">
            <v>BRAZALETE</v>
          </cell>
          <cell r="G5079" t="str">
            <v>A007698</v>
          </cell>
          <cell r="H5079" t="str">
            <v>ALTAMAR</v>
          </cell>
          <cell r="I5079">
            <v>3.8</v>
          </cell>
        </row>
        <row r="5080">
          <cell r="A5080" t="str">
            <v>19-05079</v>
          </cell>
          <cell r="B5080" t="str">
            <v>ORKHON GROUP</v>
          </cell>
          <cell r="C5080" t="str">
            <v>A</v>
          </cell>
          <cell r="D5080" t="str">
            <v>N/A</v>
          </cell>
          <cell r="E5080" t="str">
            <v>A1603-17 ALTAMAR PULSERA FASHION</v>
          </cell>
          <cell r="F5080" t="str">
            <v>BRAZALETE</v>
          </cell>
          <cell r="G5080" t="str">
            <v>A007699</v>
          </cell>
          <cell r="H5080" t="str">
            <v>ALTAMAR</v>
          </cell>
          <cell r="I5080">
            <v>0</v>
          </cell>
        </row>
        <row r="5081">
          <cell r="A5081" t="str">
            <v>19-05080</v>
          </cell>
          <cell r="B5081" t="str">
            <v>ORKHON GROUP</v>
          </cell>
          <cell r="C5081" t="str">
            <v>A</v>
          </cell>
          <cell r="D5081" t="str">
            <v>N/A</v>
          </cell>
          <cell r="E5081" t="str">
            <v>A1603-19 ALTAMAR PULSERA FASHION</v>
          </cell>
          <cell r="F5081" t="str">
            <v>BRAZALETE</v>
          </cell>
          <cell r="G5081" t="str">
            <v>A007701</v>
          </cell>
          <cell r="H5081" t="str">
            <v>ALTAMAR</v>
          </cell>
          <cell r="I5081">
            <v>6.9</v>
          </cell>
        </row>
        <row r="5082">
          <cell r="A5082" t="str">
            <v>19-05081</v>
          </cell>
          <cell r="B5082" t="str">
            <v>ORKHON GROUP</v>
          </cell>
          <cell r="C5082" t="str">
            <v>A</v>
          </cell>
          <cell r="D5082" t="str">
            <v>N/A</v>
          </cell>
          <cell r="E5082" t="str">
            <v>A1603-20 ALTAMAR PULSERA FASHION</v>
          </cell>
          <cell r="F5082" t="str">
            <v>BRAZALETE</v>
          </cell>
          <cell r="G5082" t="str">
            <v>A007702</v>
          </cell>
          <cell r="H5082" t="str">
            <v>ALTAMAR</v>
          </cell>
          <cell r="I5082">
            <v>6.9</v>
          </cell>
        </row>
        <row r="5083">
          <cell r="A5083" t="str">
            <v>19-05082</v>
          </cell>
          <cell r="B5083" t="str">
            <v>ORKHON GROUP</v>
          </cell>
          <cell r="C5083" t="str">
            <v>A</v>
          </cell>
          <cell r="D5083" t="str">
            <v>N/A</v>
          </cell>
          <cell r="E5083" t="str">
            <v>A1603-104 ALTAMAR PULSERA FASHION</v>
          </cell>
          <cell r="F5083" t="str">
            <v>BRAZALETE</v>
          </cell>
          <cell r="G5083" t="str">
            <v>A007747</v>
          </cell>
          <cell r="H5083" t="str">
            <v>ALTAMAR</v>
          </cell>
          <cell r="I5083">
            <v>3.7</v>
          </cell>
        </row>
        <row r="5084">
          <cell r="A5084" t="str">
            <v>19-05083</v>
          </cell>
          <cell r="B5084" t="str">
            <v>ORKHON GROUP</v>
          </cell>
          <cell r="C5084" t="str">
            <v>A</v>
          </cell>
          <cell r="D5084" t="str">
            <v>N/A</v>
          </cell>
          <cell r="E5084" t="str">
            <v>S1603-27 ALTAMAR SOMBRERO</v>
          </cell>
          <cell r="F5084" t="str">
            <v>SOMBRERO</v>
          </cell>
          <cell r="G5084" t="str">
            <v>A007679</v>
          </cell>
          <cell r="H5084" t="str">
            <v>ALTAMAR</v>
          </cell>
          <cell r="I5084">
            <v>6.4</v>
          </cell>
        </row>
        <row r="5085">
          <cell r="A5085" t="str">
            <v>19-05084</v>
          </cell>
          <cell r="B5085" t="str">
            <v>ORKHON GROUP</v>
          </cell>
          <cell r="C5085" t="str">
            <v>A</v>
          </cell>
          <cell r="D5085" t="str">
            <v>N/A</v>
          </cell>
          <cell r="E5085" t="str">
            <v>S1603-13 ALTAMAR SOMBRERO</v>
          </cell>
          <cell r="F5085" t="str">
            <v>SOMBRERO</v>
          </cell>
          <cell r="G5085" t="str">
            <v>A007792</v>
          </cell>
          <cell r="H5085" t="str">
            <v>ALTAMAR</v>
          </cell>
          <cell r="I5085">
            <v>5.3</v>
          </cell>
        </row>
        <row r="5086">
          <cell r="A5086" t="str">
            <v>19-05085</v>
          </cell>
          <cell r="B5086" t="str">
            <v>ORKHON GROUP</v>
          </cell>
          <cell r="C5086" t="str">
            <v>A</v>
          </cell>
          <cell r="D5086" t="str">
            <v>N/A</v>
          </cell>
          <cell r="E5086" t="str">
            <v>S1603-15 ALTAMAR SOMBRERO</v>
          </cell>
          <cell r="F5086" t="str">
            <v>SOMBRERO</v>
          </cell>
          <cell r="G5086" t="str">
            <v>A007793</v>
          </cell>
          <cell r="H5086" t="str">
            <v>ALTAMAR</v>
          </cell>
          <cell r="I5086">
            <v>10.6</v>
          </cell>
        </row>
        <row r="5087">
          <cell r="A5087" t="str">
            <v>19-05086</v>
          </cell>
          <cell r="B5087" t="str">
            <v>ORKHON GROUP</v>
          </cell>
          <cell r="C5087" t="str">
            <v>A</v>
          </cell>
          <cell r="D5087" t="str">
            <v>N/A</v>
          </cell>
          <cell r="E5087" t="str">
            <v>S1603-17 ALTAMAR SOMBRERO SURTIDOS</v>
          </cell>
          <cell r="F5087" t="str">
            <v>SOMBRERO</v>
          </cell>
          <cell r="G5087" t="str">
            <v>A007794</v>
          </cell>
          <cell r="H5087" t="str">
            <v>ALTAMAR</v>
          </cell>
          <cell r="I5087">
            <v>9.4</v>
          </cell>
        </row>
        <row r="5088">
          <cell r="A5088" t="str">
            <v>19-05087</v>
          </cell>
          <cell r="B5088" t="str">
            <v>ORKHON GROUP</v>
          </cell>
          <cell r="C5088" t="str">
            <v>A</v>
          </cell>
          <cell r="D5088" t="str">
            <v>N/A</v>
          </cell>
          <cell r="E5088" t="str">
            <v>S1603-26 ALTAMAR SOMBRERO</v>
          </cell>
          <cell r="F5088" t="str">
            <v>SOMBRERO</v>
          </cell>
          <cell r="G5088" t="str">
            <v>A007802</v>
          </cell>
          <cell r="H5088" t="str">
            <v>ALTAMAR</v>
          </cell>
          <cell r="I5088">
            <v>8.8000000000000007</v>
          </cell>
        </row>
        <row r="5089">
          <cell r="A5089" t="str">
            <v>19-05088</v>
          </cell>
          <cell r="B5089" t="str">
            <v>ORKHON GROUP</v>
          </cell>
          <cell r="C5089" t="str">
            <v>A</v>
          </cell>
          <cell r="D5089" t="str">
            <v>N/A</v>
          </cell>
          <cell r="E5089" t="str">
            <v>S1603-28 ALTAMAR SOMBRERO</v>
          </cell>
          <cell r="F5089" t="str">
            <v>SOMBRERO</v>
          </cell>
          <cell r="G5089" t="str">
            <v>A007804</v>
          </cell>
          <cell r="H5089" t="str">
            <v>ALTAMAR</v>
          </cell>
          <cell r="I5089">
            <v>5.6</v>
          </cell>
        </row>
        <row r="5090">
          <cell r="A5090" t="str">
            <v>19-05089</v>
          </cell>
          <cell r="B5090" t="str">
            <v>ORKHON GROUP</v>
          </cell>
          <cell r="C5090" t="str">
            <v>A</v>
          </cell>
          <cell r="D5090" t="str">
            <v>N/A</v>
          </cell>
          <cell r="E5090" t="str">
            <v>S1603-29 ALTAMAR SOMBRERO</v>
          </cell>
          <cell r="F5090" t="str">
            <v>SOMBRERO</v>
          </cell>
          <cell r="G5090" t="str">
            <v>A007805</v>
          </cell>
          <cell r="H5090" t="str">
            <v>ALTAMAR</v>
          </cell>
          <cell r="I5090">
            <v>7.2</v>
          </cell>
        </row>
        <row r="5091">
          <cell r="A5091" t="str">
            <v>19-05090</v>
          </cell>
          <cell r="B5091" t="str">
            <v>ORKHON GROUP</v>
          </cell>
          <cell r="C5091" t="str">
            <v>A</v>
          </cell>
          <cell r="D5091" t="str">
            <v>N/A</v>
          </cell>
          <cell r="E5091" t="str">
            <v>S1603-31 ALTAMAR SOMBRERO</v>
          </cell>
          <cell r="F5091" t="str">
            <v>SOMBRERO</v>
          </cell>
          <cell r="G5091" t="str">
            <v>A007806</v>
          </cell>
          <cell r="H5091" t="str">
            <v>ALTAMAR</v>
          </cell>
          <cell r="I5091">
            <v>5.3</v>
          </cell>
        </row>
        <row r="5092">
          <cell r="A5092" t="str">
            <v>19-05091</v>
          </cell>
          <cell r="B5092" t="str">
            <v>ORKHON GROUP</v>
          </cell>
          <cell r="C5092" t="str">
            <v>A</v>
          </cell>
          <cell r="D5092" t="str">
            <v>N/A</v>
          </cell>
          <cell r="E5092" t="str">
            <v>S1603-36 ALTAMAR SOMBRERO</v>
          </cell>
          <cell r="F5092" t="str">
            <v>SOMBRERO</v>
          </cell>
          <cell r="G5092" t="str">
            <v>A007809</v>
          </cell>
          <cell r="H5092" t="str">
            <v>ALTAMAR</v>
          </cell>
          <cell r="I5092">
            <v>6</v>
          </cell>
        </row>
        <row r="5093">
          <cell r="A5093" t="str">
            <v>19-05092</v>
          </cell>
          <cell r="B5093" t="str">
            <v>ORKHON GROUP</v>
          </cell>
          <cell r="C5093" t="str">
            <v>A</v>
          </cell>
          <cell r="D5093" t="str">
            <v>N/A</v>
          </cell>
          <cell r="E5093" t="str">
            <v>S1603-38 ALTAMAR SOMBRERO</v>
          </cell>
          <cell r="F5093" t="str">
            <v>SOMBRERO</v>
          </cell>
          <cell r="G5093" t="str">
            <v>A007810</v>
          </cell>
          <cell r="H5093" t="str">
            <v>ALTAMAR</v>
          </cell>
          <cell r="I5093">
            <v>6.1</v>
          </cell>
        </row>
        <row r="5094">
          <cell r="A5094" t="str">
            <v>19-05093</v>
          </cell>
          <cell r="B5094" t="str">
            <v>ORKHON GROUP</v>
          </cell>
          <cell r="C5094" t="str">
            <v>A</v>
          </cell>
          <cell r="D5094" t="str">
            <v>N/A</v>
          </cell>
          <cell r="E5094" t="str">
            <v>S1603-39 ALTAMAR SOMBRERO</v>
          </cell>
          <cell r="F5094" t="str">
            <v>SOMBRERO</v>
          </cell>
          <cell r="G5094" t="str">
            <v>A007811</v>
          </cell>
          <cell r="H5094" t="str">
            <v>ALTAMAR</v>
          </cell>
          <cell r="I5094">
            <v>7.5</v>
          </cell>
        </row>
        <row r="5095">
          <cell r="A5095" t="str">
            <v>19-05094</v>
          </cell>
          <cell r="B5095" t="str">
            <v>ORKHON GROUP</v>
          </cell>
          <cell r="C5095" t="str">
            <v>A</v>
          </cell>
          <cell r="D5095" t="str">
            <v>N/A</v>
          </cell>
          <cell r="E5095" t="str">
            <v>S1603-42 ALTAMAR SOMBRERO</v>
          </cell>
          <cell r="F5095" t="str">
            <v>SOMBRERO</v>
          </cell>
          <cell r="G5095" t="str">
            <v>A007812</v>
          </cell>
          <cell r="H5095" t="str">
            <v>ALTAMAR</v>
          </cell>
          <cell r="I5095">
            <v>9.8000000000000007</v>
          </cell>
        </row>
        <row r="5096">
          <cell r="A5096" t="str">
            <v>19-05095</v>
          </cell>
          <cell r="B5096" t="str">
            <v>ORKHON GROUP</v>
          </cell>
          <cell r="C5096" t="str">
            <v>A</v>
          </cell>
          <cell r="D5096" t="str">
            <v>N/A</v>
          </cell>
          <cell r="E5096" t="str">
            <v>S1603-44 ALTAMAR SOMBRERO</v>
          </cell>
          <cell r="F5096" t="str">
            <v>SOMBRERO</v>
          </cell>
          <cell r="G5096" t="str">
            <v>A007814</v>
          </cell>
          <cell r="H5096" t="str">
            <v>ALTAMAR</v>
          </cell>
          <cell r="I5096">
            <v>8.5</v>
          </cell>
        </row>
        <row r="5097">
          <cell r="A5097" t="str">
            <v>19-05096</v>
          </cell>
          <cell r="B5097" t="str">
            <v>ORKHON GROUP</v>
          </cell>
          <cell r="C5097" t="str">
            <v>A</v>
          </cell>
          <cell r="D5097" t="str">
            <v>N/A</v>
          </cell>
          <cell r="E5097" t="str">
            <v>S1603-48 ALTAMAR SOMBRERO</v>
          </cell>
          <cell r="F5097" t="str">
            <v>SOMBRERO</v>
          </cell>
          <cell r="G5097" t="str">
            <v>A007817</v>
          </cell>
          <cell r="H5097" t="str">
            <v>ALTAMAR</v>
          </cell>
          <cell r="I5097">
            <v>10.6</v>
          </cell>
        </row>
        <row r="5098">
          <cell r="A5098" t="str">
            <v>19-05097</v>
          </cell>
          <cell r="B5098" t="str">
            <v>ORKHON GROUP</v>
          </cell>
          <cell r="C5098" t="str">
            <v>A</v>
          </cell>
          <cell r="D5098" t="str">
            <v>N/A</v>
          </cell>
          <cell r="E5098" t="str">
            <v>S1603-49 ALTAMAR SOMBRERO</v>
          </cell>
          <cell r="F5098" t="str">
            <v>SOMBRERO</v>
          </cell>
          <cell r="G5098" t="str">
            <v>A007818</v>
          </cell>
          <cell r="H5098" t="str">
            <v>ALTAMAR</v>
          </cell>
          <cell r="I5098">
            <v>10.5</v>
          </cell>
        </row>
        <row r="5099">
          <cell r="A5099" t="str">
            <v>19-05098</v>
          </cell>
          <cell r="B5099" t="str">
            <v>ORKHON GROUP</v>
          </cell>
          <cell r="C5099" t="str">
            <v>A</v>
          </cell>
          <cell r="D5099" t="str">
            <v>N/A</v>
          </cell>
          <cell r="E5099" t="str">
            <v>S1603-50 ALTAMAR SOMBRERO</v>
          </cell>
          <cell r="F5099" t="str">
            <v>SOMBRERO</v>
          </cell>
          <cell r="G5099" t="str">
            <v>A007819</v>
          </cell>
          <cell r="H5099" t="str">
            <v>ALTAMAR</v>
          </cell>
          <cell r="I5099">
            <v>10.6</v>
          </cell>
        </row>
        <row r="5100">
          <cell r="A5100" t="str">
            <v>19-05099</v>
          </cell>
          <cell r="B5100" t="str">
            <v>ORKHON GROUP</v>
          </cell>
          <cell r="C5100" t="str">
            <v>A</v>
          </cell>
          <cell r="D5100" t="str">
            <v>N/A</v>
          </cell>
          <cell r="E5100" t="str">
            <v>S1603-51 ALTAMAR SOMBRERO</v>
          </cell>
          <cell r="F5100" t="str">
            <v>SOMBRERO</v>
          </cell>
          <cell r="G5100" t="str">
            <v>A007820</v>
          </cell>
          <cell r="H5100" t="str">
            <v>ALTAMAR</v>
          </cell>
          <cell r="I5100">
            <v>10.3</v>
          </cell>
        </row>
        <row r="5101">
          <cell r="A5101" t="str">
            <v>19-05100</v>
          </cell>
          <cell r="B5101" t="str">
            <v>ORKHON GROUP</v>
          </cell>
          <cell r="C5101" t="str">
            <v>A</v>
          </cell>
          <cell r="D5101" t="str">
            <v>N/A</v>
          </cell>
          <cell r="E5101" t="str">
            <v>1603-02 ALTAMAR WATER PROOF GRANDE</v>
          </cell>
          <cell r="F5101" t="str">
            <v>BOLSO</v>
          </cell>
          <cell r="G5101" t="str">
            <v>A007536</v>
          </cell>
          <cell r="H5101" t="str">
            <v>ALTAMAR</v>
          </cell>
          <cell r="I5101">
            <v>0</v>
          </cell>
        </row>
        <row r="5102">
          <cell r="A5102" t="str">
            <v>19-05101</v>
          </cell>
          <cell r="B5102" t="str">
            <v>ORKHON GROUP</v>
          </cell>
          <cell r="C5102" t="str">
            <v>A</v>
          </cell>
          <cell r="D5102" t="str">
            <v>N/A</v>
          </cell>
          <cell r="E5102" t="str">
            <v>1603-01 ALTAMAR WATER PROOF PEQUENO</v>
          </cell>
          <cell r="F5102" t="str">
            <v>BOLSO</v>
          </cell>
          <cell r="G5102" t="str">
            <v>A007537</v>
          </cell>
          <cell r="H5102" t="str">
            <v>ALTAMAR</v>
          </cell>
          <cell r="I5102">
            <v>0</v>
          </cell>
        </row>
        <row r="5103">
          <cell r="A5103" t="str">
            <v>19-05102</v>
          </cell>
          <cell r="B5103" t="str">
            <v>ORKHON GROUP</v>
          </cell>
          <cell r="C5103" t="str">
            <v>A</v>
          </cell>
          <cell r="D5103" t="str">
            <v>N/A</v>
          </cell>
          <cell r="E5103" t="str">
            <v>1603-03 ALTAMAR WATER PROOF MEDIANO</v>
          </cell>
          <cell r="F5103" t="str">
            <v>BOLSO</v>
          </cell>
          <cell r="G5103" t="str">
            <v>A007580</v>
          </cell>
          <cell r="H5103" t="str">
            <v>ALTAMAR</v>
          </cell>
          <cell r="I5103">
            <v>0</v>
          </cell>
        </row>
        <row r="5104">
          <cell r="A5104" t="str">
            <v>19-05103</v>
          </cell>
          <cell r="B5104" t="str">
            <v>ORKHON GROUP</v>
          </cell>
          <cell r="C5104" t="str">
            <v>A</v>
          </cell>
          <cell r="D5104" t="str">
            <v>N/A</v>
          </cell>
          <cell r="E5104" t="str">
            <v>C1603-62 ALTAMAR BOLSO DE PLAYA</v>
          </cell>
          <cell r="F5104" t="str">
            <v>BOLSO</v>
          </cell>
          <cell r="G5104" t="str">
            <v>A007678</v>
          </cell>
          <cell r="H5104" t="str">
            <v>ALTAMAR</v>
          </cell>
          <cell r="I5104">
            <v>10.6</v>
          </cell>
        </row>
        <row r="5105">
          <cell r="A5105" t="str">
            <v>19-05104</v>
          </cell>
          <cell r="B5105" t="str">
            <v>ORKHON GROUP</v>
          </cell>
          <cell r="C5105" t="str">
            <v>A</v>
          </cell>
          <cell r="D5105" t="str">
            <v>N/A</v>
          </cell>
          <cell r="E5105" t="str">
            <v>54 CARTE ALTAMAR RITA HOLLY</v>
          </cell>
          <cell r="F5105" t="str">
            <v>BOLSO</v>
          </cell>
          <cell r="G5105" t="str">
            <v>A007749</v>
          </cell>
          <cell r="H5105" t="str">
            <v>ALTAMAR</v>
          </cell>
          <cell r="I5105">
            <v>6.36</v>
          </cell>
        </row>
        <row r="5106">
          <cell r="A5106" t="str">
            <v>19-05105</v>
          </cell>
          <cell r="B5106" t="str">
            <v>ORKHON GROUP</v>
          </cell>
          <cell r="C5106" t="str">
            <v>A</v>
          </cell>
          <cell r="D5106" t="str">
            <v>N/A</v>
          </cell>
          <cell r="E5106" t="str">
            <v>C1603-55 ALTAMAR CARTERITA HOLLY</v>
          </cell>
          <cell r="F5106" t="str">
            <v>BOLSO</v>
          </cell>
          <cell r="G5106" t="str">
            <v>A007750</v>
          </cell>
          <cell r="H5106" t="str">
            <v>ALTAMAR</v>
          </cell>
          <cell r="I5106">
            <v>6.36</v>
          </cell>
        </row>
        <row r="5107">
          <cell r="A5107" t="str">
            <v>19-05106</v>
          </cell>
          <cell r="B5107" t="str">
            <v>ORKHON GROUP</v>
          </cell>
          <cell r="C5107" t="str">
            <v>A</v>
          </cell>
          <cell r="D5107" t="str">
            <v>N/A</v>
          </cell>
          <cell r="E5107" t="str">
            <v>C1603-57 ALTAMAR CARTERITA HOLLY</v>
          </cell>
          <cell r="F5107" t="str">
            <v>BOLSO</v>
          </cell>
          <cell r="G5107" t="str">
            <v>A007752</v>
          </cell>
          <cell r="H5107" t="str">
            <v>ALTAMAR</v>
          </cell>
          <cell r="I5107">
            <v>6.36</v>
          </cell>
        </row>
        <row r="5108">
          <cell r="A5108" t="str">
            <v>19-05107</v>
          </cell>
          <cell r="B5108" t="str">
            <v>ORKHON GROUP</v>
          </cell>
          <cell r="C5108" t="str">
            <v>A</v>
          </cell>
          <cell r="D5108" t="str">
            <v>N/A</v>
          </cell>
          <cell r="E5108" t="str">
            <v>C1603-34 ALTAMAR CARTERA PEQUENA</v>
          </cell>
          <cell r="F5108" t="str">
            <v>BOLSO</v>
          </cell>
          <cell r="G5108" t="str">
            <v>A007760</v>
          </cell>
          <cell r="H5108" t="str">
            <v>ALTAMAR</v>
          </cell>
          <cell r="I5108">
            <v>23.32</v>
          </cell>
        </row>
        <row r="5109">
          <cell r="A5109" t="str">
            <v>19-05108</v>
          </cell>
          <cell r="B5109" t="str">
            <v>ORKHON GROUP</v>
          </cell>
          <cell r="C5109" t="str">
            <v>A</v>
          </cell>
          <cell r="D5109" t="str">
            <v>N/A</v>
          </cell>
          <cell r="E5109" t="str">
            <v>C1603-51 ALTAMAR BILLETERA</v>
          </cell>
          <cell r="F5109" t="str">
            <v>BILLETERA</v>
          </cell>
          <cell r="G5109" t="str">
            <v>A007767</v>
          </cell>
          <cell r="H5109" t="str">
            <v>ALTAMAR</v>
          </cell>
          <cell r="I5109">
            <v>5.3</v>
          </cell>
        </row>
        <row r="5110">
          <cell r="A5110" t="str">
            <v>19-05109</v>
          </cell>
          <cell r="B5110" t="str">
            <v>ORKHON GROUP</v>
          </cell>
          <cell r="C5110" t="str">
            <v>A</v>
          </cell>
          <cell r="D5110" t="str">
            <v>N/A</v>
          </cell>
          <cell r="E5110" t="str">
            <v>C1603-61 ALTAMAR BOLSO DE PLAYA</v>
          </cell>
          <cell r="F5110" t="str">
            <v>BOLSO</v>
          </cell>
          <cell r="G5110" t="str">
            <v>A007769</v>
          </cell>
          <cell r="H5110" t="str">
            <v>ALTAMAR</v>
          </cell>
          <cell r="I5110">
            <v>10.6</v>
          </cell>
        </row>
        <row r="5111">
          <cell r="A5111" t="str">
            <v>19-05110</v>
          </cell>
          <cell r="B5111" t="str">
            <v>ORKHON GROUP</v>
          </cell>
          <cell r="C5111" t="str">
            <v>A</v>
          </cell>
          <cell r="D5111" t="str">
            <v>N/A</v>
          </cell>
          <cell r="E5111" t="str">
            <v>C1603-69 ALTAMAR BOLSO DE PLAYA</v>
          </cell>
          <cell r="F5111" t="str">
            <v>BOLSO</v>
          </cell>
          <cell r="G5111" t="str">
            <v>A007973</v>
          </cell>
          <cell r="H5111" t="str">
            <v>ALTAMAR</v>
          </cell>
          <cell r="I5111">
            <v>13.78</v>
          </cell>
        </row>
        <row r="5112">
          <cell r="A5112" t="str">
            <v>19-05111</v>
          </cell>
          <cell r="B5112" t="str">
            <v>BOING GLOBAL</v>
          </cell>
          <cell r="C5112" t="str">
            <v>A</v>
          </cell>
          <cell r="D5112" t="str">
            <v>SI</v>
          </cell>
          <cell r="E5112" t="str">
            <v>BOING TOYS NINTENDO 2.5" LIMITED ARTICULATION ASST. W10</v>
          </cell>
          <cell r="F5112" t="str">
            <v>JUGUETES</v>
          </cell>
          <cell r="G5112">
            <v>99809</v>
          </cell>
          <cell r="H5112" t="str">
            <v>BOING TOYS</v>
          </cell>
          <cell r="I5112">
            <v>3.7</v>
          </cell>
        </row>
        <row r="5113">
          <cell r="A5113" t="str">
            <v>19-05112</v>
          </cell>
          <cell r="B5113" t="str">
            <v>BOING GLOBAL</v>
          </cell>
          <cell r="C5113" t="str">
            <v>A</v>
          </cell>
          <cell r="D5113" t="str">
            <v>SI</v>
          </cell>
          <cell r="E5113" t="str">
            <v>BOING TOYS NINTENDO TAPE RACERS WAVE 2</v>
          </cell>
          <cell r="F5113" t="str">
            <v>JUGUETES</v>
          </cell>
          <cell r="G5113">
            <v>45972</v>
          </cell>
          <cell r="H5113" t="str">
            <v>BOING TOYS</v>
          </cell>
          <cell r="I5113">
            <v>6.5</v>
          </cell>
        </row>
        <row r="5114">
          <cell r="A5114" t="str">
            <v>19-05113</v>
          </cell>
          <cell r="B5114" t="str">
            <v>BOING GLOBAL</v>
          </cell>
          <cell r="C5114" t="str">
            <v>A</v>
          </cell>
          <cell r="D5114" t="str">
            <v>SI</v>
          </cell>
          <cell r="E5114" t="str">
            <v>BOING TOYS WORLD OF NINTENDO 4" FIGURES WAVE 7</v>
          </cell>
          <cell r="F5114" t="str">
            <v>JUGUETES</v>
          </cell>
          <cell r="G5114">
            <v>95718</v>
          </cell>
          <cell r="H5114" t="str">
            <v>BOING TOYS</v>
          </cell>
          <cell r="I5114">
            <v>6.5</v>
          </cell>
        </row>
        <row r="5115">
          <cell r="A5115" t="str">
            <v>19-05114</v>
          </cell>
          <cell r="B5115" t="str">
            <v>BOING GLOBAL</v>
          </cell>
          <cell r="C5115" t="str">
            <v>A</v>
          </cell>
          <cell r="D5115" t="str">
            <v>SI</v>
          </cell>
          <cell r="E5115" t="str">
            <v>BOING TOYS PAW PATROL PUP SQUIRTERS</v>
          </cell>
          <cell r="F5115" t="str">
            <v>JUGUETES</v>
          </cell>
          <cell r="G5115">
            <v>6033504</v>
          </cell>
          <cell r="H5115" t="str">
            <v>BOING TOYS</v>
          </cell>
          <cell r="I5115">
            <v>3</v>
          </cell>
        </row>
        <row r="5116">
          <cell r="A5116" t="str">
            <v>19-05115</v>
          </cell>
          <cell r="B5116" t="str">
            <v>BOING GLOBAL</v>
          </cell>
          <cell r="C5116" t="str">
            <v>A</v>
          </cell>
          <cell r="D5116" t="str">
            <v>SI</v>
          </cell>
          <cell r="E5116" t="str">
            <v>BOING TOYS PAW PATROL PUP BUDDIES CDU</v>
          </cell>
          <cell r="F5116" t="str">
            <v>JUGUETES</v>
          </cell>
          <cell r="G5116">
            <v>6023935</v>
          </cell>
          <cell r="H5116" t="str">
            <v>BOING TOYS</v>
          </cell>
          <cell r="I5116">
            <v>3</v>
          </cell>
        </row>
        <row r="5117">
          <cell r="A5117" t="str">
            <v>19-05116</v>
          </cell>
          <cell r="B5117" t="str">
            <v>BOING GLOBAL</v>
          </cell>
          <cell r="C5117" t="str">
            <v>A</v>
          </cell>
          <cell r="D5117" t="str">
            <v>SI</v>
          </cell>
          <cell r="E5117" t="str">
            <v>BOING TOYS PAW PATROL PAW PATROL RESCUE RACERS</v>
          </cell>
          <cell r="F5117" t="str">
            <v>JUGUETES</v>
          </cell>
          <cell r="G5117">
            <v>6022631</v>
          </cell>
          <cell r="H5117" t="str">
            <v>BOING TOYS</v>
          </cell>
          <cell r="I5117">
            <v>3.7</v>
          </cell>
        </row>
        <row r="5118">
          <cell r="A5118" t="str">
            <v>19-05117</v>
          </cell>
          <cell r="B5118" t="str">
            <v>BOING GLOBAL</v>
          </cell>
          <cell r="C5118" t="str">
            <v>A</v>
          </cell>
          <cell r="D5118" t="str">
            <v>SI</v>
          </cell>
          <cell r="E5118" t="str">
            <v>BOING TOYS PAW PATROL ACTION PACK PUPS</v>
          </cell>
          <cell r="F5118" t="str">
            <v>JUGUETES</v>
          </cell>
          <cell r="G5118">
            <v>6022626</v>
          </cell>
          <cell r="H5118" t="str">
            <v>BOING TOYS</v>
          </cell>
          <cell r="I5118">
            <v>5.5</v>
          </cell>
        </row>
        <row r="5119">
          <cell r="A5119" t="str">
            <v>19-05118</v>
          </cell>
          <cell r="B5119" t="str">
            <v>BOING GLOBAL</v>
          </cell>
          <cell r="C5119" t="str">
            <v>A</v>
          </cell>
          <cell r="D5119" t="str">
            <v>SI</v>
          </cell>
          <cell r="E5119" t="str">
            <v>BOING TOYS PAW PATROL HERO PUPS ASST</v>
          </cell>
          <cell r="F5119" t="str">
            <v>JUGUETES</v>
          </cell>
          <cell r="G5119">
            <v>6026592</v>
          </cell>
          <cell r="H5119" t="str">
            <v>BOING TOYS</v>
          </cell>
          <cell r="I5119">
            <v>5.95</v>
          </cell>
        </row>
        <row r="5120">
          <cell r="A5120" t="str">
            <v>19-05119</v>
          </cell>
          <cell r="B5120" t="str">
            <v>BOING GLOBAL</v>
          </cell>
          <cell r="C5120" t="str">
            <v>A</v>
          </cell>
          <cell r="D5120" t="str">
            <v>SI</v>
          </cell>
          <cell r="E5120" t="str">
            <v>BOING TOYS SUPER HERO ACTION PACK PUPS</v>
          </cell>
          <cell r="F5120" t="str">
            <v>JUGUETES</v>
          </cell>
          <cell r="G5120">
            <v>6034190</v>
          </cell>
          <cell r="H5120" t="str">
            <v>BOING TOYS</v>
          </cell>
          <cell r="I5120">
            <v>5.5</v>
          </cell>
        </row>
        <row r="5121">
          <cell r="A5121" t="str">
            <v>19-05120</v>
          </cell>
          <cell r="B5121" t="str">
            <v>BOING GLOBAL</v>
          </cell>
          <cell r="C5121" t="str">
            <v>A</v>
          </cell>
          <cell r="D5121" t="str">
            <v>NO</v>
          </cell>
          <cell r="E5121" t="str">
            <v>BOING TOYS MINI PVC COLLECTIBLE PUPS 6 PACK 1,5INCHES</v>
          </cell>
          <cell r="F5121" t="str">
            <v>JUGUETES</v>
          </cell>
          <cell r="G5121">
            <v>6033274</v>
          </cell>
          <cell r="H5121" t="str">
            <v>BOING TOYS</v>
          </cell>
          <cell r="I5121">
            <v>0</v>
          </cell>
        </row>
        <row r="5122">
          <cell r="A5122" t="str">
            <v>19-05121</v>
          </cell>
          <cell r="B5122" t="str">
            <v>BOING GLOBAL</v>
          </cell>
          <cell r="C5122" t="str">
            <v>A</v>
          </cell>
          <cell r="D5122" t="str">
            <v>NO</v>
          </cell>
          <cell r="E5122" t="str">
            <v>BOING TOYS PAW PATROL BASIC VEHICLE WITH PUP ASSORTED</v>
          </cell>
          <cell r="F5122" t="str">
            <v>JUGUETES</v>
          </cell>
          <cell r="G5122">
            <v>6022627</v>
          </cell>
          <cell r="H5122" t="str">
            <v>BOING TOYS</v>
          </cell>
          <cell r="I5122">
            <v>0</v>
          </cell>
        </row>
        <row r="5123">
          <cell r="A5123" t="str">
            <v>19-05122</v>
          </cell>
          <cell r="B5123" t="str">
            <v>BOING GLOBAL</v>
          </cell>
          <cell r="C5123" t="str">
            <v>A</v>
          </cell>
          <cell r="D5123" t="str">
            <v>SI</v>
          </cell>
          <cell r="E5123" t="str">
            <v>BOING TOYS PAW PATROL JUMBO ACTION PUPS</v>
          </cell>
          <cell r="F5123" t="str">
            <v>JUGUETES</v>
          </cell>
          <cell r="G5123">
            <v>6024273</v>
          </cell>
          <cell r="H5123" t="str">
            <v>BOING TOYS</v>
          </cell>
          <cell r="I5123">
            <v>13</v>
          </cell>
        </row>
        <row r="5124">
          <cell r="A5124" t="str">
            <v>19-05123</v>
          </cell>
          <cell r="B5124" t="str">
            <v>BOING GLOBAL</v>
          </cell>
          <cell r="C5124" t="str">
            <v>A</v>
          </cell>
          <cell r="D5124" t="str">
            <v>NO</v>
          </cell>
          <cell r="E5124" t="str">
            <v>BOING TOYS PAW PATROL FEATURE VEHICLE ASSORTED</v>
          </cell>
          <cell r="F5124" t="str">
            <v>JUGUETES</v>
          </cell>
          <cell r="G5124">
            <v>6032987</v>
          </cell>
          <cell r="H5124" t="str">
            <v>BOING TOYS</v>
          </cell>
          <cell r="I5124">
            <v>0</v>
          </cell>
        </row>
        <row r="5125">
          <cell r="A5125" t="str">
            <v>19-05124</v>
          </cell>
          <cell r="B5125" t="str">
            <v>BOING GLOBAL</v>
          </cell>
          <cell r="C5125" t="str">
            <v>A</v>
          </cell>
          <cell r="D5125" t="str">
            <v>SI</v>
          </cell>
          <cell r="E5125" t="str">
            <v>BOING TOYS SMURFS - 2.25" FIGURE 2PK WAVE 1 - BLISTER</v>
          </cell>
          <cell r="F5125" t="str">
            <v>JUGUETES</v>
          </cell>
          <cell r="G5125">
            <v>96562</v>
          </cell>
          <cell r="H5125" t="str">
            <v>BOING TOYS</v>
          </cell>
          <cell r="I5125">
            <v>4.5999999999999996</v>
          </cell>
        </row>
        <row r="5126">
          <cell r="A5126" t="str">
            <v>19-05125</v>
          </cell>
          <cell r="B5126" t="str">
            <v>BOING GLOBAL</v>
          </cell>
          <cell r="C5126" t="str">
            <v>A</v>
          </cell>
          <cell r="D5126" t="str">
            <v>NO</v>
          </cell>
          <cell r="E5126" t="str">
            <v>BOING TOYS SMURFS MUSHROOM HOUSE PLAYSET ASSORTED WITH FIGURE</v>
          </cell>
          <cell r="F5126" t="str">
            <v>JUGUETES</v>
          </cell>
          <cell r="G5126">
            <v>96570</v>
          </cell>
          <cell r="H5126" t="str">
            <v>BOING TOYS</v>
          </cell>
          <cell r="I5126">
            <v>16.5</v>
          </cell>
        </row>
        <row r="5127">
          <cell r="A5127" t="str">
            <v>19-05126</v>
          </cell>
          <cell r="B5127" t="str">
            <v>BOING GLOBAL</v>
          </cell>
          <cell r="C5127" t="str">
            <v>A</v>
          </cell>
          <cell r="D5127" t="str">
            <v>SI</v>
          </cell>
          <cell r="E5127" t="str">
            <v>BOING TOYS TSUM TSUM 3PK FIGURES ASST. WAVE #4</v>
          </cell>
          <cell r="F5127" t="str">
            <v>JUGUETES</v>
          </cell>
          <cell r="G5127">
            <v>9132</v>
          </cell>
          <cell r="H5127" t="str">
            <v>BOING TOYS</v>
          </cell>
          <cell r="I5127">
            <v>3.7</v>
          </cell>
        </row>
        <row r="5128">
          <cell r="A5128" t="str">
            <v>19-05127</v>
          </cell>
          <cell r="B5128" t="str">
            <v>BOING GLOBAL</v>
          </cell>
          <cell r="C5128" t="str">
            <v>A</v>
          </cell>
          <cell r="D5128" t="str">
            <v>SI</v>
          </cell>
          <cell r="E5128" t="str">
            <v>BOING TOYS TSUM TSUM 3PK FIGURES ASST. WAVE #5</v>
          </cell>
          <cell r="F5128" t="str">
            <v>JUGUETES</v>
          </cell>
          <cell r="G5128">
            <v>9133</v>
          </cell>
          <cell r="H5128" t="str">
            <v>BOING TOYS</v>
          </cell>
          <cell r="I5128">
            <v>3.7</v>
          </cell>
        </row>
        <row r="5129">
          <cell r="A5129" t="str">
            <v>19-05128</v>
          </cell>
          <cell r="B5129" t="str">
            <v>BOING GLOBAL</v>
          </cell>
          <cell r="C5129" t="str">
            <v>A</v>
          </cell>
          <cell r="D5129" t="str">
            <v>SI</v>
          </cell>
          <cell r="E5129" t="str">
            <v>BOING TOYS TSUM TSUM 9PK FIGURES ASST. WAVE #3</v>
          </cell>
          <cell r="F5129" t="str">
            <v>JUGUETES</v>
          </cell>
          <cell r="G5129">
            <v>1677</v>
          </cell>
          <cell r="H5129" t="str">
            <v>BOING TOYS</v>
          </cell>
          <cell r="I5129">
            <v>11.1</v>
          </cell>
        </row>
        <row r="5130">
          <cell r="A5130" t="str">
            <v>19-05129</v>
          </cell>
          <cell r="B5130" t="str">
            <v>BOING GLOBAL</v>
          </cell>
          <cell r="C5130" t="str">
            <v>A</v>
          </cell>
          <cell r="D5130" t="str">
            <v>SI</v>
          </cell>
          <cell r="E5130" t="str">
            <v>BOING TOYS TSUM TSUM 9PK FIGURES ASST. WAVE #4</v>
          </cell>
          <cell r="F5130" t="str">
            <v>JUGUETES</v>
          </cell>
          <cell r="G5130">
            <v>9134</v>
          </cell>
          <cell r="H5130" t="str">
            <v>BOING TOYS</v>
          </cell>
          <cell r="I5130">
            <v>11.1</v>
          </cell>
        </row>
        <row r="5131">
          <cell r="A5131" t="str">
            <v>19-05130</v>
          </cell>
          <cell r="B5131" t="str">
            <v>BOING GLOBAL</v>
          </cell>
          <cell r="C5131" t="str">
            <v>A</v>
          </cell>
          <cell r="D5131" t="str">
            <v>NO</v>
          </cell>
          <cell r="E5131" t="str">
            <v>BOING TOYS LION GUARD COLLECTOR FIGURE SET ASST 2</v>
          </cell>
          <cell r="F5131" t="str">
            <v>JUGUETES</v>
          </cell>
          <cell r="G5131">
            <v>77070</v>
          </cell>
          <cell r="H5131" t="str">
            <v>BOING TOYS</v>
          </cell>
          <cell r="I5131">
            <v>0</v>
          </cell>
        </row>
        <row r="5132">
          <cell r="A5132" t="str">
            <v>19-05131</v>
          </cell>
          <cell r="B5132" t="str">
            <v>BOING GLOBAL</v>
          </cell>
          <cell r="C5132" t="str">
            <v>A</v>
          </cell>
          <cell r="D5132" t="str">
            <v>SI</v>
          </cell>
          <cell r="E5132" t="str">
            <v>BOING TOYS MASHA WITH HER ANINMAL FRIENDS ASSORTED</v>
          </cell>
          <cell r="F5132" t="str">
            <v>JUGUETES</v>
          </cell>
          <cell r="G5132">
            <v>109302117</v>
          </cell>
          <cell r="H5132" t="str">
            <v>BOING TOYS</v>
          </cell>
          <cell r="I5132">
            <v>7.2</v>
          </cell>
        </row>
        <row r="5133">
          <cell r="A5133" t="str">
            <v>19-05132</v>
          </cell>
          <cell r="B5133" t="str">
            <v>BOING GLOBAL</v>
          </cell>
          <cell r="C5133" t="str">
            <v>A</v>
          </cell>
          <cell r="D5133" t="str">
            <v>SI</v>
          </cell>
          <cell r="E5133" t="str">
            <v>BOING TOYS MASHA ORIGINAL TRICYCLE FUN</v>
          </cell>
          <cell r="F5133" t="str">
            <v>JUGUETES</v>
          </cell>
          <cell r="G5133">
            <v>109302059</v>
          </cell>
          <cell r="H5133" t="str">
            <v>BOING TOYS</v>
          </cell>
          <cell r="I5133">
            <v>7</v>
          </cell>
        </row>
        <row r="5134">
          <cell r="A5134" t="str">
            <v>19-05133</v>
          </cell>
          <cell r="B5134" t="str">
            <v>BOING GLOBAL</v>
          </cell>
          <cell r="C5134" t="str">
            <v>A</v>
          </cell>
          <cell r="D5134" t="str">
            <v>SI</v>
          </cell>
          <cell r="E5134" t="str">
            <v>BOING TOYS MASHA´S PLAYGROUND</v>
          </cell>
          <cell r="F5134" t="str">
            <v>JUGUETES</v>
          </cell>
          <cell r="G5134">
            <v>109301816</v>
          </cell>
          <cell r="H5134" t="str">
            <v>BOING TOYS</v>
          </cell>
          <cell r="I5134">
            <v>9.3000000000000007</v>
          </cell>
        </row>
        <row r="5135">
          <cell r="A5135" t="str">
            <v>19-05134</v>
          </cell>
          <cell r="B5135" t="str">
            <v>BOING GLOBAL</v>
          </cell>
          <cell r="C5135" t="str">
            <v>A</v>
          </cell>
          <cell r="D5135" t="str">
            <v>SI</v>
          </cell>
          <cell r="E5135" t="str">
            <v>BOING TOYS MASHA SOFT BODIED DOLL, 23CM</v>
          </cell>
          <cell r="F5135" t="str">
            <v>JUGUETES</v>
          </cell>
          <cell r="G5135">
            <v>109306372</v>
          </cell>
          <cell r="H5135" t="str">
            <v>BOING TOYS</v>
          </cell>
          <cell r="I5135">
            <v>11.8</v>
          </cell>
        </row>
        <row r="5136">
          <cell r="A5136" t="str">
            <v>19-05135</v>
          </cell>
          <cell r="B5136" t="str">
            <v>BOING GLOBAL</v>
          </cell>
          <cell r="C5136" t="str">
            <v>A</v>
          </cell>
          <cell r="D5136" t="str">
            <v>SI</v>
          </cell>
          <cell r="E5136" t="str">
            <v>BOING TOYS MASHA PLAYSET "BEAR´S HOUSE"</v>
          </cell>
          <cell r="F5136" t="str">
            <v>JUGUETES</v>
          </cell>
          <cell r="G5136">
            <v>109301632</v>
          </cell>
          <cell r="H5136" t="str">
            <v>BOING TOYS</v>
          </cell>
          <cell r="I5136">
            <v>14.8</v>
          </cell>
        </row>
        <row r="5137">
          <cell r="A5137" t="str">
            <v>19-05136</v>
          </cell>
          <cell r="B5137" t="str">
            <v>BOING GLOBAL</v>
          </cell>
          <cell r="C5137" t="str">
            <v>A</v>
          </cell>
          <cell r="D5137" t="str">
            <v>SI</v>
          </cell>
          <cell r="E5137" t="str">
            <v>BOING TOYS MASHA PLUSH BEAR, 25CM</v>
          </cell>
          <cell r="F5137" t="str">
            <v>JUGUETES</v>
          </cell>
          <cell r="G5137">
            <v>109301942</v>
          </cell>
          <cell r="H5137" t="str">
            <v>BOING TOYS</v>
          </cell>
          <cell r="I5137">
            <v>9.3000000000000007</v>
          </cell>
        </row>
        <row r="5138">
          <cell r="A5138" t="str">
            <v>19-05137</v>
          </cell>
          <cell r="B5138" t="str">
            <v>BOING GLOBAL</v>
          </cell>
          <cell r="C5138" t="str">
            <v>A</v>
          </cell>
          <cell r="D5138" t="str">
            <v>SI</v>
          </cell>
          <cell r="E5138" t="str">
            <v>BOING TOYS THE GROSSERY GANG S2 SURPRISE PACK CDU (W1)</v>
          </cell>
          <cell r="F5138" t="str">
            <v>JUGUETES</v>
          </cell>
          <cell r="G5138">
            <v>69014</v>
          </cell>
          <cell r="H5138" t="str">
            <v>BOING TOYS</v>
          </cell>
          <cell r="I5138">
            <v>1.5</v>
          </cell>
        </row>
        <row r="5139">
          <cell r="A5139" t="str">
            <v>19-05138</v>
          </cell>
          <cell r="B5139" t="str">
            <v>BOING GLOBAL</v>
          </cell>
          <cell r="C5139" t="str">
            <v>A</v>
          </cell>
          <cell r="D5139" t="str">
            <v>SI</v>
          </cell>
          <cell r="E5139" t="str">
            <v>BOING TOYS THE GROSSERY GANG S2 REGULAR PACK (W1)</v>
          </cell>
          <cell r="F5139" t="str">
            <v>JUGUETES</v>
          </cell>
          <cell r="G5139">
            <v>69064</v>
          </cell>
          <cell r="H5139" t="str">
            <v>BOING TOYS</v>
          </cell>
          <cell r="I5139">
            <v>3.7</v>
          </cell>
        </row>
        <row r="5140">
          <cell r="A5140" t="str">
            <v>19-05139</v>
          </cell>
          <cell r="B5140" t="str">
            <v>BOING GLOBAL</v>
          </cell>
          <cell r="C5140" t="str">
            <v>A</v>
          </cell>
          <cell r="D5140" t="str">
            <v>SI</v>
          </cell>
          <cell r="E5140" t="str">
            <v>BOING TOYS THE GROSSERY GANG S2 LARGE PACK (W1)</v>
          </cell>
          <cell r="F5140" t="str">
            <v>JUGUETES</v>
          </cell>
          <cell r="G5140">
            <v>69016</v>
          </cell>
          <cell r="H5140" t="str">
            <v>BOING TOYS</v>
          </cell>
          <cell r="I5140">
            <v>6.2</v>
          </cell>
        </row>
        <row r="5141">
          <cell r="A5141" t="str">
            <v>19-05140</v>
          </cell>
          <cell r="B5141" t="str">
            <v>BOING GLOBAL</v>
          </cell>
          <cell r="C5141" t="str">
            <v>A</v>
          </cell>
          <cell r="D5141" t="str">
            <v>SI</v>
          </cell>
          <cell r="E5141" t="str">
            <v>BOING TOYS THE GROSSERY GANG MID PRICE PLAYSET ASSORTED</v>
          </cell>
          <cell r="F5141" t="str">
            <v>JUGUETES</v>
          </cell>
          <cell r="G5141">
            <v>69059</v>
          </cell>
          <cell r="H5141" t="str">
            <v>BOING TOYS</v>
          </cell>
          <cell r="I5141">
            <v>10.7</v>
          </cell>
        </row>
        <row r="5142">
          <cell r="A5142" t="str">
            <v>19-05141</v>
          </cell>
          <cell r="B5142" t="str">
            <v>BOING GLOBAL</v>
          </cell>
          <cell r="C5142" t="str">
            <v>A</v>
          </cell>
          <cell r="D5142" t="str">
            <v>SI</v>
          </cell>
          <cell r="E5142" t="str">
            <v>BOING TOYS  SUPER VALUE FROZEN TODDLER BASICA 13 INCHES</v>
          </cell>
          <cell r="F5142" t="str">
            <v>JUGUETES</v>
          </cell>
          <cell r="G5142">
            <v>3787</v>
          </cell>
          <cell r="H5142" t="str">
            <v>BOING TOYS</v>
          </cell>
          <cell r="I5142">
            <v>11.1</v>
          </cell>
        </row>
        <row r="5143">
          <cell r="A5143" t="str">
            <v>19-05142</v>
          </cell>
          <cell r="B5143" t="str">
            <v>BOING GLOBAL</v>
          </cell>
          <cell r="C5143" t="str">
            <v>A</v>
          </cell>
          <cell r="D5143" t="str">
            <v>NO</v>
          </cell>
          <cell r="E5143" t="str">
            <v>BOING TOYS DISNEY PRINCESS SOFIA SOFIA 9"</v>
          </cell>
          <cell r="F5143" t="str">
            <v>JUGUETES</v>
          </cell>
          <cell r="G5143">
            <v>1475</v>
          </cell>
          <cell r="H5143" t="str">
            <v>BOING TOYS</v>
          </cell>
          <cell r="I5143">
            <v>0</v>
          </cell>
        </row>
        <row r="5144">
          <cell r="A5144" t="str">
            <v>19-05143</v>
          </cell>
          <cell r="B5144" t="str">
            <v>BOING GLOBAL</v>
          </cell>
          <cell r="C5144" t="str">
            <v>A</v>
          </cell>
          <cell r="D5144" t="str">
            <v>SI</v>
          </cell>
          <cell r="E5144" t="str">
            <v>BOING TOYS SUPER VALUE PRINCESS 13"ASSORTED</v>
          </cell>
          <cell r="F5144" t="str">
            <v>JUGUETES</v>
          </cell>
          <cell r="G5144">
            <v>99087</v>
          </cell>
          <cell r="H5144" t="str">
            <v>BOING TOYS</v>
          </cell>
          <cell r="I5144">
            <v>10.95</v>
          </cell>
        </row>
        <row r="5145">
          <cell r="A5145" t="str">
            <v>19-05144</v>
          </cell>
          <cell r="B5145" t="str">
            <v>BOING GLOBAL</v>
          </cell>
          <cell r="C5145" t="str">
            <v>A</v>
          </cell>
          <cell r="D5145" t="str">
            <v>SI</v>
          </cell>
          <cell r="E5145" t="str">
            <v>BOING TOYS SHOPKINS CHEF CLUB 5 PACK</v>
          </cell>
          <cell r="F5145" t="str">
            <v>JUGUETES</v>
          </cell>
          <cell r="G5145">
            <v>56331</v>
          </cell>
          <cell r="H5145" t="str">
            <v>BOING TOYS</v>
          </cell>
          <cell r="I5145">
            <v>3.7</v>
          </cell>
        </row>
        <row r="5146">
          <cell r="A5146" t="str">
            <v>19-05145</v>
          </cell>
          <cell r="B5146" t="str">
            <v>BOING GLOBAL</v>
          </cell>
          <cell r="C5146" t="str">
            <v>A</v>
          </cell>
          <cell r="D5146" t="str">
            <v>SI</v>
          </cell>
          <cell r="E5146" t="str">
            <v>BOING TOYS SHOPKINS CHEF CLUB 12 PACK</v>
          </cell>
          <cell r="F5146" t="str">
            <v>JUGUETES</v>
          </cell>
          <cell r="G5146">
            <v>56144</v>
          </cell>
          <cell r="H5146" t="str">
            <v>BOING TOYS</v>
          </cell>
          <cell r="I5146">
            <v>6.6</v>
          </cell>
        </row>
        <row r="5147">
          <cell r="A5147" t="str">
            <v>19-05146</v>
          </cell>
          <cell r="B5147" t="str">
            <v>BOING GLOBAL</v>
          </cell>
          <cell r="C5147" t="str">
            <v>A</v>
          </cell>
          <cell r="D5147" t="str">
            <v>NO</v>
          </cell>
          <cell r="E5147" t="str">
            <v>BOING TOYS SHOPKINS EXCLUSIVE COLLECTORS CASE + 8 EXCLUSIVE FIGURES</v>
          </cell>
          <cell r="F5147" t="str">
            <v>JUGUETES</v>
          </cell>
          <cell r="G5147">
            <v>56385</v>
          </cell>
          <cell r="H5147" t="str">
            <v>BOING TOYS</v>
          </cell>
          <cell r="I5147">
            <v>0</v>
          </cell>
        </row>
        <row r="5148">
          <cell r="A5148" t="str">
            <v>19-05147</v>
          </cell>
          <cell r="B5148" t="str">
            <v>BOING GLOBAL</v>
          </cell>
          <cell r="C5148" t="str">
            <v>P</v>
          </cell>
          <cell r="D5148" t="str">
            <v>N/A</v>
          </cell>
          <cell r="E5148" t="str">
            <v>BOING TOYS SHOPKINS SHOPPIES CORE DOLLS S2 W4</v>
          </cell>
          <cell r="F5148" t="str">
            <v>JUGUETES</v>
          </cell>
          <cell r="G5148">
            <v>56242</v>
          </cell>
          <cell r="H5148" t="str">
            <v>BOING TOYS</v>
          </cell>
          <cell r="I5148">
            <v>9.3000000000000007</v>
          </cell>
        </row>
        <row r="5149">
          <cell r="A5149" t="str">
            <v>19-05148</v>
          </cell>
          <cell r="B5149" t="str">
            <v>BOING GLOBAL</v>
          </cell>
          <cell r="C5149" t="str">
            <v>A</v>
          </cell>
          <cell r="D5149" t="str">
            <v>SI</v>
          </cell>
          <cell r="E5149" t="str">
            <v>BOING TOYS SHOPKINS SHOPPIES CHEF CLUB DOLLS W1</v>
          </cell>
          <cell r="F5149" t="str">
            <v>JUGUETES</v>
          </cell>
          <cell r="G5149">
            <v>56188</v>
          </cell>
          <cell r="H5149" t="str">
            <v>BOING TOYS</v>
          </cell>
          <cell r="I5149">
            <v>9.3000000000000007</v>
          </cell>
        </row>
        <row r="5150">
          <cell r="A5150" t="str">
            <v>19-05149</v>
          </cell>
          <cell r="B5150" t="str">
            <v>BOING GLOBAL</v>
          </cell>
          <cell r="C5150" t="str">
            <v>A</v>
          </cell>
          <cell r="D5150" t="str">
            <v>NO</v>
          </cell>
          <cell r="E5150" t="str">
            <v>BOING TOYS SHOPKINS SHOPPIES S2 DONATINA'S DONUT DELIGHTS</v>
          </cell>
          <cell r="F5150" t="str">
            <v>JUGUETES</v>
          </cell>
          <cell r="G5150">
            <v>56186</v>
          </cell>
          <cell r="H5150" t="str">
            <v>BOING TOYS</v>
          </cell>
          <cell r="I5150">
            <v>13.9</v>
          </cell>
        </row>
        <row r="5151">
          <cell r="A5151" t="str">
            <v>19-05150</v>
          </cell>
          <cell r="B5151" t="str">
            <v>BOING GLOBAL</v>
          </cell>
          <cell r="C5151" t="str">
            <v>A</v>
          </cell>
          <cell r="D5151" t="str">
            <v>NO</v>
          </cell>
          <cell r="E5151" t="str">
            <v>BOING TOYS SHOPKINS SHOPPIES POPETTE'S POPCORN STOP</v>
          </cell>
          <cell r="F5151" t="str">
            <v>JUGUETES</v>
          </cell>
          <cell r="G5151">
            <v>56339</v>
          </cell>
          <cell r="H5151" t="str">
            <v>BOING TOYS</v>
          </cell>
          <cell r="I5151">
            <v>13.9</v>
          </cell>
        </row>
        <row r="5152">
          <cell r="A5152" t="str">
            <v>19-05151</v>
          </cell>
          <cell r="B5152" t="str">
            <v>BOING GLOBAL</v>
          </cell>
          <cell r="C5152" t="str">
            <v>A</v>
          </cell>
          <cell r="D5152" t="str">
            <v>NO</v>
          </cell>
          <cell r="E5152" t="str">
            <v>BOING TOYS HEDBANZ KIDS</v>
          </cell>
          <cell r="F5152" t="str">
            <v>JUGUETES</v>
          </cell>
          <cell r="G5152">
            <v>6017873</v>
          </cell>
          <cell r="H5152" t="str">
            <v>BOING TOYS</v>
          </cell>
          <cell r="I5152">
            <v>9.3000000000000007</v>
          </cell>
        </row>
        <row r="5153">
          <cell r="A5153" t="str">
            <v>19-05152</v>
          </cell>
          <cell r="B5153" t="str">
            <v>BOING GLOBAL</v>
          </cell>
          <cell r="C5153" t="str">
            <v>A</v>
          </cell>
          <cell r="D5153" t="str">
            <v>NO</v>
          </cell>
          <cell r="E5153" t="str">
            <v>BOING TOYS HEDBANZ ACT UP</v>
          </cell>
          <cell r="F5153" t="str">
            <v>JUGUETES</v>
          </cell>
          <cell r="G5153">
            <v>6020370</v>
          </cell>
          <cell r="H5153" t="str">
            <v>BOING TOYS</v>
          </cell>
          <cell r="I5153">
            <v>10.199999999999999</v>
          </cell>
        </row>
        <row r="5154">
          <cell r="A5154" t="str">
            <v>19-05153</v>
          </cell>
          <cell r="B5154" t="str">
            <v>BOING GLOBAL</v>
          </cell>
          <cell r="C5154" t="str">
            <v>A</v>
          </cell>
          <cell r="D5154" t="str">
            <v>SI</v>
          </cell>
          <cell r="E5154" t="str">
            <v>BOING TOYS BUM BUM GLOBAZO</v>
          </cell>
          <cell r="F5154" t="str">
            <v>JUGUETES</v>
          </cell>
          <cell r="G5154">
            <v>6021996</v>
          </cell>
          <cell r="H5154" t="str">
            <v>BOING TOYS</v>
          </cell>
          <cell r="I5154">
            <v>9.3000000000000007</v>
          </cell>
        </row>
        <row r="5155">
          <cell r="A5155" t="str">
            <v>19-05154</v>
          </cell>
          <cell r="B5155" t="str">
            <v>BOING GLOBAL</v>
          </cell>
          <cell r="C5155" t="str">
            <v>A</v>
          </cell>
          <cell r="D5155" t="str">
            <v>SI</v>
          </cell>
          <cell r="E5155" t="str">
            <v>BOING TOYS MOSKAS LOCAS</v>
          </cell>
          <cell r="F5155" t="str">
            <v>JUGUETES</v>
          </cell>
          <cell r="G5155">
            <v>30390</v>
          </cell>
          <cell r="H5155" t="str">
            <v>BOING TOYS</v>
          </cell>
          <cell r="I5155">
            <v>7.4</v>
          </cell>
        </row>
        <row r="5156">
          <cell r="A5156" t="str">
            <v>19-05155</v>
          </cell>
          <cell r="B5156" t="str">
            <v>BOING GLOBAL</v>
          </cell>
          <cell r="C5156" t="str">
            <v>A</v>
          </cell>
          <cell r="D5156" t="str">
            <v>NO</v>
          </cell>
          <cell r="E5156" t="str">
            <v>BOING TOYS WET HEAD</v>
          </cell>
          <cell r="F5156" t="str">
            <v>JUGUETES</v>
          </cell>
          <cell r="G5156" t="str">
            <v>ZG657</v>
          </cell>
          <cell r="H5156" t="str">
            <v>BOING TOYS</v>
          </cell>
          <cell r="I5156">
            <v>9.5</v>
          </cell>
        </row>
        <row r="5157">
          <cell r="A5157" t="str">
            <v>19-05156</v>
          </cell>
          <cell r="B5157" t="str">
            <v>BOING GLOBAL</v>
          </cell>
          <cell r="C5157" t="str">
            <v>A</v>
          </cell>
          <cell r="D5157" t="str">
            <v>SI</v>
          </cell>
          <cell r="E5157" t="str">
            <v>BOING TOYS DARTH VADER 10"</v>
          </cell>
          <cell r="F5157" t="str">
            <v>JUGUETES</v>
          </cell>
          <cell r="G5157" t="str">
            <v>PDP1400615</v>
          </cell>
          <cell r="H5157" t="str">
            <v>BOING TOYS</v>
          </cell>
          <cell r="I5157">
            <v>9.3000000000000007</v>
          </cell>
        </row>
        <row r="5158">
          <cell r="A5158" t="str">
            <v>19-05157</v>
          </cell>
          <cell r="B5158" t="str">
            <v>BOING GLOBAL</v>
          </cell>
          <cell r="C5158" t="str">
            <v>A</v>
          </cell>
          <cell r="D5158" t="str">
            <v>SI</v>
          </cell>
          <cell r="E5158" t="str">
            <v>BOING TOYS R2D2 10"</v>
          </cell>
          <cell r="F5158" t="str">
            <v>JUGUETES</v>
          </cell>
          <cell r="G5158" t="str">
            <v>PDP1400620</v>
          </cell>
          <cell r="H5158" t="str">
            <v>BOING TOYS</v>
          </cell>
          <cell r="I5158">
            <v>9.3000000000000007</v>
          </cell>
        </row>
        <row r="5159">
          <cell r="A5159" t="str">
            <v>19-05158</v>
          </cell>
          <cell r="B5159" t="str">
            <v>BOING GLOBAL</v>
          </cell>
          <cell r="C5159" t="str">
            <v>A</v>
          </cell>
          <cell r="D5159" t="str">
            <v>SI</v>
          </cell>
          <cell r="E5159" t="str">
            <v>BOING TOYS YODA 18"</v>
          </cell>
          <cell r="F5159" t="str">
            <v>JUGUETES</v>
          </cell>
          <cell r="G5159" t="str">
            <v>PDP1400704</v>
          </cell>
          <cell r="H5159" t="str">
            <v>BOING TOYS</v>
          </cell>
          <cell r="I5159">
            <v>0</v>
          </cell>
        </row>
        <row r="5160">
          <cell r="A5160" t="str">
            <v>19-05159</v>
          </cell>
          <cell r="B5160" t="str">
            <v>BOING GLOBAL</v>
          </cell>
          <cell r="C5160" t="str">
            <v>A</v>
          </cell>
          <cell r="D5160" t="str">
            <v>SI</v>
          </cell>
          <cell r="E5160" t="str">
            <v>BOING TOYS IRON MAN 10"</v>
          </cell>
          <cell r="F5160" t="str">
            <v>JUGUETES</v>
          </cell>
          <cell r="G5160" t="str">
            <v>PDP1500107</v>
          </cell>
          <cell r="H5160" t="str">
            <v>BOING TOYS</v>
          </cell>
          <cell r="I5160">
            <v>7.9</v>
          </cell>
        </row>
        <row r="5161">
          <cell r="A5161" t="str">
            <v>19-05160</v>
          </cell>
          <cell r="B5161" t="str">
            <v>BOING GLOBAL</v>
          </cell>
          <cell r="C5161" t="str">
            <v>A</v>
          </cell>
          <cell r="D5161" t="str">
            <v>SI</v>
          </cell>
          <cell r="E5161" t="str">
            <v>BOING TOYS HULK 10"</v>
          </cell>
          <cell r="F5161" t="str">
            <v>JUGUETES</v>
          </cell>
          <cell r="G5161" t="str">
            <v>PDP1500108</v>
          </cell>
          <cell r="H5161" t="str">
            <v>BOING TOYS</v>
          </cell>
          <cell r="I5161">
            <v>7.9</v>
          </cell>
        </row>
        <row r="5162">
          <cell r="A5162" t="str">
            <v>19-05161</v>
          </cell>
          <cell r="B5162" t="str">
            <v>BOING GLOBAL</v>
          </cell>
          <cell r="C5162" t="str">
            <v>A</v>
          </cell>
          <cell r="D5162" t="str">
            <v>SI</v>
          </cell>
          <cell r="E5162" t="str">
            <v>BOING TOYS THOR 10"</v>
          </cell>
          <cell r="F5162" t="str">
            <v>JUGUETES</v>
          </cell>
          <cell r="G5162" t="str">
            <v>PDP1500110</v>
          </cell>
          <cell r="H5162" t="str">
            <v>BOING TOYS</v>
          </cell>
          <cell r="I5162">
            <v>7.9</v>
          </cell>
        </row>
        <row r="5163">
          <cell r="A5163" t="str">
            <v>19-05162</v>
          </cell>
          <cell r="B5163" t="str">
            <v>BOING GLOBAL</v>
          </cell>
          <cell r="C5163" t="str">
            <v>A</v>
          </cell>
          <cell r="D5163" t="str">
            <v>SI</v>
          </cell>
          <cell r="E5163" t="str">
            <v>BOING TOYS CAPTAIN AMERICA 10"</v>
          </cell>
          <cell r="F5163" t="str">
            <v>JUGUETES</v>
          </cell>
          <cell r="G5163" t="str">
            <v>PDP1500111</v>
          </cell>
          <cell r="H5163" t="str">
            <v>BOING TOYS</v>
          </cell>
          <cell r="I5163">
            <v>7.9</v>
          </cell>
        </row>
        <row r="5164">
          <cell r="A5164" t="str">
            <v>19-05163</v>
          </cell>
          <cell r="B5164" t="str">
            <v>BOING GLOBAL</v>
          </cell>
          <cell r="C5164" t="str">
            <v>A</v>
          </cell>
          <cell r="D5164" t="str">
            <v>NO</v>
          </cell>
          <cell r="E5164" t="str">
            <v>BOING TOYS MARVEL PELUCHE SPIDERMAN 10" NV.</v>
          </cell>
          <cell r="F5164" t="str">
            <v>JUGUETES</v>
          </cell>
          <cell r="G5164" t="str">
            <v>PDP1500109</v>
          </cell>
          <cell r="H5164" t="str">
            <v>BOING TOYS</v>
          </cell>
          <cell r="I5164">
            <v>0</v>
          </cell>
        </row>
        <row r="5165">
          <cell r="A5165" t="str">
            <v>19-05164</v>
          </cell>
          <cell r="B5165" t="str">
            <v>BOING GLOBAL</v>
          </cell>
          <cell r="C5165" t="str">
            <v>A</v>
          </cell>
          <cell r="D5165" t="str">
            <v>NO</v>
          </cell>
          <cell r="E5165" t="str">
            <v>TY BEANIE BOOS COCONUT - MONO REGULAR</v>
          </cell>
          <cell r="F5165" t="str">
            <v>PELUCHE</v>
          </cell>
          <cell r="G5165">
            <v>36003</v>
          </cell>
          <cell r="H5165" t="str">
            <v>TY</v>
          </cell>
          <cell r="I5165">
            <v>2.74</v>
          </cell>
        </row>
        <row r="5166">
          <cell r="A5166" t="str">
            <v>19-05165</v>
          </cell>
          <cell r="B5166" t="str">
            <v>BOING GLOBAL</v>
          </cell>
          <cell r="C5166" t="str">
            <v>A</v>
          </cell>
          <cell r="D5166" t="str">
            <v>NO</v>
          </cell>
          <cell r="E5166" t="str">
            <v>TY BEANIE BOOS LEONA - LEOPARDO AZUL CLIP</v>
          </cell>
          <cell r="F5166" t="str">
            <v>PELUCHE</v>
          </cell>
          <cell r="G5166">
            <v>33000</v>
          </cell>
          <cell r="H5166" t="str">
            <v>TY</v>
          </cell>
          <cell r="I5166">
            <v>1.67</v>
          </cell>
        </row>
        <row r="5167">
          <cell r="A5167" t="str">
            <v>19-05166</v>
          </cell>
          <cell r="B5167" t="str">
            <v>BOING GLOBAL</v>
          </cell>
          <cell r="C5167" t="str">
            <v>A</v>
          </cell>
          <cell r="D5167" t="str">
            <v>NO</v>
          </cell>
          <cell r="E5167" t="str">
            <v>TY BEANIE BOOS SLICK - ZORRO CAFE REGULAR</v>
          </cell>
          <cell r="F5167" t="str">
            <v>PELUCHE</v>
          </cell>
          <cell r="G5167">
            <v>36159</v>
          </cell>
          <cell r="H5167" t="str">
            <v>TY</v>
          </cell>
          <cell r="I5167">
            <v>2.74</v>
          </cell>
        </row>
        <row r="5168">
          <cell r="A5168" t="str">
            <v>19-05167</v>
          </cell>
          <cell r="B5168" t="str">
            <v>BOING GLOBAL</v>
          </cell>
          <cell r="C5168" t="str">
            <v>A</v>
          </cell>
          <cell r="D5168" t="str">
            <v>NO</v>
          </cell>
          <cell r="E5168" t="str">
            <v>TY BEANIE BOOS MADDIE - PERRITO CAFE CLIP</v>
          </cell>
          <cell r="F5168" t="str">
            <v>PELUCHE</v>
          </cell>
          <cell r="G5168">
            <v>36618</v>
          </cell>
          <cell r="H5168" t="str">
            <v>TY</v>
          </cell>
          <cell r="I5168">
            <v>1.67</v>
          </cell>
        </row>
        <row r="5169">
          <cell r="A5169" t="str">
            <v>19-05168</v>
          </cell>
          <cell r="B5169" t="str">
            <v>BOING GLOBAL</v>
          </cell>
          <cell r="C5169" t="str">
            <v>A</v>
          </cell>
          <cell r="D5169" t="str">
            <v>NO</v>
          </cell>
          <cell r="E5169" t="str">
            <v>TY BEANIE BOOS SOPHIE - GATO ROSADO REGULAR</v>
          </cell>
          <cell r="F5169" t="str">
            <v>PELUCHE</v>
          </cell>
          <cell r="G5169">
            <v>36189</v>
          </cell>
          <cell r="H5169" t="str">
            <v>TY</v>
          </cell>
          <cell r="I5169">
            <v>2.74</v>
          </cell>
        </row>
        <row r="5170">
          <cell r="A5170" t="str">
            <v>19-05169</v>
          </cell>
          <cell r="B5170" t="str">
            <v>BOING GLOBAL</v>
          </cell>
          <cell r="C5170" t="str">
            <v>A</v>
          </cell>
          <cell r="D5170" t="str">
            <v>NO</v>
          </cell>
          <cell r="E5170" t="str">
            <v>TY BEANIE BOOS SOPHIE - GATO ROSADO MEDIANO</v>
          </cell>
          <cell r="F5170" t="str">
            <v>PELUCHE</v>
          </cell>
          <cell r="G5170">
            <v>37054</v>
          </cell>
          <cell r="H5170" t="str">
            <v>TY</v>
          </cell>
          <cell r="I5170">
            <v>5.53</v>
          </cell>
        </row>
        <row r="5171">
          <cell r="A5171" t="str">
            <v>19-05170</v>
          </cell>
          <cell r="B5171" t="str">
            <v>BOING GLOBAL</v>
          </cell>
          <cell r="C5171" t="str">
            <v>A</v>
          </cell>
          <cell r="D5171" t="str">
            <v>NO</v>
          </cell>
          <cell r="E5171" t="str">
            <v>TY BEANIE BOOS BOOSASIA - TIGRE BLANCO REGULAR</v>
          </cell>
          <cell r="F5171" t="str">
            <v>PELUCHE</v>
          </cell>
          <cell r="G5171">
            <v>36180</v>
          </cell>
          <cell r="H5171" t="str">
            <v>TY</v>
          </cell>
          <cell r="I5171">
            <v>2.74</v>
          </cell>
        </row>
        <row r="5172">
          <cell r="A5172" t="str">
            <v>19-05171</v>
          </cell>
          <cell r="B5172" t="str">
            <v>BOING GLOBAL</v>
          </cell>
          <cell r="C5172" t="str">
            <v>A</v>
          </cell>
          <cell r="D5172" t="str">
            <v>NO</v>
          </cell>
          <cell r="E5172" t="str">
            <v>TY BEANIE BOOS PATCHES - LEOPARDO CLIP</v>
          </cell>
          <cell r="F5172" t="str">
            <v>PELUCHE</v>
          </cell>
          <cell r="G5172">
            <v>35008</v>
          </cell>
          <cell r="H5172" t="str">
            <v>TY</v>
          </cell>
          <cell r="I5172">
            <v>1.67</v>
          </cell>
        </row>
        <row r="5173">
          <cell r="A5173" t="str">
            <v>19-05172</v>
          </cell>
          <cell r="B5173" t="str">
            <v>BOING GLOBAL</v>
          </cell>
          <cell r="C5173" t="str">
            <v>A</v>
          </cell>
          <cell r="D5173" t="str">
            <v>NO</v>
          </cell>
          <cell r="E5173" t="str">
            <v>TY BEANIE BOOS LINDI - GATO REGULAR</v>
          </cell>
          <cell r="F5173" t="str">
            <v>PELUCHE</v>
          </cell>
          <cell r="G5173">
            <v>37172</v>
          </cell>
          <cell r="H5173" t="str">
            <v>TY</v>
          </cell>
          <cell r="I5173">
            <v>2.74</v>
          </cell>
        </row>
        <row r="5174">
          <cell r="A5174" t="str">
            <v>19-05173</v>
          </cell>
          <cell r="B5174" t="str">
            <v>BOING GLOBAL</v>
          </cell>
          <cell r="C5174" t="str">
            <v>A</v>
          </cell>
          <cell r="D5174" t="str">
            <v>NO</v>
          </cell>
          <cell r="E5174" t="str">
            <v>TY BEANIE BOOS DOTTY - LEOPARDO MULTICOLOR CLIP</v>
          </cell>
          <cell r="F5174" t="str">
            <v>PELUCHE</v>
          </cell>
          <cell r="G5174">
            <v>35012</v>
          </cell>
          <cell r="H5174" t="str">
            <v>TY</v>
          </cell>
          <cell r="I5174">
            <v>1.67</v>
          </cell>
        </row>
        <row r="5175">
          <cell r="A5175" t="str">
            <v>19-05174</v>
          </cell>
          <cell r="B5175" t="str">
            <v>BOING GLOBAL</v>
          </cell>
          <cell r="C5175" t="str">
            <v>A</v>
          </cell>
          <cell r="D5175" t="str">
            <v>NO</v>
          </cell>
          <cell r="E5175" t="str">
            <v>TY BEANIE BOOS SAMMY -  BUHO CAFE CLIP</v>
          </cell>
          <cell r="F5175" t="str">
            <v>PELUCHE</v>
          </cell>
          <cell r="G5175">
            <v>35005</v>
          </cell>
          <cell r="H5175" t="str">
            <v>TY</v>
          </cell>
          <cell r="I5175">
            <v>1.67</v>
          </cell>
        </row>
        <row r="5176">
          <cell r="A5176" t="str">
            <v>19-05175</v>
          </cell>
          <cell r="B5176" t="str">
            <v>BOING GLOBAL</v>
          </cell>
          <cell r="C5176" t="str">
            <v>A</v>
          </cell>
          <cell r="D5176" t="str">
            <v>NO</v>
          </cell>
          <cell r="E5176" t="str">
            <v>TY BEANIE BOOS AUDREY - MONO CLIP</v>
          </cell>
          <cell r="F5176" t="str">
            <v>PELUCHE</v>
          </cell>
          <cell r="G5176">
            <v>36628</v>
          </cell>
          <cell r="H5176" t="str">
            <v>TY</v>
          </cell>
          <cell r="I5176">
            <v>1.67</v>
          </cell>
        </row>
        <row r="5177">
          <cell r="A5177" t="str">
            <v>19-05176</v>
          </cell>
          <cell r="B5177" t="str">
            <v>BOING GLOBAL</v>
          </cell>
          <cell r="C5177" t="str">
            <v>A</v>
          </cell>
          <cell r="D5177" t="str">
            <v>NO</v>
          </cell>
          <cell r="E5177" t="str">
            <v>TY BEANIE BOOS DOTTY - LEOPARDO MULTICOLOR REGULAR</v>
          </cell>
          <cell r="F5177" t="str">
            <v>PELUCHE</v>
          </cell>
          <cell r="G5177">
            <v>37189</v>
          </cell>
          <cell r="H5177" t="str">
            <v>TY</v>
          </cell>
          <cell r="I5177">
            <v>2.74</v>
          </cell>
        </row>
        <row r="5178">
          <cell r="A5178" t="str">
            <v>19-05177</v>
          </cell>
          <cell r="B5178" t="str">
            <v>BOING GLOBAL</v>
          </cell>
          <cell r="C5178" t="str">
            <v>A</v>
          </cell>
          <cell r="D5178" t="str">
            <v>NO</v>
          </cell>
          <cell r="E5178" t="str">
            <v>TY BEANIE BOOS GEORGE - GORILA NEGRO REGULAR</v>
          </cell>
          <cell r="F5178" t="str">
            <v>PELUCHE</v>
          </cell>
          <cell r="G5178">
            <v>37222</v>
          </cell>
          <cell r="H5178" t="str">
            <v>TY</v>
          </cell>
          <cell r="I5178">
            <v>2.74</v>
          </cell>
        </row>
        <row r="5179">
          <cell r="A5179" t="str">
            <v>19-05178</v>
          </cell>
          <cell r="B5179" t="str">
            <v>BOING GLOBAL</v>
          </cell>
          <cell r="C5179" t="str">
            <v>A</v>
          </cell>
          <cell r="D5179" t="str">
            <v>NO</v>
          </cell>
          <cell r="E5179" t="str">
            <v>TY BEANIE BOOS OWEN - BUHO MULTICOLOR MEDIANO</v>
          </cell>
          <cell r="F5179" t="str">
            <v>PELUCHE</v>
          </cell>
          <cell r="G5179">
            <v>37143</v>
          </cell>
          <cell r="H5179" t="str">
            <v>TY</v>
          </cell>
          <cell r="I5179">
            <v>5.53</v>
          </cell>
        </row>
        <row r="5180">
          <cell r="A5180" t="str">
            <v>19-05179</v>
          </cell>
          <cell r="B5180" t="str">
            <v>BOING GLOBAL</v>
          </cell>
          <cell r="C5180" t="str">
            <v>A</v>
          </cell>
          <cell r="D5180" t="str">
            <v>NO</v>
          </cell>
          <cell r="E5180" t="str">
            <v>TY BEANIE BOOS GEORGE - GORILA NEGRO MEDIANO</v>
          </cell>
          <cell r="F5180" t="str">
            <v>PELUCHE</v>
          </cell>
          <cell r="G5180">
            <v>37144</v>
          </cell>
          <cell r="H5180" t="str">
            <v>TY</v>
          </cell>
          <cell r="I5180">
            <v>5.53</v>
          </cell>
        </row>
        <row r="5181">
          <cell r="A5181" t="str">
            <v>19-05180</v>
          </cell>
          <cell r="B5181" t="str">
            <v>BOING GLOBAL</v>
          </cell>
          <cell r="C5181" t="str">
            <v>A</v>
          </cell>
          <cell r="D5181" t="str">
            <v>NO</v>
          </cell>
          <cell r="E5181" t="str">
            <v>TY BEANIE BOOS WADDLES - PINGUINO CLIP</v>
          </cell>
          <cell r="F5181" t="str">
            <v>PELUCHE</v>
          </cell>
          <cell r="G5181">
            <v>36505</v>
          </cell>
          <cell r="H5181" t="str">
            <v>TY</v>
          </cell>
          <cell r="I5181">
            <v>1.67</v>
          </cell>
        </row>
        <row r="5182">
          <cell r="A5182" t="str">
            <v>19-05181</v>
          </cell>
          <cell r="B5182" t="str">
            <v>BOING GLOBAL</v>
          </cell>
          <cell r="C5182" t="str">
            <v>A</v>
          </cell>
          <cell r="D5182" t="str">
            <v>NO</v>
          </cell>
          <cell r="E5182" t="str">
            <v>TY BEANIE BOOS TASHA - LEOPARDO ROSADO/GRIS REGULAR</v>
          </cell>
          <cell r="F5182" t="str">
            <v>PELUCHE</v>
          </cell>
          <cell r="G5182">
            <v>36151</v>
          </cell>
          <cell r="H5182" t="str">
            <v>TY</v>
          </cell>
          <cell r="I5182">
            <v>2.74</v>
          </cell>
        </row>
        <row r="5183">
          <cell r="A5183" t="str">
            <v>19-05182</v>
          </cell>
          <cell r="B5183" t="str">
            <v>BOING GLOBAL</v>
          </cell>
          <cell r="C5183" t="str">
            <v>A</v>
          </cell>
          <cell r="D5183" t="str">
            <v>NO</v>
          </cell>
          <cell r="E5183" t="str">
            <v>TY BEANIE BOOS GLIDER - PINGUINO ROSADO REGULAR</v>
          </cell>
          <cell r="F5183" t="str">
            <v>PELUCHE</v>
          </cell>
          <cell r="G5183">
            <v>36177</v>
          </cell>
          <cell r="H5183" t="str">
            <v>TY</v>
          </cell>
          <cell r="I5183">
            <v>2.74</v>
          </cell>
        </row>
        <row r="5184">
          <cell r="A5184" t="str">
            <v>19-05183</v>
          </cell>
          <cell r="B5184" t="str">
            <v>BOING GLOBAL</v>
          </cell>
          <cell r="C5184" t="str">
            <v>A</v>
          </cell>
          <cell r="D5184" t="str">
            <v>NO</v>
          </cell>
          <cell r="E5184" t="str">
            <v>TY BEANIE BOOS DOUGIE - PERRO CAFE REGULAR</v>
          </cell>
          <cell r="F5184" t="str">
            <v>PELUCHE</v>
          </cell>
          <cell r="G5184">
            <v>36191</v>
          </cell>
          <cell r="H5184" t="str">
            <v>TY</v>
          </cell>
          <cell r="I5184">
            <v>0</v>
          </cell>
        </row>
        <row r="5185">
          <cell r="A5185" t="str">
            <v>19-05184</v>
          </cell>
          <cell r="B5185" t="str">
            <v>BOING GLOBAL</v>
          </cell>
          <cell r="C5185" t="str">
            <v>A</v>
          </cell>
          <cell r="D5185" t="str">
            <v>NO</v>
          </cell>
          <cell r="E5185" t="str">
            <v>TY BEANIE BOOS SQUEAKER - REGULAR</v>
          </cell>
          <cell r="F5185" t="str">
            <v>PELUCHE</v>
          </cell>
          <cell r="G5185">
            <v>36192</v>
          </cell>
          <cell r="H5185" t="str">
            <v>TY</v>
          </cell>
          <cell r="I5185">
            <v>2.74</v>
          </cell>
        </row>
        <row r="5186">
          <cell r="A5186" t="str">
            <v>19-05185</v>
          </cell>
          <cell r="B5186" t="str">
            <v>BOING GLOBAL</v>
          </cell>
          <cell r="C5186" t="str">
            <v>A</v>
          </cell>
          <cell r="D5186" t="str">
            <v>NO</v>
          </cell>
          <cell r="E5186" t="str">
            <v>TY BEANIE BOOS OSCAR - BUHO REGULAR</v>
          </cell>
          <cell r="F5186" t="str">
            <v>PELUCHE</v>
          </cell>
          <cell r="G5186">
            <v>36148</v>
          </cell>
          <cell r="H5186" t="str">
            <v>TY</v>
          </cell>
          <cell r="I5186">
            <v>0</v>
          </cell>
        </row>
        <row r="5187">
          <cell r="A5187" t="str">
            <v>19-05186</v>
          </cell>
          <cell r="B5187" t="str">
            <v>BOING GLOBAL</v>
          </cell>
          <cell r="C5187" t="str">
            <v>A</v>
          </cell>
          <cell r="D5187" t="str">
            <v>NO</v>
          </cell>
          <cell r="E5187" t="str">
            <v>TY BEANIE BOOS SKY HIGH - JIRAFA ROSADA CLIP</v>
          </cell>
          <cell r="F5187" t="str">
            <v>PELUCHE</v>
          </cell>
          <cell r="G5187">
            <v>36639</v>
          </cell>
          <cell r="H5187" t="str">
            <v>TY</v>
          </cell>
          <cell r="I5187">
            <v>0</v>
          </cell>
        </row>
        <row r="5188">
          <cell r="A5188" t="str">
            <v>19-05187</v>
          </cell>
          <cell r="B5188" t="str">
            <v>BOING GLOBAL</v>
          </cell>
          <cell r="C5188" t="str">
            <v>A</v>
          </cell>
          <cell r="D5188" t="str">
            <v>NO</v>
          </cell>
          <cell r="E5188" t="str">
            <v>TY BEANIE BOOS BRUTUS - PERRO BOXER MEDIANO</v>
          </cell>
          <cell r="F5188" t="str">
            <v>PELUCHE</v>
          </cell>
          <cell r="G5188">
            <v>37053</v>
          </cell>
          <cell r="H5188" t="str">
            <v>TY</v>
          </cell>
          <cell r="I5188">
            <v>0</v>
          </cell>
        </row>
        <row r="5189">
          <cell r="A5189" t="str">
            <v>19-05188</v>
          </cell>
          <cell r="B5189" t="str">
            <v>BOING GLOBAL</v>
          </cell>
          <cell r="C5189" t="str">
            <v>A</v>
          </cell>
          <cell r="D5189" t="str">
            <v>NO</v>
          </cell>
          <cell r="E5189" t="str">
            <v>TY BEANIE BOOS SAMI - PESCADITO REGULAR</v>
          </cell>
          <cell r="F5189" t="str">
            <v>PELUCHE</v>
          </cell>
          <cell r="G5189">
            <v>37176</v>
          </cell>
          <cell r="H5189" t="str">
            <v>TY</v>
          </cell>
          <cell r="I5189">
            <v>2.74</v>
          </cell>
        </row>
        <row r="5190">
          <cell r="A5190" t="str">
            <v>19-05189</v>
          </cell>
          <cell r="B5190" t="str">
            <v>BOING GLOBAL</v>
          </cell>
          <cell r="C5190" t="str">
            <v>A</v>
          </cell>
          <cell r="D5190" t="str">
            <v>NO</v>
          </cell>
          <cell r="E5190" t="str">
            <v>TY BEANIE BOOS TRACEY - PERRO REGULAR</v>
          </cell>
          <cell r="F5190" t="str">
            <v>PELUCHE</v>
          </cell>
          <cell r="G5190">
            <v>37191</v>
          </cell>
          <cell r="H5190" t="str">
            <v>TY</v>
          </cell>
          <cell r="I5190">
            <v>2.74</v>
          </cell>
        </row>
        <row r="5191">
          <cell r="A5191" t="str">
            <v>19-05190</v>
          </cell>
          <cell r="B5191" t="str">
            <v>BOING GLOBAL</v>
          </cell>
          <cell r="C5191" t="str">
            <v>A</v>
          </cell>
          <cell r="D5191" t="str">
            <v>NO</v>
          </cell>
          <cell r="E5191" t="str">
            <v>TY BEANIE BOOS GLIDER - PINGUINO ROSADO MEDIANO</v>
          </cell>
          <cell r="F5191" t="str">
            <v>PELUCHE</v>
          </cell>
          <cell r="G5191">
            <v>36826</v>
          </cell>
          <cell r="H5191" t="str">
            <v>TY</v>
          </cell>
          <cell r="I5191">
            <v>0</v>
          </cell>
        </row>
        <row r="5192">
          <cell r="A5192" t="str">
            <v>19-05191</v>
          </cell>
          <cell r="B5192" t="str">
            <v>BOING GLOBAL</v>
          </cell>
          <cell r="C5192" t="str">
            <v>A</v>
          </cell>
          <cell r="D5192" t="str">
            <v>NO</v>
          </cell>
          <cell r="E5192" t="str">
            <v>TY BEANIE BOOS SAMMY -  BUHO CAFE MEDIANO</v>
          </cell>
          <cell r="F5192" t="str">
            <v>PELUCHE</v>
          </cell>
          <cell r="G5192">
            <v>37063</v>
          </cell>
          <cell r="H5192" t="str">
            <v>TY</v>
          </cell>
          <cell r="I5192">
            <v>5.53</v>
          </cell>
        </row>
        <row r="5193">
          <cell r="A5193" t="str">
            <v>19-05192</v>
          </cell>
          <cell r="B5193" t="str">
            <v>BOING GLOBAL</v>
          </cell>
          <cell r="C5193" t="str">
            <v>A</v>
          </cell>
          <cell r="D5193" t="str">
            <v>NO</v>
          </cell>
          <cell r="E5193" t="str">
            <v>TY BEANIE BOOS LEEANN - LEMUR ROSADO CLIP</v>
          </cell>
          <cell r="F5193" t="str">
            <v>PELUCHE</v>
          </cell>
          <cell r="G5193">
            <v>35029</v>
          </cell>
          <cell r="H5193" t="str">
            <v>TY</v>
          </cell>
          <cell r="I5193">
            <v>0</v>
          </cell>
        </row>
        <row r="5194">
          <cell r="A5194" t="str">
            <v>19-05193</v>
          </cell>
          <cell r="B5194" t="str">
            <v>BOING GLOBAL</v>
          </cell>
          <cell r="C5194" t="str">
            <v>A</v>
          </cell>
          <cell r="D5194" t="str">
            <v>NO</v>
          </cell>
          <cell r="E5194" t="str">
            <v>TY BEANIE BOOS TWINKLE - CORDERO CREMA CLIP</v>
          </cell>
          <cell r="F5194" t="str">
            <v>PELUCHE</v>
          </cell>
          <cell r="G5194">
            <v>35004</v>
          </cell>
          <cell r="H5194" t="str">
            <v>TY</v>
          </cell>
          <cell r="I5194">
            <v>0</v>
          </cell>
        </row>
        <row r="5195">
          <cell r="A5195" t="str">
            <v>19-05194</v>
          </cell>
          <cell r="B5195" t="str">
            <v>BOING GLOBAL</v>
          </cell>
          <cell r="C5195" t="str">
            <v>A</v>
          </cell>
          <cell r="D5195" t="str">
            <v>NO</v>
          </cell>
          <cell r="E5195" t="str">
            <v>TY BEANIE BOOS GILBERT - JIRAFA ROSADA REGULAR</v>
          </cell>
          <cell r="F5195" t="str">
            <v>PELUCHE</v>
          </cell>
          <cell r="G5195">
            <v>37220</v>
          </cell>
          <cell r="H5195" t="str">
            <v>TY</v>
          </cell>
          <cell r="I5195">
            <v>2.74</v>
          </cell>
        </row>
        <row r="5196">
          <cell r="A5196" t="str">
            <v>19-05195</v>
          </cell>
          <cell r="B5196" t="str">
            <v>BOING GLOBAL</v>
          </cell>
          <cell r="C5196" t="str">
            <v>A</v>
          </cell>
          <cell r="D5196" t="str">
            <v>NO</v>
          </cell>
          <cell r="E5196" t="str">
            <v>TY BEANIE BOOS PEGASUS - UNICORNIO BLANCO MEDIANO</v>
          </cell>
          <cell r="F5196" t="str">
            <v>PELUCHE</v>
          </cell>
          <cell r="G5196">
            <v>36825</v>
          </cell>
          <cell r="H5196" t="str">
            <v>TY</v>
          </cell>
          <cell r="I5196">
            <v>5.53</v>
          </cell>
        </row>
        <row r="5197">
          <cell r="A5197" t="str">
            <v>19-05196</v>
          </cell>
          <cell r="B5197" t="str">
            <v>SEVA GROUP</v>
          </cell>
          <cell r="C5197" t="str">
            <v>A</v>
          </cell>
          <cell r="D5197" t="str">
            <v>NO</v>
          </cell>
          <cell r="E5197" t="str">
            <v>CARRY ALONG: TEENAGE MUTANT NINJA TURTLE</v>
          </cell>
          <cell r="F5197" t="str">
            <v>LIBRO</v>
          </cell>
          <cell r="G5197" t="str">
            <v>TOY-463325-CAT</v>
          </cell>
          <cell r="H5197" t="str">
            <v>SEVA</v>
          </cell>
          <cell r="I5197">
            <v>4.7</v>
          </cell>
        </row>
        <row r="5198">
          <cell r="A5198" t="str">
            <v>19-05197</v>
          </cell>
          <cell r="B5198" t="str">
            <v>SEVA GROUP</v>
          </cell>
          <cell r="C5198" t="str">
            <v>A</v>
          </cell>
          <cell r="D5198" t="str">
            <v>NO</v>
          </cell>
          <cell r="E5198" t="str">
            <v>FOIL PLAYPACK MINIONS</v>
          </cell>
          <cell r="F5198" t="str">
            <v>LIBRO</v>
          </cell>
          <cell r="G5198" t="str">
            <v>TOY-315279-CAT</v>
          </cell>
          <cell r="H5198" t="str">
            <v>SEVA</v>
          </cell>
          <cell r="I5198">
            <v>4</v>
          </cell>
        </row>
        <row r="5199">
          <cell r="A5199" t="str">
            <v>19-05198</v>
          </cell>
          <cell r="B5199" t="str">
            <v>SEVA GROUP</v>
          </cell>
          <cell r="C5199" t="str">
            <v>A</v>
          </cell>
          <cell r="D5199" t="str">
            <v>NO</v>
          </cell>
          <cell r="E5199" t="str">
            <v>LINCENSED TATTOO PACK PRINCESS SOFIA</v>
          </cell>
          <cell r="F5199" t="str">
            <v>LIBRO</v>
          </cell>
          <cell r="G5199" t="str">
            <v>TOY-257494-CAT</v>
          </cell>
          <cell r="H5199" t="str">
            <v>SEVA</v>
          </cell>
          <cell r="I5199">
            <v>4</v>
          </cell>
        </row>
        <row r="5200">
          <cell r="A5200" t="str">
            <v>19-05199</v>
          </cell>
          <cell r="B5200" t="str">
            <v>SEVA GROUP</v>
          </cell>
          <cell r="C5200" t="str">
            <v>A</v>
          </cell>
          <cell r="D5200" t="str">
            <v>NO</v>
          </cell>
          <cell r="E5200" t="str">
            <v>FOIL PLAY PACK: DOC MCSTUFFINS</v>
          </cell>
          <cell r="F5200" t="str">
            <v>LIBRO</v>
          </cell>
          <cell r="G5200" t="str">
            <v>TOY-107706-CAT</v>
          </cell>
          <cell r="H5200" t="str">
            <v>SEVA</v>
          </cell>
          <cell r="I5200">
            <v>4</v>
          </cell>
        </row>
        <row r="5201">
          <cell r="A5201" t="str">
            <v>19-05200</v>
          </cell>
          <cell r="B5201" t="str">
            <v>SEVA GROUP</v>
          </cell>
          <cell r="C5201" t="str">
            <v>A</v>
          </cell>
          <cell r="D5201" t="str">
            <v>NO</v>
          </cell>
          <cell r="E5201" t="str">
            <v>DESTINATION FUN GRAB 'N GO ACTIVITY BOOK WITH MARKERS: MINNIE</v>
          </cell>
          <cell r="F5201" t="str">
            <v>LIBRO</v>
          </cell>
          <cell r="G5201" t="str">
            <v>TOY-349494-CAT</v>
          </cell>
          <cell r="H5201" t="str">
            <v>SEVA</v>
          </cell>
          <cell r="I5201">
            <v>5.3</v>
          </cell>
        </row>
        <row r="5202">
          <cell r="A5202" t="str">
            <v>19-05201</v>
          </cell>
          <cell r="B5202" t="str">
            <v>SEVA GROUP</v>
          </cell>
          <cell r="C5202" t="str">
            <v>P</v>
          </cell>
          <cell r="D5202" t="str">
            <v>N/A</v>
          </cell>
          <cell r="E5202" t="str">
            <v>FOIL PLAY PACK: PRINCESS</v>
          </cell>
          <cell r="F5202" t="str">
            <v>LIBRO</v>
          </cell>
          <cell r="G5202" t="str">
            <v>TOY-567593-CAT</v>
          </cell>
          <cell r="H5202" t="str">
            <v>SEVA</v>
          </cell>
          <cell r="I5202">
            <v>4</v>
          </cell>
        </row>
        <row r="5203">
          <cell r="A5203" t="str">
            <v>19-05202</v>
          </cell>
          <cell r="B5203" t="str">
            <v>SEVA GROUP</v>
          </cell>
          <cell r="C5203" t="str">
            <v>A</v>
          </cell>
          <cell r="D5203" t="str">
            <v>NO</v>
          </cell>
          <cell r="E5203" t="str">
            <v>FOIL PLAY PACKS: SPONGEBOB</v>
          </cell>
          <cell r="F5203" t="str">
            <v>LIBRO</v>
          </cell>
          <cell r="G5203" t="str">
            <v>TOY-26005-CAT</v>
          </cell>
          <cell r="H5203" t="str">
            <v>SEVA</v>
          </cell>
          <cell r="I5203">
            <v>4</v>
          </cell>
        </row>
        <row r="5204">
          <cell r="A5204" t="str">
            <v>19-05203</v>
          </cell>
          <cell r="B5204" t="str">
            <v>BOING GLOBAL</v>
          </cell>
          <cell r="C5204" t="str">
            <v>A</v>
          </cell>
          <cell r="D5204" t="str">
            <v>NO</v>
          </cell>
          <cell r="E5204" t="str">
            <v>TY BEANIE BOOS SKY HIGH - JIRAFA REGULAR</v>
          </cell>
          <cell r="F5204" t="str">
            <v>PELUCHE</v>
          </cell>
          <cell r="G5204">
            <v>36178</v>
          </cell>
          <cell r="H5204" t="str">
            <v>TY</v>
          </cell>
          <cell r="I5204">
            <v>2.74</v>
          </cell>
        </row>
        <row r="5205">
          <cell r="A5205" t="str">
            <v>19-05204</v>
          </cell>
          <cell r="B5205" t="str">
            <v>BOING GLOBAL</v>
          </cell>
          <cell r="C5205" t="str">
            <v>A</v>
          </cell>
          <cell r="D5205" t="str">
            <v>NO</v>
          </cell>
          <cell r="E5205" t="str">
            <v>TY BEANIE BOOS PIPPIE - PERRO BLANCO CLIP</v>
          </cell>
          <cell r="F5205" t="str">
            <v>PELUCHE</v>
          </cell>
          <cell r="G5205">
            <v>35006</v>
          </cell>
          <cell r="H5205" t="str">
            <v>TY</v>
          </cell>
          <cell r="I5205">
            <v>1.67</v>
          </cell>
        </row>
        <row r="5206">
          <cell r="A5206" t="str">
            <v>19-05205</v>
          </cell>
          <cell r="B5206" t="str">
            <v>BOING GLOBAL</v>
          </cell>
          <cell r="C5206" t="str">
            <v>A</v>
          </cell>
          <cell r="D5206" t="str">
            <v>NO</v>
          </cell>
          <cell r="E5206" t="str">
            <v>TY BEANIE BOOS DOTTY - LEOPARDO MULTICOLOR MEDIANO</v>
          </cell>
          <cell r="F5206" t="str">
            <v>PELUCHE</v>
          </cell>
          <cell r="G5206">
            <v>37074</v>
          </cell>
          <cell r="H5206" t="str">
            <v>TY</v>
          </cell>
          <cell r="I5206">
            <v>5.53</v>
          </cell>
        </row>
        <row r="5207">
          <cell r="A5207" t="str">
            <v>19-05206</v>
          </cell>
          <cell r="B5207" t="str">
            <v>TDL</v>
          </cell>
          <cell r="C5207" t="str">
            <v>A</v>
          </cell>
          <cell r="D5207" t="str">
            <v>NO</v>
          </cell>
          <cell r="E5207" t="str">
            <v>24291-29930 12 HOUR NASAL SPRAY  6X1OZ</v>
          </cell>
          <cell r="F5207" t="str">
            <v>MEDICINA</v>
          </cell>
          <cell r="G5207" t="str">
            <v>24291-29930</v>
          </cell>
          <cell r="H5207" t="str">
            <v>12 HOUR</v>
          </cell>
          <cell r="I5207">
            <v>0</v>
          </cell>
        </row>
        <row r="5208">
          <cell r="A5208" t="str">
            <v>19-05207</v>
          </cell>
          <cell r="B5208" t="str">
            <v>TDL</v>
          </cell>
          <cell r="C5208" t="str">
            <v>A</v>
          </cell>
          <cell r="D5208" t="str">
            <v>NO</v>
          </cell>
          <cell r="E5208" t="str">
            <v>24291-26137 ADVIL IBUPROFEN CARDED CARD OF 4 144X1</v>
          </cell>
          <cell r="F5208" t="str">
            <v>MEDICINA</v>
          </cell>
          <cell r="G5208" t="str">
            <v>24291-26137</v>
          </cell>
          <cell r="H5208" t="str">
            <v>ADVIL</v>
          </cell>
          <cell r="I5208">
            <v>155.76</v>
          </cell>
        </row>
        <row r="5209">
          <cell r="A5209" t="str">
            <v>19-05208</v>
          </cell>
          <cell r="B5209" t="str">
            <v>TDL</v>
          </cell>
          <cell r="C5209" t="str">
            <v>A</v>
          </cell>
          <cell r="D5209" t="str">
            <v>NO</v>
          </cell>
          <cell r="E5209" t="str">
            <v>24291-26139 ADVIL IBUPROFEN LIQUI-GELS CARDED CARD OF 4 144X1</v>
          </cell>
          <cell r="F5209" t="str">
            <v>MEDICINA</v>
          </cell>
          <cell r="G5209" t="str">
            <v>24291-26139</v>
          </cell>
          <cell r="H5209" t="str">
            <v>ADVIL</v>
          </cell>
          <cell r="I5209">
            <v>168</v>
          </cell>
        </row>
        <row r="5210">
          <cell r="A5210" t="str">
            <v>19-05209</v>
          </cell>
          <cell r="B5210" t="str">
            <v>TDL</v>
          </cell>
          <cell r="C5210" t="str">
            <v>A</v>
          </cell>
          <cell r="D5210" t="str">
            <v>NO</v>
          </cell>
          <cell r="E5210" t="str">
            <v>24291-26113 ALKA SELTZER ANTACID &amp; PAIN RELIEF CARDED CARD OF 4 144X1</v>
          </cell>
          <cell r="F5210" t="str">
            <v>MEDICINA</v>
          </cell>
          <cell r="G5210" t="str">
            <v>24291-26113</v>
          </cell>
          <cell r="H5210" t="str">
            <v>BAYER</v>
          </cell>
          <cell r="I5210">
            <v>167.28</v>
          </cell>
        </row>
        <row r="5211">
          <cell r="A5211" t="str">
            <v>19-05210</v>
          </cell>
          <cell r="B5211" t="str">
            <v>TDL</v>
          </cell>
          <cell r="C5211" t="str">
            <v>A</v>
          </cell>
          <cell r="D5211" t="str">
            <v>NO</v>
          </cell>
          <cell r="E5211" t="str">
            <v>24291-26114 ALKA SELTZER PLUS COLD CARDED CARD OF 2 12X1</v>
          </cell>
          <cell r="F5211" t="str">
            <v>MEDICINA</v>
          </cell>
          <cell r="G5211" t="str">
            <v>24291-26114</v>
          </cell>
          <cell r="H5211" t="str">
            <v>BAYER</v>
          </cell>
          <cell r="I5211">
            <v>0</v>
          </cell>
        </row>
        <row r="5212">
          <cell r="A5212" t="str">
            <v>19-05211</v>
          </cell>
          <cell r="B5212" t="str">
            <v>TDL</v>
          </cell>
          <cell r="C5212" t="str">
            <v>A</v>
          </cell>
          <cell r="D5212" t="str">
            <v>NO</v>
          </cell>
          <cell r="E5212" t="str">
            <v>24291-26109 BAYER ASPIRIN CARDED CARD OF 4 144X1</v>
          </cell>
          <cell r="F5212" t="str">
            <v>MEDICINA</v>
          </cell>
          <cell r="G5212" t="str">
            <v>24291-26109</v>
          </cell>
          <cell r="H5212" t="str">
            <v>BAYER</v>
          </cell>
          <cell r="I5212">
            <v>129.12</v>
          </cell>
        </row>
        <row r="5213">
          <cell r="A5213" t="str">
            <v>19-05212</v>
          </cell>
          <cell r="B5213" t="str">
            <v>TDL</v>
          </cell>
          <cell r="C5213" t="str">
            <v>A</v>
          </cell>
          <cell r="D5213" t="str">
            <v>NO</v>
          </cell>
          <cell r="E5213" t="str">
            <v>24291-26138 BENADRYL ALLERGY CARD OF 2 144X1</v>
          </cell>
          <cell r="F5213" t="str">
            <v>MEDICINA</v>
          </cell>
          <cell r="G5213" t="str">
            <v>24291-26138</v>
          </cell>
          <cell r="H5213" t="str">
            <v>BENADRYL</v>
          </cell>
          <cell r="I5213">
            <v>114.24</v>
          </cell>
        </row>
        <row r="5214">
          <cell r="A5214" t="str">
            <v>19-05213</v>
          </cell>
          <cell r="B5214" t="str">
            <v>TDL</v>
          </cell>
          <cell r="C5214" t="str">
            <v>A</v>
          </cell>
          <cell r="D5214" t="str">
            <v>NO</v>
          </cell>
          <cell r="E5214" t="str">
            <v>55708-11635 CLARITIN ALLERGY NON-DROWSY CARDED CARD OF 1 144X1</v>
          </cell>
          <cell r="F5214" t="str">
            <v>MEDICINA</v>
          </cell>
          <cell r="G5214" t="str">
            <v>55708-11630</v>
          </cell>
          <cell r="H5214" t="str">
            <v>BAYER</v>
          </cell>
          <cell r="I5214">
            <v>243.48</v>
          </cell>
        </row>
        <row r="5215">
          <cell r="A5215" t="str">
            <v>19-05214</v>
          </cell>
          <cell r="B5215" t="str">
            <v>TDL</v>
          </cell>
          <cell r="C5215" t="str">
            <v>A</v>
          </cell>
          <cell r="D5215" t="str">
            <v>NO</v>
          </cell>
          <cell r="E5215" t="str">
            <v>24291-26146 DAYQUIL COLD &amp; FLU RELIEF CARDED CARD OF 2 144X1</v>
          </cell>
          <cell r="F5215" t="str">
            <v>MEDICINA</v>
          </cell>
          <cell r="G5215" t="str">
            <v>24291-26146</v>
          </cell>
          <cell r="H5215" t="str">
            <v>VICKS</v>
          </cell>
          <cell r="I5215">
            <v>144.12</v>
          </cell>
        </row>
        <row r="5216">
          <cell r="A5216" t="str">
            <v>19-05215</v>
          </cell>
          <cell r="B5216" t="str">
            <v>TDL</v>
          </cell>
          <cell r="C5216" t="str">
            <v>A</v>
          </cell>
          <cell r="D5216" t="str">
            <v>NO</v>
          </cell>
          <cell r="E5216" t="str">
            <v>24291-26134 DRAMAMINE MOTION SICKNESS RELIEF TABLETS CARDED CARD OF 2 144X1</v>
          </cell>
          <cell r="F5216" t="str">
            <v>MEDICINA</v>
          </cell>
          <cell r="G5216" t="str">
            <v>24291-26134</v>
          </cell>
          <cell r="H5216" t="str">
            <v>DRAMAMINE</v>
          </cell>
          <cell r="I5216">
            <v>140.76</v>
          </cell>
        </row>
        <row r="5217">
          <cell r="A5217" t="str">
            <v>19-05216</v>
          </cell>
          <cell r="B5217" t="str">
            <v>TDL</v>
          </cell>
          <cell r="C5217" t="str">
            <v>A</v>
          </cell>
          <cell r="D5217" t="str">
            <v>NO</v>
          </cell>
          <cell r="E5217" t="str">
            <v>24291-26585 EXCEDRIN EXTRA STRENGTH CARDED CARD OF 4 144X1</v>
          </cell>
          <cell r="F5217" t="str">
            <v>MEDICINA</v>
          </cell>
          <cell r="G5217" t="str">
            <v>24291-26585</v>
          </cell>
          <cell r="H5217" t="str">
            <v>EXCEDRIN</v>
          </cell>
          <cell r="I5217">
            <v>149.625</v>
          </cell>
        </row>
        <row r="5218">
          <cell r="A5218" t="str">
            <v>19-05217</v>
          </cell>
          <cell r="B5218" t="str">
            <v>TDL</v>
          </cell>
          <cell r="C5218" t="str">
            <v>A</v>
          </cell>
          <cell r="D5218" t="str">
            <v>NO</v>
          </cell>
          <cell r="E5218" t="str">
            <v>24291-27396 MOTRIN IBUPROFEN CARDED CARD OF 4 144X1</v>
          </cell>
          <cell r="F5218" t="str">
            <v>MEDICINA</v>
          </cell>
          <cell r="G5218" t="str">
            <v>24291-27396</v>
          </cell>
          <cell r="H5218" t="str">
            <v>MOTRIN</v>
          </cell>
          <cell r="I5218">
            <v>190.25</v>
          </cell>
        </row>
        <row r="5219">
          <cell r="A5219" t="str">
            <v>19-05218</v>
          </cell>
          <cell r="B5219" t="str">
            <v>TDL</v>
          </cell>
          <cell r="C5219" t="str">
            <v>A</v>
          </cell>
          <cell r="D5219" t="str">
            <v>NO</v>
          </cell>
          <cell r="E5219" t="str">
            <v>24291-26152 MUCINEX DM EXPECTORANT &amp; COUGH SUPPRESSANT PACK OF 2 144X1</v>
          </cell>
          <cell r="F5219" t="str">
            <v>MEDICINA</v>
          </cell>
          <cell r="G5219" t="str">
            <v>24291-26152</v>
          </cell>
          <cell r="H5219" t="str">
            <v>MUCINEX</v>
          </cell>
          <cell r="I5219">
            <v>252</v>
          </cell>
        </row>
        <row r="5220">
          <cell r="A5220" t="str">
            <v>19-05219</v>
          </cell>
          <cell r="B5220" t="str">
            <v>TDL</v>
          </cell>
          <cell r="C5220" t="str">
            <v>A</v>
          </cell>
          <cell r="D5220" t="str">
            <v>NO</v>
          </cell>
          <cell r="E5220" t="str">
            <v>24291-26145 PEPTO BISMOL CHEWABLES CARDED CARD OF 4 144X1</v>
          </cell>
          <cell r="F5220" t="str">
            <v>MEDICINA</v>
          </cell>
          <cell r="G5220" t="str">
            <v>24291-26145</v>
          </cell>
          <cell r="H5220" t="str">
            <v>PEPTO BISMOL</v>
          </cell>
          <cell r="I5220">
            <v>197.04</v>
          </cell>
        </row>
        <row r="5221">
          <cell r="A5221" t="str">
            <v>19-05220</v>
          </cell>
          <cell r="B5221" t="str">
            <v>TDL</v>
          </cell>
          <cell r="C5221" t="str">
            <v>A</v>
          </cell>
          <cell r="D5221" t="str">
            <v>NO</v>
          </cell>
          <cell r="E5221" t="str">
            <v>24291-27397 TYLENOL EXTRA STRENGTH CARDED CARD OF 4 144X1</v>
          </cell>
          <cell r="F5221" t="str">
            <v>MEDICINA</v>
          </cell>
          <cell r="G5221" t="str">
            <v>24291-27397</v>
          </cell>
          <cell r="H5221" t="str">
            <v>TYLENOL</v>
          </cell>
          <cell r="I5221">
            <v>190.56</v>
          </cell>
        </row>
        <row r="5222">
          <cell r="A5222" t="str">
            <v>19-05221</v>
          </cell>
          <cell r="B5222" t="str">
            <v>TDL</v>
          </cell>
          <cell r="C5222" t="str">
            <v>A</v>
          </cell>
          <cell r="D5222" t="str">
            <v>NO</v>
          </cell>
          <cell r="E5222" t="str">
            <v>24291-26151 VICKS VAPORUB TOPICAL OINTMENT 144X0.45OZ</v>
          </cell>
          <cell r="F5222" t="str">
            <v>MEDICINA</v>
          </cell>
          <cell r="G5222" t="str">
            <v>24291-26151</v>
          </cell>
          <cell r="H5222" t="str">
            <v>VICKS</v>
          </cell>
          <cell r="I5222">
            <v>221.9</v>
          </cell>
        </row>
        <row r="5223">
          <cell r="A5223" t="str">
            <v>19-05222</v>
          </cell>
          <cell r="B5223" t="str">
            <v>TDL</v>
          </cell>
          <cell r="C5223" t="str">
            <v>A</v>
          </cell>
          <cell r="D5223" t="str">
            <v>NO</v>
          </cell>
          <cell r="E5223" t="str">
            <v>24291-26116 ZANTAC 75 ACID REDUCER CARDED CARD OF 2 144X1</v>
          </cell>
          <cell r="F5223" t="str">
            <v>MEDICINA</v>
          </cell>
          <cell r="G5223" t="str">
            <v>24291-26116</v>
          </cell>
          <cell r="H5223" t="str">
            <v>ZANTAC</v>
          </cell>
          <cell r="I5223">
            <v>195.36</v>
          </cell>
        </row>
        <row r="5224">
          <cell r="A5224" t="str">
            <v>19-05223</v>
          </cell>
          <cell r="B5224" t="str">
            <v>TDL</v>
          </cell>
          <cell r="C5224" t="str">
            <v>A</v>
          </cell>
          <cell r="D5224" t="str">
            <v>NO</v>
          </cell>
          <cell r="E5224" t="str">
            <v>21128 ARM &amp; HAMMER ADVANCE WHITE TOOTHPASTE 1X0.9OZ</v>
          </cell>
          <cell r="F5224" t="str">
            <v>PASTA DENTAL</v>
          </cell>
          <cell r="G5224">
            <v>21128</v>
          </cell>
          <cell r="H5224" t="str">
            <v>ARM AND HAMMER</v>
          </cell>
          <cell r="I5224">
            <v>0</v>
          </cell>
        </row>
        <row r="5225">
          <cell r="A5225" t="str">
            <v>19-05224</v>
          </cell>
          <cell r="B5225" t="str">
            <v>TDL</v>
          </cell>
          <cell r="C5225" t="str">
            <v>A</v>
          </cell>
          <cell r="D5225" t="str">
            <v>NO</v>
          </cell>
          <cell r="E5225" t="str">
            <v>24141-00 BLISTEX MEDICATED BERRY LIP BALM SPF 15 TUBE 24X0.15OZ</v>
          </cell>
          <cell r="F5225" t="str">
            <v>LIP BALM</v>
          </cell>
          <cell r="G5225" t="str">
            <v>24141-00</v>
          </cell>
          <cell r="H5225" t="str">
            <v>BLISTEX</v>
          </cell>
          <cell r="I5225">
            <v>0</v>
          </cell>
        </row>
        <row r="5226">
          <cell r="A5226" t="str">
            <v>19-05225</v>
          </cell>
          <cell r="B5226" t="str">
            <v>TDL</v>
          </cell>
          <cell r="C5226" t="str">
            <v>A</v>
          </cell>
          <cell r="D5226" t="str">
            <v>NO</v>
          </cell>
          <cell r="E5226" t="str">
            <v>24143-00 BLISTEX MEDICATED LIP BALM SPF 15 TUBE 24X0.15OZ</v>
          </cell>
          <cell r="F5226" t="str">
            <v>LIP BALM</v>
          </cell>
          <cell r="G5226" t="str">
            <v>24143-00</v>
          </cell>
          <cell r="H5226" t="str">
            <v>BLISTEX</v>
          </cell>
          <cell r="I5226">
            <v>0</v>
          </cell>
        </row>
        <row r="5227">
          <cell r="A5227" t="str">
            <v>19-05226</v>
          </cell>
          <cell r="B5227" t="str">
            <v>TDL</v>
          </cell>
          <cell r="C5227" t="str">
            <v>A</v>
          </cell>
          <cell r="D5227" t="str">
            <v>SI</v>
          </cell>
          <cell r="E5227" t="str">
            <v>24291-29039 CLEAN &amp; CLEAR CREAM CLEANSER 32X1OZ</v>
          </cell>
          <cell r="F5227" t="str">
            <v>CREMAS</v>
          </cell>
          <cell r="G5227" t="str">
            <v>24291-29039</v>
          </cell>
          <cell r="H5227" t="str">
            <v>CLEAN AND CLEAR</v>
          </cell>
          <cell r="I5227">
            <v>49.52</v>
          </cell>
        </row>
        <row r="5228">
          <cell r="A5228" t="str">
            <v>19-05227</v>
          </cell>
          <cell r="B5228" t="str">
            <v>TDL</v>
          </cell>
          <cell r="C5228" t="str">
            <v>A</v>
          </cell>
          <cell r="D5228" t="str">
            <v>SI</v>
          </cell>
          <cell r="E5228" t="str">
            <v>24291-29068 COLGATE PASTE &amp; TRAVEL TOOTHBRUSH 32X0.85OZ</v>
          </cell>
          <cell r="F5228" t="str">
            <v>PASTA DENTAL</v>
          </cell>
          <cell r="G5228" t="str">
            <v>24291-29068</v>
          </cell>
          <cell r="H5228" t="str">
            <v>COLGATE</v>
          </cell>
          <cell r="I5228">
            <v>77.34</v>
          </cell>
        </row>
        <row r="5229">
          <cell r="A5229" t="str">
            <v>19-05228</v>
          </cell>
          <cell r="B5229" t="str">
            <v>TDL</v>
          </cell>
          <cell r="C5229" t="str">
            <v>A</v>
          </cell>
          <cell r="D5229" t="str">
            <v>SI</v>
          </cell>
          <cell r="E5229" t="str">
            <v>83725-42110 COTTON BUDS SWABS PACK OF 24</v>
          </cell>
          <cell r="F5229" t="str">
            <v>APLICADORES</v>
          </cell>
          <cell r="G5229" t="str">
            <v>83725-42110</v>
          </cell>
          <cell r="H5229" t="str">
            <v>COTTON BUDS</v>
          </cell>
          <cell r="I5229">
            <v>14.4</v>
          </cell>
        </row>
        <row r="5230">
          <cell r="A5230" t="str">
            <v>19-05229</v>
          </cell>
          <cell r="B5230" t="str">
            <v>TDL</v>
          </cell>
          <cell r="C5230" t="str">
            <v>A</v>
          </cell>
          <cell r="D5230" t="str">
            <v>SI</v>
          </cell>
          <cell r="E5230" t="str">
            <v>24291-29159 CREST REGULAR TOOTHPASTE &amp; TRAVEL TOOTHBRUSH 48X0.85OZ</v>
          </cell>
          <cell r="F5230" t="str">
            <v>PASTA DENTAL</v>
          </cell>
          <cell r="G5230" t="str">
            <v>24291-29159</v>
          </cell>
          <cell r="H5230" t="str">
            <v>CREST</v>
          </cell>
          <cell r="I5230">
            <v>72.88</v>
          </cell>
        </row>
        <row r="5231">
          <cell r="A5231" t="str">
            <v>19-05230</v>
          </cell>
          <cell r="B5231" t="str">
            <v>TDL</v>
          </cell>
          <cell r="C5231" t="str">
            <v>A</v>
          </cell>
          <cell r="D5231" t="str">
            <v>SI</v>
          </cell>
          <cell r="E5231" t="str">
            <v>79400-15229 DEGREE MEN ULTRA DRY 36X0.5OZ</v>
          </cell>
          <cell r="F5231" t="str">
            <v>DESODORANTE</v>
          </cell>
          <cell r="G5231" t="str">
            <v>79400-15229</v>
          </cell>
          <cell r="H5231" t="str">
            <v>DEGREE</v>
          </cell>
          <cell r="I5231">
            <v>33.950000000000003</v>
          </cell>
        </row>
        <row r="5232">
          <cell r="A5232" t="str">
            <v>19-05231</v>
          </cell>
          <cell r="B5232" t="str">
            <v>TDL</v>
          </cell>
          <cell r="C5232" t="str">
            <v>A</v>
          </cell>
          <cell r="D5232" t="str">
            <v>SI</v>
          </cell>
          <cell r="E5232" t="str">
            <v>79400-56430 DEGREE WOMEN SHOWER CLEAN 36X0.5OZ</v>
          </cell>
          <cell r="F5232" t="str">
            <v>CREMAS</v>
          </cell>
          <cell r="G5232" t="str">
            <v>79400-56430</v>
          </cell>
          <cell r="H5232" t="str">
            <v>DEGREE</v>
          </cell>
          <cell r="I5232">
            <v>33.950000000000003</v>
          </cell>
        </row>
        <row r="5233">
          <cell r="A5233" t="str">
            <v>19-05232</v>
          </cell>
          <cell r="B5233" t="str">
            <v>TDL</v>
          </cell>
          <cell r="C5233" t="str">
            <v>A</v>
          </cell>
          <cell r="D5233" t="str">
            <v>SI</v>
          </cell>
          <cell r="E5233" t="str">
            <v>79400-38057 DOVE ADVANCED CARE DEODORANT 36X0.5OZ</v>
          </cell>
          <cell r="F5233" t="str">
            <v>DESODORANTE</v>
          </cell>
          <cell r="G5233" t="str">
            <v>79400-38057</v>
          </cell>
          <cell r="H5233" t="str">
            <v>DOVE</v>
          </cell>
          <cell r="I5233">
            <v>45.72</v>
          </cell>
        </row>
        <row r="5234">
          <cell r="A5234" t="str">
            <v>19-05233</v>
          </cell>
          <cell r="B5234" t="str">
            <v>TDL</v>
          </cell>
          <cell r="C5234" t="str">
            <v>A</v>
          </cell>
          <cell r="D5234" t="str">
            <v>SI</v>
          </cell>
          <cell r="E5234" t="str">
            <v>26268 DOVE WHITE BEAUTY SOAP BAR 1X2.6OZ</v>
          </cell>
          <cell r="F5234" t="str">
            <v>JABON</v>
          </cell>
          <cell r="G5234">
            <v>26268</v>
          </cell>
          <cell r="H5234" t="str">
            <v>DOVE</v>
          </cell>
          <cell r="I5234">
            <v>0</v>
          </cell>
        </row>
        <row r="5235">
          <cell r="A5235" t="str">
            <v>19-05234</v>
          </cell>
          <cell r="B5235" t="str">
            <v>TDL</v>
          </cell>
          <cell r="C5235" t="str">
            <v>A</v>
          </cell>
          <cell r="D5235" t="str">
            <v>SI</v>
          </cell>
          <cell r="E5235" t="str">
            <v>81519-01991 HERBAL ESSENCES HELLO HYDRATION CONDITIONER 36X1.7OZ</v>
          </cell>
          <cell r="F5235" t="str">
            <v>ACONDICIONADOR</v>
          </cell>
          <cell r="G5235" t="str">
            <v>81519-01991</v>
          </cell>
          <cell r="H5235" t="str">
            <v>HERBAL ESSENCES</v>
          </cell>
          <cell r="I5235">
            <v>28.8</v>
          </cell>
        </row>
        <row r="5236">
          <cell r="A5236" t="str">
            <v>19-05235</v>
          </cell>
          <cell r="B5236" t="str">
            <v>TDL</v>
          </cell>
          <cell r="C5236" t="str">
            <v>A</v>
          </cell>
          <cell r="D5236" t="str">
            <v>SI</v>
          </cell>
          <cell r="E5236" t="str">
            <v>81519-01990 HERBAL ESSENCES HELLO HYDRATION SHAMPOO 36X1.7OZ</v>
          </cell>
          <cell r="F5236" t="str">
            <v>SHAMPOO</v>
          </cell>
          <cell r="G5236" t="str">
            <v>81519-01990</v>
          </cell>
          <cell r="H5236" t="str">
            <v>HERBAL ESSENCES</v>
          </cell>
          <cell r="I5236">
            <v>28.8</v>
          </cell>
        </row>
        <row r="5237">
          <cell r="A5237" t="str">
            <v>19-05236</v>
          </cell>
          <cell r="B5237" t="str">
            <v>TDL</v>
          </cell>
          <cell r="C5237" t="str">
            <v>A</v>
          </cell>
          <cell r="D5237" t="str">
            <v>SI</v>
          </cell>
          <cell r="E5237" t="str">
            <v>81371-03005 JOHNSON'S BABY LOTION 48X3OZ</v>
          </cell>
          <cell r="F5237" t="str">
            <v>CREMAS</v>
          </cell>
          <cell r="G5237" t="str">
            <v>81371-03005</v>
          </cell>
          <cell r="H5237" t="str">
            <v>JOHNSON'S</v>
          </cell>
          <cell r="I5237">
            <v>124.4</v>
          </cell>
        </row>
        <row r="5238">
          <cell r="A5238" t="str">
            <v>19-05237</v>
          </cell>
          <cell r="B5238" t="str">
            <v>TDL</v>
          </cell>
          <cell r="C5238" t="str">
            <v>A</v>
          </cell>
          <cell r="D5238" t="str">
            <v>SI</v>
          </cell>
          <cell r="E5238" t="str">
            <v>81370-04170 JOHNSON'S BABY OIL 48X3OZ</v>
          </cell>
          <cell r="F5238" t="str">
            <v>OIL</v>
          </cell>
          <cell r="G5238" t="str">
            <v>81370-04170</v>
          </cell>
          <cell r="H5238" t="str">
            <v>JOHNSON'S</v>
          </cell>
          <cell r="I5238">
            <v>93.3</v>
          </cell>
        </row>
        <row r="5239">
          <cell r="A5239" t="str">
            <v>19-05238</v>
          </cell>
          <cell r="B5239" t="str">
            <v>TDL</v>
          </cell>
          <cell r="C5239" t="str">
            <v>A</v>
          </cell>
          <cell r="D5239" t="str">
            <v>SI</v>
          </cell>
          <cell r="E5239" t="str">
            <v>81370-03712 JOHNSON'S BABY SHAMPOO 144X1.5OZ</v>
          </cell>
          <cell r="F5239" t="str">
            <v>SHAMPOO</v>
          </cell>
          <cell r="G5239" t="str">
            <v>81370-03712</v>
          </cell>
          <cell r="H5239" t="str">
            <v>JOHNSON'S</v>
          </cell>
          <cell r="I5239">
            <v>161.43</v>
          </cell>
        </row>
        <row r="5240">
          <cell r="A5240" t="str">
            <v>19-05239</v>
          </cell>
          <cell r="B5240" t="str">
            <v>TDL</v>
          </cell>
          <cell r="C5240" t="str">
            <v>A</v>
          </cell>
          <cell r="D5240" t="str">
            <v>SI</v>
          </cell>
          <cell r="E5240" t="str">
            <v>81370-03001 JOHNSON'S PURE CORNSTARCH BABY POWDER 96X1.5OZ</v>
          </cell>
          <cell r="F5240" t="str">
            <v>POLVO</v>
          </cell>
          <cell r="G5240" t="str">
            <v>81370-03001</v>
          </cell>
          <cell r="H5240" t="str">
            <v>JOHNSON'S</v>
          </cell>
          <cell r="I5240">
            <v>121.92</v>
          </cell>
        </row>
        <row r="5241">
          <cell r="A5241" t="str">
            <v>19-05240</v>
          </cell>
          <cell r="B5241" t="str">
            <v>TDL</v>
          </cell>
          <cell r="C5241" t="str">
            <v>A</v>
          </cell>
          <cell r="D5241" t="str">
            <v>SI</v>
          </cell>
          <cell r="E5241" t="str">
            <v>22200-96299 LADY SPEED STICK POWDER FRESH 12X1.4OZ</v>
          </cell>
          <cell r="F5241" t="str">
            <v>DESODORANTE</v>
          </cell>
          <cell r="G5241" t="str">
            <v>22200-96299</v>
          </cell>
          <cell r="H5241" t="str">
            <v>LADY SPEED STICK</v>
          </cell>
          <cell r="I5241">
            <v>25.26</v>
          </cell>
        </row>
        <row r="5242">
          <cell r="A5242" t="str">
            <v>19-05241</v>
          </cell>
          <cell r="B5242" t="str">
            <v>TDL</v>
          </cell>
          <cell r="C5242" t="str">
            <v>A</v>
          </cell>
          <cell r="D5242" t="str">
            <v>SI</v>
          </cell>
          <cell r="E5242" t="str">
            <v>12547-70895 LISTERINE ORIGINAL MOUTHWASH 24X3.2OZ</v>
          </cell>
          <cell r="F5242" t="str">
            <v>ENJUAGUE BUCAL</v>
          </cell>
          <cell r="G5242" t="str">
            <v>12547-70895</v>
          </cell>
          <cell r="H5242" t="str">
            <v>LISTERINE</v>
          </cell>
          <cell r="I5242">
            <v>37.82</v>
          </cell>
        </row>
        <row r="5243">
          <cell r="A5243" t="str">
            <v>19-05242</v>
          </cell>
          <cell r="B5243" t="str">
            <v>TDL</v>
          </cell>
          <cell r="C5243" t="str">
            <v>A</v>
          </cell>
          <cell r="D5243" t="str">
            <v>SI</v>
          </cell>
          <cell r="E5243" t="str">
            <v>24291-29063 LUBRIDERM DAILY MOISTURE LOTION TRAVEL SIZE 48X1OZ</v>
          </cell>
          <cell r="F5243" t="str">
            <v>CREMAS</v>
          </cell>
          <cell r="G5243" t="str">
            <v>24291-29063</v>
          </cell>
          <cell r="H5243" t="str">
            <v>LUBRIDERM</v>
          </cell>
          <cell r="I5243">
            <v>63.84</v>
          </cell>
        </row>
        <row r="5244">
          <cell r="A5244" t="str">
            <v>19-05243</v>
          </cell>
          <cell r="B5244" t="str">
            <v>TDL</v>
          </cell>
          <cell r="C5244" t="str">
            <v>A</v>
          </cell>
          <cell r="D5244" t="str">
            <v>SI</v>
          </cell>
          <cell r="E5244" t="str">
            <v>24291-29996 TRAVEL KIT MEN'S 9 PIECE 12X1</v>
          </cell>
          <cell r="F5244" t="str">
            <v>SET DE BANO</v>
          </cell>
          <cell r="G5244" t="str">
            <v>24291-29996</v>
          </cell>
          <cell r="H5244" t="str">
            <v>TRAVEL KIT</v>
          </cell>
          <cell r="I5244">
            <v>72</v>
          </cell>
        </row>
        <row r="5245">
          <cell r="A5245" t="str">
            <v>19-05244</v>
          </cell>
          <cell r="B5245" t="str">
            <v>TDL</v>
          </cell>
          <cell r="C5245" t="str">
            <v>A</v>
          </cell>
          <cell r="D5245" t="str">
            <v>SI</v>
          </cell>
          <cell r="E5245" t="str">
            <v>73852-02612 PURELL ADVANCED HAND SANITIZER 25X1OZ</v>
          </cell>
          <cell r="F5245" t="str">
            <v>JABON</v>
          </cell>
          <cell r="G5245" t="str">
            <v>73852-02612</v>
          </cell>
          <cell r="H5245" t="str">
            <v>PURELL</v>
          </cell>
          <cell r="I5245">
            <v>35.19</v>
          </cell>
        </row>
        <row r="5246">
          <cell r="A5246" t="str">
            <v>19-05245</v>
          </cell>
          <cell r="B5246" t="str">
            <v>TDL</v>
          </cell>
          <cell r="C5246" t="str">
            <v>A</v>
          </cell>
          <cell r="D5246" t="str">
            <v>SI</v>
          </cell>
          <cell r="E5246" t="str">
            <v>73852-00938 PURELL ADVANCED HAND SANITIZER WITH ALOE 24X2OZ</v>
          </cell>
          <cell r="F5246" t="str">
            <v>JABON</v>
          </cell>
          <cell r="G5246" t="str">
            <v>73852-00938</v>
          </cell>
          <cell r="H5246" t="str">
            <v>PURELL</v>
          </cell>
          <cell r="I5246">
            <v>40.57</v>
          </cell>
        </row>
        <row r="5247">
          <cell r="A5247" t="str">
            <v>19-05246</v>
          </cell>
          <cell r="B5247" t="str">
            <v>TDL</v>
          </cell>
          <cell r="C5247" t="str">
            <v>A</v>
          </cell>
          <cell r="D5247" t="str">
            <v>SI</v>
          </cell>
          <cell r="E5247" t="str">
            <v>73852-05542 PURELL HAND SANITIZER WITH JELLY WRAP 72X1OZ</v>
          </cell>
          <cell r="F5247" t="str">
            <v>JABON</v>
          </cell>
          <cell r="G5247" t="str">
            <v>73852-05542</v>
          </cell>
          <cell r="H5247" t="str">
            <v>PURELL</v>
          </cell>
          <cell r="I5247">
            <v>99.36</v>
          </cell>
        </row>
        <row r="5248">
          <cell r="A5248" t="str">
            <v>19-05247</v>
          </cell>
          <cell r="B5248" t="str">
            <v>TDL</v>
          </cell>
          <cell r="C5248" t="str">
            <v>A</v>
          </cell>
          <cell r="D5248" t="str">
            <v>SI</v>
          </cell>
          <cell r="E5248" t="str">
            <v>24291-29067 REACH WAXED FLOSS 144X55YD</v>
          </cell>
          <cell r="F5248" t="str">
            <v>HILO DENTAL</v>
          </cell>
          <cell r="G5248" t="str">
            <v>24291-29067</v>
          </cell>
          <cell r="H5248" t="str">
            <v>REACH</v>
          </cell>
          <cell r="I5248">
            <v>197.04</v>
          </cell>
        </row>
        <row r="5249">
          <cell r="A5249" t="str">
            <v>19-05248</v>
          </cell>
          <cell r="B5249" t="str">
            <v>TDL</v>
          </cell>
          <cell r="C5249" t="str">
            <v>A</v>
          </cell>
          <cell r="D5249" t="str">
            <v>SI</v>
          </cell>
          <cell r="E5249" t="str">
            <v>37000-00496 SECRET OUTLAST CLEAR GEL DEODORANT 24X0.5OZ</v>
          </cell>
          <cell r="F5249" t="str">
            <v>DESODORANTE</v>
          </cell>
          <cell r="G5249" t="str">
            <v>37000-00496</v>
          </cell>
          <cell r="H5249" t="str">
            <v>SECRET</v>
          </cell>
          <cell r="I5249">
            <v>27.88</v>
          </cell>
        </row>
        <row r="5250">
          <cell r="A5250" t="str">
            <v>19-05249</v>
          </cell>
          <cell r="B5250" t="str">
            <v>TDL</v>
          </cell>
          <cell r="C5250" t="str">
            <v>A</v>
          </cell>
          <cell r="D5250" t="str">
            <v>SI</v>
          </cell>
          <cell r="E5250" t="str">
            <v>24291-28048 TRAVEL KIT WOMEN'S 9 PIECE 12X1</v>
          </cell>
          <cell r="F5250" t="str">
            <v>SET DE BANO</v>
          </cell>
          <cell r="G5250" t="str">
            <v>24291-28048</v>
          </cell>
          <cell r="H5250" t="str">
            <v>TRAVEL KIT</v>
          </cell>
          <cell r="I5250">
            <v>72</v>
          </cell>
        </row>
        <row r="5251">
          <cell r="A5251" t="str">
            <v>19-05250</v>
          </cell>
          <cell r="B5251" t="str">
            <v>BARRANQUILLA</v>
          </cell>
          <cell r="C5251" t="str">
            <v>A</v>
          </cell>
          <cell r="D5251" t="str">
            <v>N/A</v>
          </cell>
          <cell r="E5251" t="str">
            <v>171 DESIGN GO BRASS CASE LOCKS (20MM) (TWIN PACK)</v>
          </cell>
          <cell r="F5251" t="str">
            <v>TRAVEL ACCESSORIES</v>
          </cell>
          <cell r="G5251">
            <v>171</v>
          </cell>
          <cell r="H5251" t="str">
            <v>DESIGN GO</v>
          </cell>
          <cell r="I5251">
            <v>0</v>
          </cell>
        </row>
        <row r="5252">
          <cell r="A5252" t="str">
            <v>19-05251</v>
          </cell>
          <cell r="B5252" t="str">
            <v>BARRANQUILLA</v>
          </cell>
          <cell r="C5252" t="str">
            <v>A</v>
          </cell>
          <cell r="D5252" t="str">
            <v>N/A</v>
          </cell>
          <cell r="E5252" t="str">
            <v>335 DESIGN GO TRAVEL SENTRY ALERT</v>
          </cell>
          <cell r="F5252" t="str">
            <v>TRAVEL ACCESSORIES</v>
          </cell>
          <cell r="G5252">
            <v>335</v>
          </cell>
          <cell r="H5252" t="str">
            <v>DESIGN GO</v>
          </cell>
          <cell r="I5252">
            <v>0</v>
          </cell>
        </row>
        <row r="5253">
          <cell r="A5253" t="str">
            <v>19-05252</v>
          </cell>
          <cell r="B5253" t="str">
            <v>BARRANQUILLA</v>
          </cell>
          <cell r="C5253" t="str">
            <v>D</v>
          </cell>
          <cell r="D5253" t="str">
            <v>N/A</v>
          </cell>
          <cell r="E5253" t="str">
            <v>344 DESIGN GO TWIN TRAVEL SENTRY CANCELED</v>
          </cell>
          <cell r="F5253" t="str">
            <v>TRAVEL ACCESSORIES</v>
          </cell>
          <cell r="G5253">
            <v>344</v>
          </cell>
          <cell r="H5253" t="str">
            <v>DESIGN GO</v>
          </cell>
          <cell r="I5253">
            <v>0</v>
          </cell>
        </row>
        <row r="5254">
          <cell r="A5254" t="str">
            <v>19-05253</v>
          </cell>
          <cell r="B5254" t="str">
            <v>BARRANQUILLA</v>
          </cell>
          <cell r="C5254" t="str">
            <v>A</v>
          </cell>
          <cell r="D5254" t="str">
            <v>N/A</v>
          </cell>
          <cell r="E5254" t="str">
            <v>648 DESIGN GO WASH BAG</v>
          </cell>
          <cell r="F5254" t="str">
            <v>TRAVEL ACCESSORIES</v>
          </cell>
          <cell r="G5254">
            <v>648</v>
          </cell>
          <cell r="H5254" t="str">
            <v>DESIGN GO</v>
          </cell>
          <cell r="I5254">
            <v>0</v>
          </cell>
        </row>
        <row r="5255">
          <cell r="A5255" t="str">
            <v>19-05254</v>
          </cell>
          <cell r="B5255" t="str">
            <v>BARRANQUILLA</v>
          </cell>
          <cell r="C5255" t="str">
            <v>A</v>
          </cell>
          <cell r="D5255" t="str">
            <v>N/A</v>
          </cell>
          <cell r="E5255" t="str">
            <v>970 DESIGN GO POWER BANK</v>
          </cell>
          <cell r="F5255" t="str">
            <v>TRAVEL ACCESSORIES</v>
          </cell>
          <cell r="G5255">
            <v>970</v>
          </cell>
          <cell r="H5255" t="str">
            <v>DESIGN GO</v>
          </cell>
          <cell r="I5255">
            <v>0</v>
          </cell>
        </row>
        <row r="5256">
          <cell r="A5256" t="str">
            <v>19-05255</v>
          </cell>
          <cell r="B5256" t="str">
            <v>BARRANQUILLA</v>
          </cell>
          <cell r="C5256" t="str">
            <v>A</v>
          </cell>
          <cell r="D5256" t="str">
            <v>N/A</v>
          </cell>
          <cell r="E5256" t="str">
            <v>460 DESIGN GO BEAN SNOOZER</v>
          </cell>
          <cell r="F5256" t="str">
            <v>TRAVEL ACCESSORIES</v>
          </cell>
          <cell r="G5256">
            <v>460</v>
          </cell>
          <cell r="H5256" t="str">
            <v>DESIGN GO</v>
          </cell>
          <cell r="I5256">
            <v>0</v>
          </cell>
        </row>
        <row r="5257">
          <cell r="A5257" t="str">
            <v>19-05256</v>
          </cell>
          <cell r="B5257" t="str">
            <v>BARRANQUILLA</v>
          </cell>
          <cell r="C5257" t="str">
            <v>A</v>
          </cell>
          <cell r="D5257" t="str">
            <v>N/A</v>
          </cell>
          <cell r="E5257" t="str">
            <v>336 DESIGN GO TRAVEL SENTRY LOCK</v>
          </cell>
          <cell r="F5257" t="str">
            <v>TRAVEL ACCESSORIES</v>
          </cell>
          <cell r="G5257">
            <v>336</v>
          </cell>
          <cell r="H5257" t="str">
            <v>DESIGN GO</v>
          </cell>
          <cell r="I5257">
            <v>0</v>
          </cell>
        </row>
        <row r="5258">
          <cell r="A5258" t="str">
            <v>19-05257</v>
          </cell>
          <cell r="B5258" t="str">
            <v>BARRANQUILLA</v>
          </cell>
          <cell r="C5258" t="str">
            <v>A</v>
          </cell>
          <cell r="D5258" t="str">
            <v>N/A</v>
          </cell>
          <cell r="E5258" t="str">
            <v>350 DESIGN GO TRAVEL SENTRY CASE LOCKS (TWIN)</v>
          </cell>
          <cell r="F5258" t="str">
            <v>TRAVEL ACCESSORIES</v>
          </cell>
          <cell r="G5258">
            <v>350</v>
          </cell>
          <cell r="H5258" t="str">
            <v>DESIGN GO</v>
          </cell>
          <cell r="I5258">
            <v>0</v>
          </cell>
        </row>
        <row r="5259">
          <cell r="A5259" t="str">
            <v>19-05258</v>
          </cell>
          <cell r="B5259" t="str">
            <v>BARRANQUILLA</v>
          </cell>
          <cell r="C5259" t="str">
            <v>A</v>
          </cell>
          <cell r="D5259" t="str">
            <v>N/A</v>
          </cell>
          <cell r="E5259" t="str">
            <v>568 DESIGN GO GLO LUGGAGE ID</v>
          </cell>
          <cell r="F5259" t="str">
            <v>TRAVEL ACCESSORIES</v>
          </cell>
          <cell r="G5259">
            <v>568</v>
          </cell>
          <cell r="H5259" t="str">
            <v>DESIGN GO</v>
          </cell>
          <cell r="I5259">
            <v>0</v>
          </cell>
        </row>
        <row r="5260">
          <cell r="A5260" t="str">
            <v>19-05259</v>
          </cell>
          <cell r="B5260" t="str">
            <v>BARRANQUILLA</v>
          </cell>
          <cell r="C5260" t="str">
            <v>A</v>
          </cell>
          <cell r="D5260" t="str">
            <v>N/A</v>
          </cell>
          <cell r="E5260" t="str">
            <v>566 DESIGN GO FAB TAG X 2</v>
          </cell>
          <cell r="F5260" t="str">
            <v>TRAVEL ACCESSORIES</v>
          </cell>
          <cell r="G5260">
            <v>566</v>
          </cell>
          <cell r="H5260" t="str">
            <v>DESIGN GO</v>
          </cell>
          <cell r="I5260">
            <v>0</v>
          </cell>
        </row>
        <row r="5261">
          <cell r="A5261" t="str">
            <v>19-05260</v>
          </cell>
          <cell r="B5261" t="str">
            <v>BARRANQUILLA</v>
          </cell>
          <cell r="C5261" t="str">
            <v>A</v>
          </cell>
          <cell r="D5261" t="str">
            <v>N/A</v>
          </cell>
          <cell r="E5261" t="str">
            <v>450 DESIGN GO SUPER SNOOZER</v>
          </cell>
          <cell r="F5261" t="str">
            <v>TRAVEL ACCESSORIES</v>
          </cell>
          <cell r="G5261">
            <v>450</v>
          </cell>
          <cell r="H5261" t="str">
            <v>DESIGN GO</v>
          </cell>
          <cell r="I5261">
            <v>0</v>
          </cell>
        </row>
        <row r="5262">
          <cell r="A5262" t="str">
            <v>19-05261</v>
          </cell>
          <cell r="B5262" t="str">
            <v>BARRANQUILLA</v>
          </cell>
          <cell r="C5262" t="str">
            <v>A</v>
          </cell>
          <cell r="D5262" t="str">
            <v>N/A</v>
          </cell>
          <cell r="E5262" t="str">
            <v>671 DESIGN GO RFID PASSPORT POUCH</v>
          </cell>
          <cell r="F5262" t="str">
            <v>TRAVEL ACCESSORIES</v>
          </cell>
          <cell r="G5262">
            <v>671</v>
          </cell>
          <cell r="H5262" t="str">
            <v>DESIGN GO</v>
          </cell>
          <cell r="I5262">
            <v>0</v>
          </cell>
        </row>
        <row r="5263">
          <cell r="A5263" t="str">
            <v>19-05262</v>
          </cell>
          <cell r="B5263" t="str">
            <v>BARRANQUILLA</v>
          </cell>
          <cell r="C5263" t="str">
            <v>A</v>
          </cell>
          <cell r="D5263" t="str">
            <v>N/A</v>
          </cell>
          <cell r="E5263" t="str">
            <v>447 DESIGN GO THE SNOOZER</v>
          </cell>
          <cell r="F5263" t="str">
            <v>TRAVEL ACCESSORIES</v>
          </cell>
          <cell r="G5263">
            <v>447</v>
          </cell>
          <cell r="H5263" t="str">
            <v>DESIGN GO</v>
          </cell>
          <cell r="I5263">
            <v>0</v>
          </cell>
        </row>
        <row r="5264">
          <cell r="A5264" t="str">
            <v>19-05263</v>
          </cell>
          <cell r="B5264" t="str">
            <v>BARRANQUILLA</v>
          </cell>
          <cell r="C5264" t="str">
            <v>A</v>
          </cell>
          <cell r="D5264" t="str">
            <v>N/A</v>
          </cell>
          <cell r="E5264" t="str">
            <v>452 DESIGN GO THE SLEEPER</v>
          </cell>
          <cell r="F5264" t="str">
            <v>TRAVEL ACCESSORIES</v>
          </cell>
          <cell r="G5264">
            <v>452</v>
          </cell>
          <cell r="H5264" t="str">
            <v>DESIGN GO</v>
          </cell>
          <cell r="I5264">
            <v>0</v>
          </cell>
        </row>
        <row r="5265">
          <cell r="A5265" t="str">
            <v>19-05264</v>
          </cell>
          <cell r="B5265" t="str">
            <v>BARRANQUILLA</v>
          </cell>
          <cell r="C5265" t="str">
            <v>A</v>
          </cell>
          <cell r="D5265" t="str">
            <v>N/A</v>
          </cell>
          <cell r="E5265" t="str">
            <v>170 DESIGN GO BRASS CASE LOCK (20MM)</v>
          </cell>
          <cell r="F5265" t="str">
            <v>TRAVEL ACCESSORIES</v>
          </cell>
          <cell r="G5265">
            <v>170</v>
          </cell>
          <cell r="H5265" t="str">
            <v>DESIGN GO</v>
          </cell>
          <cell r="I5265">
            <v>0</v>
          </cell>
        </row>
        <row r="5266">
          <cell r="A5266" t="str">
            <v>19-05265</v>
          </cell>
          <cell r="B5266" t="str">
            <v>BARRANQUILLA</v>
          </cell>
          <cell r="C5266" t="str">
            <v>A</v>
          </cell>
          <cell r="D5266" t="str">
            <v>N/A</v>
          </cell>
          <cell r="E5266" t="str">
            <v>379 DESIGN GO WORLDWIDE + USB</v>
          </cell>
          <cell r="F5266" t="str">
            <v>TRAVEL ACCESSORIES</v>
          </cell>
          <cell r="G5266">
            <v>379</v>
          </cell>
          <cell r="H5266" t="str">
            <v>DESIGN GO</v>
          </cell>
          <cell r="I5266">
            <v>0</v>
          </cell>
        </row>
        <row r="5267">
          <cell r="A5267" t="str">
            <v>19-05266</v>
          </cell>
          <cell r="B5267" t="str">
            <v>BARRANQUILLA</v>
          </cell>
          <cell r="C5267" t="str">
            <v>A</v>
          </cell>
          <cell r="D5267" t="str">
            <v>N/A</v>
          </cell>
          <cell r="E5267" t="str">
            <v>39 DESIGN GO USB IN-CAR CHARGER</v>
          </cell>
          <cell r="F5267" t="str">
            <v>TRAVEL ACCESSORIES</v>
          </cell>
          <cell r="G5267">
            <v>39</v>
          </cell>
          <cell r="H5267" t="str">
            <v>DESIGN GO</v>
          </cell>
          <cell r="I5267">
            <v>0</v>
          </cell>
        </row>
        <row r="5268">
          <cell r="A5268" t="str">
            <v>19-05267</v>
          </cell>
          <cell r="B5268" t="str">
            <v>BARRANQUILLA</v>
          </cell>
          <cell r="C5268" t="str">
            <v>A</v>
          </cell>
          <cell r="D5268" t="str">
            <v>N/A</v>
          </cell>
          <cell r="E5268" t="str">
            <v>675 DESIGN GO RFID MONEY BELT</v>
          </cell>
          <cell r="F5268" t="str">
            <v>TRAVEL ACCESSORIES</v>
          </cell>
          <cell r="G5268">
            <v>675</v>
          </cell>
          <cell r="H5268" t="str">
            <v>DESIGN GO</v>
          </cell>
          <cell r="I5268">
            <v>0</v>
          </cell>
        </row>
        <row r="5269">
          <cell r="A5269" t="str">
            <v>19-05268</v>
          </cell>
          <cell r="B5269" t="str">
            <v>ORKHON GROUP</v>
          </cell>
          <cell r="C5269" t="str">
            <v>A</v>
          </cell>
          <cell r="D5269" t="str">
            <v>N/A</v>
          </cell>
          <cell r="E5269" t="str">
            <v>A1603-99 ALTAMAR ARETES</v>
          </cell>
          <cell r="F5269" t="str">
            <v>PENDIENTE</v>
          </cell>
          <cell r="G5269" t="str">
            <v>A007742</v>
          </cell>
          <cell r="H5269" t="str">
            <v>ALTAMAR</v>
          </cell>
          <cell r="I5269">
            <v>4.3239999999999998</v>
          </cell>
        </row>
        <row r="5270">
          <cell r="A5270" t="str">
            <v>19-05269</v>
          </cell>
          <cell r="B5270" t="str">
            <v>H. MANCHA</v>
          </cell>
          <cell r="C5270" t="str">
            <v>A</v>
          </cell>
          <cell r="D5270" t="str">
            <v>NO</v>
          </cell>
          <cell r="E5270" t="str">
            <v>21 CUALIDADES DE UN LIDER</v>
          </cell>
          <cell r="F5270" t="str">
            <v>LIBRO</v>
          </cell>
          <cell r="H5270" t="str">
            <v>H. MANCHA</v>
          </cell>
          <cell r="I5270">
            <v>10.763</v>
          </cell>
        </row>
        <row r="5271">
          <cell r="A5271" t="str">
            <v>19-05270</v>
          </cell>
          <cell r="B5271" t="str">
            <v>H. MANCHA</v>
          </cell>
          <cell r="C5271" t="str">
            <v>A</v>
          </cell>
          <cell r="D5271" t="str">
            <v>NO</v>
          </cell>
          <cell r="E5271" t="str">
            <v>17 LEYES DE TRABAJO EN EQUIPO</v>
          </cell>
          <cell r="F5271" t="str">
            <v>LIBRO</v>
          </cell>
          <cell r="H5271" t="str">
            <v>H. MANCHA</v>
          </cell>
          <cell r="I5271">
            <v>11.483000000000001</v>
          </cell>
        </row>
        <row r="5272">
          <cell r="A5272" t="str">
            <v>19-05271</v>
          </cell>
          <cell r="B5272" t="str">
            <v>H. MANCHA</v>
          </cell>
          <cell r="C5272" t="str">
            <v>A</v>
          </cell>
          <cell r="D5272" t="str">
            <v>NO</v>
          </cell>
          <cell r="E5272" t="str">
            <v>LIDER DE 360</v>
          </cell>
          <cell r="F5272" t="str">
            <v>LIBRO</v>
          </cell>
          <cell r="H5272" t="str">
            <v>H. MANCHA</v>
          </cell>
          <cell r="I5272">
            <v>11.483000000000001</v>
          </cell>
        </row>
        <row r="5273">
          <cell r="A5273" t="str">
            <v>19-05272</v>
          </cell>
          <cell r="B5273" t="str">
            <v>H. MANCHA</v>
          </cell>
          <cell r="C5273" t="str">
            <v>A</v>
          </cell>
          <cell r="D5273" t="str">
            <v>NO</v>
          </cell>
          <cell r="E5273" t="str">
            <v>DESARROLE EL LIDER QUE ESTA E</v>
          </cell>
          <cell r="F5273" t="str">
            <v>LIBRO</v>
          </cell>
          <cell r="H5273" t="str">
            <v>H. MANCHA</v>
          </cell>
          <cell r="I5273">
            <v>5.0030000000000001</v>
          </cell>
        </row>
        <row r="5274">
          <cell r="A5274" t="str">
            <v>19-05273</v>
          </cell>
          <cell r="B5274" t="str">
            <v>H. MANCHA</v>
          </cell>
          <cell r="C5274" t="str">
            <v>A</v>
          </cell>
          <cell r="D5274" t="str">
            <v>NO</v>
          </cell>
          <cell r="E5274" t="str">
            <v>MUCHOS CUERPOS UNA MISMA ALMA</v>
          </cell>
          <cell r="F5274" t="str">
            <v>LIBRO</v>
          </cell>
          <cell r="H5274" t="str">
            <v>H. MANCHA</v>
          </cell>
          <cell r="I5274">
            <v>12.202999999999999</v>
          </cell>
        </row>
        <row r="5275">
          <cell r="A5275" t="str">
            <v>19-05274</v>
          </cell>
          <cell r="B5275" t="str">
            <v>H. MANCHA</v>
          </cell>
          <cell r="C5275" t="str">
            <v>A</v>
          </cell>
          <cell r="D5275" t="str">
            <v>NO</v>
          </cell>
          <cell r="E5275" t="str">
            <v>INTELIGENCIA EMOCIONAL EN LA EMPRESA</v>
          </cell>
          <cell r="F5275" t="str">
            <v>LIBRO</v>
          </cell>
          <cell r="H5275" t="str">
            <v>H. MANCHA</v>
          </cell>
          <cell r="I5275">
            <v>12.204000000000001</v>
          </cell>
        </row>
        <row r="5276">
          <cell r="A5276" t="str">
            <v>19-05275</v>
          </cell>
          <cell r="B5276" t="str">
            <v>H. MANCHA</v>
          </cell>
          <cell r="C5276" t="str">
            <v>D</v>
          </cell>
          <cell r="D5276" t="str">
            <v>N/A</v>
          </cell>
          <cell r="E5276" t="str">
            <v>MUJERES QUE AMAN DEMASIADO</v>
          </cell>
          <cell r="F5276" t="str">
            <v>LIBRO</v>
          </cell>
          <cell r="H5276" t="str">
            <v>H. MANCHA</v>
          </cell>
          <cell r="I5276">
            <v>0</v>
          </cell>
        </row>
        <row r="5277">
          <cell r="A5277" t="str">
            <v>19-05276</v>
          </cell>
          <cell r="B5277" t="str">
            <v>BARRANQUILLA</v>
          </cell>
          <cell r="C5277" t="str">
            <v>A</v>
          </cell>
          <cell r="D5277" t="str">
            <v>N/A</v>
          </cell>
          <cell r="E5277" t="str">
            <v>675 DESIGN GO RFID MONEY BELT</v>
          </cell>
          <cell r="F5277" t="str">
            <v>TRAVEL ACCESORIES</v>
          </cell>
          <cell r="G5277">
            <v>675</v>
          </cell>
          <cell r="H5277" t="str">
            <v>DESIGN GO</v>
          </cell>
          <cell r="I5277">
            <v>0</v>
          </cell>
        </row>
        <row r="5278">
          <cell r="A5278" t="str">
            <v>19-05277</v>
          </cell>
          <cell r="B5278" t="str">
            <v>H. MANCHA</v>
          </cell>
          <cell r="C5278" t="str">
            <v>A</v>
          </cell>
          <cell r="D5278" t="str">
            <v>NO</v>
          </cell>
          <cell r="E5278" t="str">
            <v>ARRANCAME LA VIDA</v>
          </cell>
          <cell r="F5278" t="str">
            <v>BOOK</v>
          </cell>
          <cell r="G5278" t="str">
            <v>MB013A07</v>
          </cell>
          <cell r="H5278" t="str">
            <v>H. MANCHA</v>
          </cell>
          <cell r="I5278">
            <v>7.1630000000000003</v>
          </cell>
        </row>
        <row r="5279">
          <cell r="A5279" t="str">
            <v>19-05278</v>
          </cell>
          <cell r="B5279" t="str">
            <v>H. MANCHA</v>
          </cell>
          <cell r="C5279" t="str">
            <v>A</v>
          </cell>
          <cell r="D5279" t="str">
            <v>NO</v>
          </cell>
          <cell r="E5279" t="str">
            <v>CHICA QUE DEJASTES ATRAS, LA</v>
          </cell>
          <cell r="F5279" t="str">
            <v>LIBRO</v>
          </cell>
          <cell r="H5279" t="str">
            <v>H. MANCHA</v>
          </cell>
          <cell r="I5279">
            <v>16.523</v>
          </cell>
        </row>
        <row r="5280">
          <cell r="A5280" t="str">
            <v>19-05279</v>
          </cell>
          <cell r="B5280" t="str">
            <v>H. MANCHA</v>
          </cell>
          <cell r="C5280" t="str">
            <v>A</v>
          </cell>
          <cell r="D5280" t="str">
            <v>NO</v>
          </cell>
          <cell r="E5280" t="str">
            <v>DESTROZA ESTE DIARIO</v>
          </cell>
          <cell r="F5280" t="str">
            <v>LIBRO</v>
          </cell>
          <cell r="H5280" t="str">
            <v>H. MANCHA</v>
          </cell>
          <cell r="I5280">
            <v>14.363</v>
          </cell>
        </row>
        <row r="5281">
          <cell r="A5281" t="str">
            <v>19-05280</v>
          </cell>
          <cell r="B5281" t="str">
            <v>H. MANCHA</v>
          </cell>
          <cell r="C5281" t="str">
            <v>A</v>
          </cell>
          <cell r="D5281" t="str">
            <v>NO</v>
          </cell>
          <cell r="E5281" t="str">
            <v>DESTROZA ESTE DIARO EN</v>
          </cell>
          <cell r="F5281" t="str">
            <v>LIBRO</v>
          </cell>
          <cell r="H5281" t="str">
            <v>H. MANCHA</v>
          </cell>
          <cell r="I5281">
            <v>5.7229999999999999</v>
          </cell>
        </row>
        <row r="5282">
          <cell r="A5282" t="str">
            <v>19-05281</v>
          </cell>
          <cell r="B5282" t="str">
            <v>H. MANCHA</v>
          </cell>
          <cell r="C5282" t="str">
            <v>A</v>
          </cell>
          <cell r="D5282" t="str">
            <v>NO</v>
          </cell>
          <cell r="E5282" t="str">
            <v>DIARIO DE GREG MONTA TU PROPIO</v>
          </cell>
          <cell r="F5282" t="str">
            <v>LIBRO</v>
          </cell>
          <cell r="H5282" t="str">
            <v>H. MANCHA</v>
          </cell>
          <cell r="I5282">
            <v>13.643000000000001</v>
          </cell>
        </row>
        <row r="5283">
          <cell r="A5283" t="str">
            <v>19-05282</v>
          </cell>
          <cell r="B5283" t="str">
            <v>H. MANCHA</v>
          </cell>
          <cell r="C5283" t="str">
            <v>A</v>
          </cell>
          <cell r="D5283" t="str">
            <v>NO</v>
          </cell>
          <cell r="E5283" t="str">
            <v>ESCRITO EN EL AGUA</v>
          </cell>
          <cell r="F5283" t="str">
            <v>LIBRO</v>
          </cell>
          <cell r="H5283" t="str">
            <v>H. MANCHA</v>
          </cell>
          <cell r="I5283">
            <v>15.084</v>
          </cell>
        </row>
        <row r="5284">
          <cell r="A5284" t="str">
            <v>19-05283</v>
          </cell>
          <cell r="B5284" t="str">
            <v>H. MANCHA</v>
          </cell>
          <cell r="C5284" t="str">
            <v>A</v>
          </cell>
          <cell r="D5284" t="str">
            <v>NO</v>
          </cell>
          <cell r="E5284" t="str">
            <v>MAS ALLA DEL INVIERNO</v>
          </cell>
          <cell r="F5284" t="str">
            <v>LIBRO</v>
          </cell>
          <cell r="H5284" t="str">
            <v>H. MANCHA</v>
          </cell>
          <cell r="I5284">
            <v>15.083</v>
          </cell>
        </row>
        <row r="5285">
          <cell r="A5285" t="str">
            <v>19-05284</v>
          </cell>
          <cell r="B5285" t="str">
            <v>H. MANCHA</v>
          </cell>
          <cell r="C5285" t="str">
            <v>A</v>
          </cell>
          <cell r="D5285" t="str">
            <v>NO</v>
          </cell>
          <cell r="E5285" t="str">
            <v>RAZON  DE ESTAR CONTIGO , LA</v>
          </cell>
          <cell r="F5285" t="str">
            <v>LIBRO</v>
          </cell>
          <cell r="H5285" t="str">
            <v>H. MANCHA</v>
          </cell>
          <cell r="I5285">
            <v>13.643000000000001</v>
          </cell>
        </row>
        <row r="5286">
          <cell r="A5286" t="str">
            <v>19-05285</v>
          </cell>
          <cell r="B5286" t="str">
            <v>H. MANCHA</v>
          </cell>
          <cell r="C5286" t="str">
            <v>A</v>
          </cell>
          <cell r="D5286" t="str">
            <v>NO</v>
          </cell>
          <cell r="E5286" t="str">
            <v>WIGETTA Y LOS GUSANOS GUASONES</v>
          </cell>
          <cell r="F5286" t="str">
            <v>LIBRO</v>
          </cell>
          <cell r="H5286" t="str">
            <v>H. MANCHA</v>
          </cell>
          <cell r="I5286">
            <v>9.3230000000000004</v>
          </cell>
        </row>
        <row r="5287">
          <cell r="A5287" t="str">
            <v>19-05286</v>
          </cell>
          <cell r="B5287" t="str">
            <v>H. MANCHA</v>
          </cell>
          <cell r="C5287" t="str">
            <v>A</v>
          </cell>
          <cell r="D5287" t="str">
            <v>NO</v>
          </cell>
          <cell r="E5287" t="str">
            <v>Y SI ESTO NO ES UN LIBRO</v>
          </cell>
          <cell r="F5287" t="str">
            <v>LIBRO</v>
          </cell>
          <cell r="H5287" t="str">
            <v>H. MANCHA</v>
          </cell>
          <cell r="I5287">
            <v>10.763</v>
          </cell>
        </row>
        <row r="5288">
          <cell r="A5288" t="str">
            <v>19-05287</v>
          </cell>
          <cell r="B5288" t="str">
            <v>H. MANCHA</v>
          </cell>
          <cell r="C5288" t="str">
            <v>A</v>
          </cell>
          <cell r="D5288" t="str">
            <v>NO</v>
          </cell>
          <cell r="E5288" t="str">
            <v>FACTOR X</v>
          </cell>
          <cell r="F5288" t="str">
            <v>LIBRO</v>
          </cell>
          <cell r="H5288" t="str">
            <v>H. MANCHA</v>
          </cell>
          <cell r="I5288">
            <v>7.2</v>
          </cell>
        </row>
        <row r="5289">
          <cell r="A5289" t="str">
            <v>19-05288</v>
          </cell>
          <cell r="B5289" t="str">
            <v>H. MANCHA</v>
          </cell>
          <cell r="C5289" t="str">
            <v>A</v>
          </cell>
          <cell r="D5289" t="str">
            <v>NO</v>
          </cell>
          <cell r="E5289" t="str">
            <v>SIETE PASOS PARA CONVERTIR TUS</v>
          </cell>
          <cell r="F5289" t="str">
            <v>LIBRO</v>
          </cell>
          <cell r="H5289" t="str">
            <v>H. MANCHA</v>
          </cell>
          <cell r="I5289">
            <v>7.2</v>
          </cell>
        </row>
        <row r="5290">
          <cell r="A5290" t="str">
            <v>19-05289</v>
          </cell>
          <cell r="B5290" t="str">
            <v>H. MANCHA</v>
          </cell>
          <cell r="C5290" t="str">
            <v>A</v>
          </cell>
          <cell r="D5290" t="str">
            <v>NO</v>
          </cell>
          <cell r="E5290" t="str">
            <v>VIAJE EL</v>
          </cell>
          <cell r="F5290" t="str">
            <v>LIBRO</v>
          </cell>
          <cell r="H5290" t="str">
            <v>H. MANCHA</v>
          </cell>
          <cell r="I5290">
            <v>7.2</v>
          </cell>
        </row>
        <row r="5291">
          <cell r="A5291" t="str">
            <v>19-05290</v>
          </cell>
          <cell r="B5291" t="str">
            <v>H. MANCHA</v>
          </cell>
          <cell r="C5291" t="str">
            <v>A</v>
          </cell>
          <cell r="D5291" t="str">
            <v>NO</v>
          </cell>
          <cell r="E5291" t="str">
            <v>GENIOS NO NACEN ¡ SE HACEN</v>
          </cell>
          <cell r="F5291" t="str">
            <v>LIBRO</v>
          </cell>
          <cell r="H5291" t="str">
            <v>H. MANCHA</v>
          </cell>
          <cell r="I5291">
            <v>7.2</v>
          </cell>
        </row>
        <row r="5292">
          <cell r="A5292" t="str">
            <v>19-05291</v>
          </cell>
          <cell r="B5292" t="str">
            <v>H. MANCHA</v>
          </cell>
          <cell r="C5292" t="str">
            <v>A</v>
          </cell>
          <cell r="D5292" t="str">
            <v>NO</v>
          </cell>
          <cell r="E5292" t="str">
            <v>PARABOLA DE TRIUNFADOR</v>
          </cell>
          <cell r="F5292" t="str">
            <v>LIBRO</v>
          </cell>
          <cell r="H5292" t="str">
            <v>H. MANCHA</v>
          </cell>
          <cell r="I5292">
            <v>7.2</v>
          </cell>
        </row>
        <row r="5293">
          <cell r="A5293" t="str">
            <v>19-05292</v>
          </cell>
          <cell r="B5293" t="str">
            <v>H. MANCHA</v>
          </cell>
          <cell r="C5293" t="str">
            <v>A</v>
          </cell>
          <cell r="D5293" t="str">
            <v>NO</v>
          </cell>
          <cell r="E5293" t="str">
            <v>COMO COMUNICARNOS EN PUBLICO</v>
          </cell>
          <cell r="F5293" t="str">
            <v>LIBRO</v>
          </cell>
          <cell r="H5293" t="str">
            <v>H. MANCHA</v>
          </cell>
          <cell r="I5293">
            <v>7.2</v>
          </cell>
        </row>
        <row r="5294">
          <cell r="A5294" t="str">
            <v>19-05293</v>
          </cell>
          <cell r="B5294" t="str">
            <v>H. MANCHA</v>
          </cell>
          <cell r="C5294" t="str">
            <v>A</v>
          </cell>
          <cell r="D5294" t="str">
            <v>NO</v>
          </cell>
          <cell r="E5294" t="str">
            <v>PODER DE LA PERSISTENCIA</v>
          </cell>
          <cell r="F5294" t="str">
            <v>LIBRO</v>
          </cell>
          <cell r="H5294" t="str">
            <v>H. MANCHA</v>
          </cell>
          <cell r="I5294">
            <v>7.2</v>
          </cell>
        </row>
        <row r="5295">
          <cell r="A5295" t="str">
            <v>19-05294</v>
          </cell>
          <cell r="B5295" t="str">
            <v>H. MANCHA</v>
          </cell>
          <cell r="C5295" t="str">
            <v>A</v>
          </cell>
          <cell r="D5295" t="str">
            <v>NO</v>
          </cell>
          <cell r="E5295" t="str">
            <v>DE LA MOTIVACION A LA ACCION</v>
          </cell>
          <cell r="F5295" t="str">
            <v>LIBRO</v>
          </cell>
          <cell r="H5295" t="str">
            <v>H. MANCHA</v>
          </cell>
          <cell r="I5295">
            <v>7.2</v>
          </cell>
        </row>
        <row r="5296">
          <cell r="A5296" t="str">
            <v>19-05295</v>
          </cell>
          <cell r="B5296" t="str">
            <v>H. MANCHA</v>
          </cell>
          <cell r="C5296" t="str">
            <v>A</v>
          </cell>
          <cell r="D5296" t="str">
            <v>NO</v>
          </cell>
          <cell r="E5296" t="str">
            <v>HABILIDADES PARA EL TRATO PERS</v>
          </cell>
          <cell r="F5296" t="str">
            <v>LIBRO</v>
          </cell>
          <cell r="H5296" t="str">
            <v>H. MANCHA</v>
          </cell>
          <cell r="I5296">
            <v>7.2</v>
          </cell>
        </row>
        <row r="5297">
          <cell r="A5297" t="str">
            <v>19-05296</v>
          </cell>
          <cell r="B5297" t="str">
            <v>H. MANCHA</v>
          </cell>
          <cell r="C5297" t="str">
            <v>A</v>
          </cell>
          <cell r="D5297" t="str">
            <v>NO</v>
          </cell>
          <cell r="E5297" t="str">
            <v>PIENSE COMO UN MILLONARIO</v>
          </cell>
          <cell r="F5297" t="str">
            <v>LIBRO</v>
          </cell>
          <cell r="H5297" t="str">
            <v>H. MANCHA</v>
          </cell>
          <cell r="I5297">
            <v>7.2</v>
          </cell>
        </row>
        <row r="5298">
          <cell r="A5298" t="str">
            <v>19-05297</v>
          </cell>
          <cell r="B5298" t="str">
            <v>H. MANCHA</v>
          </cell>
          <cell r="C5298" t="str">
            <v>A</v>
          </cell>
          <cell r="D5298" t="str">
            <v>NO</v>
          </cell>
          <cell r="E5298" t="str">
            <v>NUEVAS VENTAS SIMPLIF SC</v>
          </cell>
          <cell r="F5298" t="str">
            <v>LIBRO</v>
          </cell>
          <cell r="H5298" t="str">
            <v>H. MANCHA</v>
          </cell>
          <cell r="I5298">
            <v>12.202999999999999</v>
          </cell>
        </row>
        <row r="5299">
          <cell r="A5299" t="str">
            <v>19-05298</v>
          </cell>
          <cell r="B5299" t="str">
            <v>H. MANCHA</v>
          </cell>
          <cell r="C5299" t="str">
            <v>A</v>
          </cell>
          <cell r="D5299" t="str">
            <v>NO</v>
          </cell>
          <cell r="E5299" t="str">
            <v>COMO SER UN LIDER</v>
          </cell>
          <cell r="F5299" t="str">
            <v>LIBRO</v>
          </cell>
          <cell r="H5299" t="str">
            <v>H. MANCHA</v>
          </cell>
          <cell r="I5299">
            <v>15.083</v>
          </cell>
        </row>
        <row r="5300">
          <cell r="A5300" t="str">
            <v>19-05299</v>
          </cell>
          <cell r="B5300" t="str">
            <v>H. MANCHA</v>
          </cell>
          <cell r="C5300" t="str">
            <v>A</v>
          </cell>
          <cell r="D5300" t="str">
            <v>NO</v>
          </cell>
          <cell r="E5300" t="str">
            <v>5 CONSEJOS PARA POTENCIAR</v>
          </cell>
          <cell r="F5300" t="str">
            <v>LIBRO</v>
          </cell>
          <cell r="H5300" t="str">
            <v>H. MANCHA</v>
          </cell>
          <cell r="I5300">
            <v>10.042999999999999</v>
          </cell>
        </row>
        <row r="5301">
          <cell r="A5301" t="str">
            <v>19-05300</v>
          </cell>
          <cell r="B5301" t="str">
            <v>H. MANCHA</v>
          </cell>
          <cell r="C5301" t="str">
            <v>A</v>
          </cell>
          <cell r="D5301" t="str">
            <v>NO</v>
          </cell>
          <cell r="E5301" t="str">
            <v>SE ACABO EL PROMEDIO</v>
          </cell>
          <cell r="F5301" t="str">
            <v>LIBRO</v>
          </cell>
          <cell r="H5301" t="str">
            <v>H. MANCHA</v>
          </cell>
          <cell r="I5301">
            <v>11.483000000000001</v>
          </cell>
        </row>
        <row r="5302">
          <cell r="A5302" t="str">
            <v>19-05301</v>
          </cell>
          <cell r="B5302" t="str">
            <v>H. MANCHA</v>
          </cell>
          <cell r="C5302" t="str">
            <v>A</v>
          </cell>
          <cell r="D5302" t="str">
            <v>NO</v>
          </cell>
          <cell r="E5302" t="str">
            <v>FUTURO DE LA DIRECCION DE RECU</v>
          </cell>
          <cell r="F5302" t="str">
            <v>LIBRO</v>
          </cell>
          <cell r="H5302" t="str">
            <v>H. MANCHA</v>
          </cell>
          <cell r="I5302">
            <v>25.882999999999999</v>
          </cell>
        </row>
        <row r="5303">
          <cell r="A5303" t="str">
            <v>19-05302</v>
          </cell>
          <cell r="B5303" t="str">
            <v>H. MANCHA</v>
          </cell>
          <cell r="C5303" t="str">
            <v>A</v>
          </cell>
          <cell r="D5303" t="str">
            <v>NO</v>
          </cell>
          <cell r="E5303" t="str">
            <v>EN EL CAMINO HACIA EL EXITO</v>
          </cell>
          <cell r="F5303" t="str">
            <v>LIBRO</v>
          </cell>
          <cell r="H5303" t="str">
            <v>H. MANCHA</v>
          </cell>
          <cell r="I5303">
            <v>11.484999999999999</v>
          </cell>
        </row>
        <row r="5304">
          <cell r="A5304" t="str">
            <v>19-05303</v>
          </cell>
          <cell r="B5304" t="str">
            <v>H. MANCHA</v>
          </cell>
          <cell r="C5304" t="str">
            <v>A</v>
          </cell>
          <cell r="D5304" t="str">
            <v>NO</v>
          </cell>
          <cell r="E5304" t="str">
            <v>CAMBIA VIDA 90 DIAS TRADING</v>
          </cell>
          <cell r="F5304" t="str">
            <v>LIBRO</v>
          </cell>
          <cell r="H5304" t="str">
            <v>H. MANCHA</v>
          </cell>
          <cell r="I5304">
            <v>15.084</v>
          </cell>
        </row>
        <row r="5305">
          <cell r="A5305" t="str">
            <v>19-05304</v>
          </cell>
          <cell r="B5305" t="str">
            <v>BOING GLOBAL</v>
          </cell>
          <cell r="C5305" t="str">
            <v>A</v>
          </cell>
          <cell r="D5305" t="str">
            <v>NO</v>
          </cell>
          <cell r="E5305" t="str">
            <v>TY BEANNIE BOOS GLIDER - PINGÜINO ROSA</v>
          </cell>
          <cell r="F5305" t="str">
            <v>PELUCHE</v>
          </cell>
          <cell r="G5305">
            <v>36641</v>
          </cell>
          <cell r="H5305" t="str">
            <v>TY</v>
          </cell>
          <cell r="I5305">
            <v>1.67</v>
          </cell>
        </row>
        <row r="5306">
          <cell r="A5306" t="str">
            <v>19-05305</v>
          </cell>
          <cell r="B5306" t="str">
            <v>BOING GLOBAL</v>
          </cell>
          <cell r="C5306" t="str">
            <v>A</v>
          </cell>
          <cell r="D5306" t="str">
            <v>NO</v>
          </cell>
          <cell r="E5306" t="str">
            <v>TY BEANIE BOOS PABLO- CHIHUAHUA</v>
          </cell>
          <cell r="F5306" t="str">
            <v>PELUCHE</v>
          </cell>
          <cell r="G5306">
            <v>37171</v>
          </cell>
          <cell r="H5306" t="str">
            <v>TY</v>
          </cell>
          <cell r="I5306">
            <v>2.74</v>
          </cell>
        </row>
        <row r="5307">
          <cell r="A5307" t="str">
            <v>19-05306</v>
          </cell>
          <cell r="B5307" t="str">
            <v>BOING GLOBAL</v>
          </cell>
          <cell r="C5307" t="str">
            <v>A</v>
          </cell>
          <cell r="D5307" t="str">
            <v>NO</v>
          </cell>
          <cell r="E5307" t="str">
            <v>TY KIKI - GATO GRIS MEDIANO</v>
          </cell>
          <cell r="F5307" t="str">
            <v>PELUCHE</v>
          </cell>
          <cell r="G5307">
            <v>37075</v>
          </cell>
          <cell r="H5307" t="str">
            <v>TY</v>
          </cell>
          <cell r="I5307">
            <v>5.53</v>
          </cell>
        </row>
        <row r="5308">
          <cell r="A5308" t="str">
            <v>19-05307</v>
          </cell>
          <cell r="B5308" t="str">
            <v>BOING GLOBAL</v>
          </cell>
          <cell r="C5308" t="str">
            <v>A</v>
          </cell>
          <cell r="D5308" t="str">
            <v>NO</v>
          </cell>
          <cell r="E5308" t="str">
            <v>TY BEANI BOOS PEGASUS - UNICORNIO BLAN</v>
          </cell>
          <cell r="F5308" t="str">
            <v>PELUCHE</v>
          </cell>
          <cell r="G5308">
            <v>36640</v>
          </cell>
          <cell r="H5308" t="str">
            <v>TY</v>
          </cell>
          <cell r="I5308">
            <v>1.67</v>
          </cell>
        </row>
        <row r="5309">
          <cell r="A5309" t="str">
            <v>19-05308</v>
          </cell>
          <cell r="B5309" t="str">
            <v>BOING GLOBAL</v>
          </cell>
          <cell r="C5309" t="str">
            <v>A</v>
          </cell>
          <cell r="D5309" t="str">
            <v>NO</v>
          </cell>
          <cell r="E5309" t="str">
            <v>TY BEANIE BOOS NADYA - MONO CLIP</v>
          </cell>
          <cell r="F5309" t="str">
            <v>PELUCHE</v>
          </cell>
          <cell r="G5309">
            <v>36631</v>
          </cell>
          <cell r="H5309" t="str">
            <v>TY</v>
          </cell>
          <cell r="I5309">
            <v>1.67</v>
          </cell>
        </row>
        <row r="5310">
          <cell r="A5310" t="str">
            <v>19-05309</v>
          </cell>
          <cell r="B5310" t="str">
            <v>BOING GLOBAL</v>
          </cell>
          <cell r="C5310" t="str">
            <v>A</v>
          </cell>
          <cell r="D5310" t="str">
            <v>NO</v>
          </cell>
          <cell r="E5310" t="str">
            <v>TY BEANNIE BOOS LEONA - LEOPARDO AZUL</v>
          </cell>
          <cell r="F5310" t="str">
            <v>PELUCHE</v>
          </cell>
          <cell r="G5310">
            <v>34102</v>
          </cell>
          <cell r="H5310" t="str">
            <v>TY</v>
          </cell>
          <cell r="I5310">
            <v>5.53</v>
          </cell>
        </row>
        <row r="5311">
          <cell r="A5311" t="str">
            <v>19-05310</v>
          </cell>
          <cell r="B5311" t="str">
            <v>ETRONICS4U</v>
          </cell>
          <cell r="C5311" t="str">
            <v>A</v>
          </cell>
          <cell r="D5311" t="str">
            <v>NO</v>
          </cell>
          <cell r="E5311" t="str">
            <v>BARCELONA SPINNER</v>
          </cell>
          <cell r="F5311" t="str">
            <v>JUGUETES</v>
          </cell>
          <cell r="H5311" t="str">
            <v>SPINNER</v>
          </cell>
          <cell r="I5311">
            <v>2.6</v>
          </cell>
        </row>
        <row r="5312">
          <cell r="A5312" t="str">
            <v>19-05311</v>
          </cell>
          <cell r="B5312" t="str">
            <v>ETRONICS4U</v>
          </cell>
          <cell r="C5312" t="str">
            <v>A</v>
          </cell>
          <cell r="D5312" t="str">
            <v>NO</v>
          </cell>
          <cell r="E5312" t="str">
            <v>REAL MADRID SPINNER</v>
          </cell>
          <cell r="F5312" t="str">
            <v>JUGUETES</v>
          </cell>
          <cell r="H5312" t="str">
            <v>SPINNER</v>
          </cell>
          <cell r="I5312">
            <v>2.6</v>
          </cell>
        </row>
        <row r="5313">
          <cell r="A5313" t="str">
            <v>19-05312</v>
          </cell>
          <cell r="B5313" t="str">
            <v>MOTTA INT.</v>
          </cell>
          <cell r="C5313" t="str">
            <v>A</v>
          </cell>
          <cell r="D5313" t="str">
            <v>NO</v>
          </cell>
          <cell r="E5313" t="str">
            <v>WB7106 HASBRO STAR WARS S1 EM VALUE VEHICLES SURTIDO</v>
          </cell>
          <cell r="F5313" t="str">
            <v>JUGUETES</v>
          </cell>
          <cell r="G5313" t="str">
            <v>WB7106</v>
          </cell>
          <cell r="H5313" t="str">
            <v>HASBRO</v>
          </cell>
          <cell r="I5313">
            <v>8.31</v>
          </cell>
        </row>
        <row r="5314">
          <cell r="A5314" t="str">
            <v>19-05313</v>
          </cell>
          <cell r="B5314" t="str">
            <v>MOTTA INT.</v>
          </cell>
          <cell r="C5314" t="str">
            <v>A</v>
          </cell>
          <cell r="D5314" t="str">
            <v>NO</v>
          </cell>
          <cell r="E5314" t="str">
            <v>WB8924 HASBRO MY LITTLE PONY FRIENDS - SURTIDO</v>
          </cell>
          <cell r="F5314" t="str">
            <v>JUGUETES</v>
          </cell>
          <cell r="G5314" t="str">
            <v>WB8924</v>
          </cell>
          <cell r="H5314" t="str">
            <v>HASBRO</v>
          </cell>
          <cell r="I5314">
            <v>4.09</v>
          </cell>
        </row>
        <row r="5315">
          <cell r="A5315" t="str">
            <v>19-05314</v>
          </cell>
          <cell r="B5315" t="str">
            <v>MOTTA INT.</v>
          </cell>
          <cell r="C5315" t="str">
            <v>A</v>
          </cell>
          <cell r="D5315" t="str">
            <v>NO</v>
          </cell>
          <cell r="E5315" t="str">
            <v>WC0217 HASBRO SUPER HERO ADVENTURES POWER UP 2PK - SURTIDO</v>
          </cell>
          <cell r="F5315" t="str">
            <v>JUGUETES</v>
          </cell>
          <cell r="G5315" t="str">
            <v>WC0217</v>
          </cell>
          <cell r="H5315" t="str">
            <v>HASBRO</v>
          </cell>
          <cell r="I5315">
            <v>8.5500000000000007</v>
          </cell>
        </row>
        <row r="5316">
          <cell r="A5316" t="str">
            <v>19-05315</v>
          </cell>
          <cell r="B5316" t="str">
            <v>MOTTA INT.</v>
          </cell>
          <cell r="C5316" t="str">
            <v>A</v>
          </cell>
          <cell r="D5316" t="str">
            <v>NO</v>
          </cell>
          <cell r="E5316" t="str">
            <v>C0884 HASBRO TRANSFORMERS MV5 1 STEP TURBO CHANGERS - SURTIDO</v>
          </cell>
          <cell r="F5316" t="str">
            <v>JUGUETES</v>
          </cell>
          <cell r="G5316" t="str">
            <v>IHASC0884</v>
          </cell>
          <cell r="H5316" t="str">
            <v>HASBRO</v>
          </cell>
          <cell r="I5316">
            <v>9.31</v>
          </cell>
        </row>
        <row r="5317">
          <cell r="A5317" t="str">
            <v>19-05316</v>
          </cell>
          <cell r="B5317" t="str">
            <v>MOTTA INT.</v>
          </cell>
          <cell r="C5317" t="str">
            <v>A</v>
          </cell>
          <cell r="D5317" t="str">
            <v>NO</v>
          </cell>
          <cell r="E5317" t="str">
            <v>WC0885 HASBRO TRANSFORMERS MV5 TITAN CHANGERS - SURTIDO</v>
          </cell>
          <cell r="F5317" t="str">
            <v>JUGUETES</v>
          </cell>
          <cell r="G5317" t="str">
            <v>WC0885</v>
          </cell>
          <cell r="H5317" t="str">
            <v>HASBRO</v>
          </cell>
          <cell r="I5317">
            <v>13.11</v>
          </cell>
        </row>
        <row r="5318">
          <cell r="A5318" t="str">
            <v>19-05317</v>
          </cell>
          <cell r="B5318" t="str">
            <v>MOTTA INT.</v>
          </cell>
          <cell r="C5318" t="str">
            <v>A</v>
          </cell>
          <cell r="D5318" t="str">
            <v>NO</v>
          </cell>
          <cell r="E5318" t="str">
            <v>B3908 HASBRO STAR WARS E7 HERO SERIES FIGURAS VARIADAS</v>
          </cell>
          <cell r="F5318" t="str">
            <v>JUGUETES</v>
          </cell>
          <cell r="G5318" t="str">
            <v>IHASB3908</v>
          </cell>
          <cell r="H5318" t="str">
            <v>HASBRO</v>
          </cell>
          <cell r="I5318">
            <v>7.79</v>
          </cell>
        </row>
        <row r="5319">
          <cell r="A5319" t="str">
            <v>19-05318</v>
          </cell>
          <cell r="B5319" t="str">
            <v>MOTTA INT.</v>
          </cell>
          <cell r="C5319" t="str">
            <v>A</v>
          </cell>
          <cell r="D5319" t="str">
            <v>NO</v>
          </cell>
          <cell r="E5319" t="str">
            <v>WB6016 HASBRO SUPER HERO ADVENTURES EPIC FIGURE - SURTIDO</v>
          </cell>
          <cell r="F5319" t="str">
            <v>JUGUETES</v>
          </cell>
          <cell r="G5319" t="str">
            <v>WB6016</v>
          </cell>
          <cell r="H5319" t="str">
            <v>HASBRO</v>
          </cell>
          <cell r="I5319">
            <v>7.79</v>
          </cell>
        </row>
        <row r="5320">
          <cell r="A5320" t="str">
            <v>19-05319</v>
          </cell>
          <cell r="B5320" t="str">
            <v>MOTTA INT.</v>
          </cell>
          <cell r="C5320" t="str">
            <v>A</v>
          </cell>
          <cell r="D5320" t="str">
            <v>NO</v>
          </cell>
          <cell r="E5320" t="str">
            <v>WB6446 HASBRO DISNEY PRINCESS BASIC FASHION DOLL - SURTIDO</v>
          </cell>
          <cell r="F5320" t="str">
            <v>JUGUETES</v>
          </cell>
          <cell r="G5320" t="str">
            <v>WB6446</v>
          </cell>
          <cell r="H5320" t="str">
            <v>HASBRO</v>
          </cell>
          <cell r="I5320">
            <v>9.5500000000000007</v>
          </cell>
        </row>
        <row r="5321">
          <cell r="A5321" t="str">
            <v>19-05320</v>
          </cell>
          <cell r="B5321" t="str">
            <v>MOTTA INT.</v>
          </cell>
          <cell r="C5321" t="str">
            <v>A</v>
          </cell>
          <cell r="D5321" t="str">
            <v>NO</v>
          </cell>
          <cell r="E5321" t="str">
            <v>WB9760 HASBRO SPIDERMAN TITAN HERO SERIES 12"</v>
          </cell>
          <cell r="F5321" t="str">
            <v>JUGUETES</v>
          </cell>
          <cell r="G5321" t="str">
            <v>WB9760</v>
          </cell>
          <cell r="H5321" t="str">
            <v>HASBRO</v>
          </cell>
          <cell r="I5321">
            <v>7.79</v>
          </cell>
        </row>
        <row r="5322">
          <cell r="A5322" t="str">
            <v>19-05321</v>
          </cell>
          <cell r="B5322" t="str">
            <v>MOTTA INT.</v>
          </cell>
          <cell r="C5322" t="str">
            <v>A</v>
          </cell>
          <cell r="D5322" t="str">
            <v>NO</v>
          </cell>
          <cell r="E5322" t="str">
            <v>WC0839 HASBRO MY LITTLE PONY - EG MINIS CHARACTER - SURTIDO</v>
          </cell>
          <cell r="F5322" t="str">
            <v>JUGUETES</v>
          </cell>
          <cell r="G5322" t="str">
            <v>WC0839</v>
          </cell>
          <cell r="H5322" t="str">
            <v>HASBRO</v>
          </cell>
          <cell r="I5322">
            <v>5.8</v>
          </cell>
        </row>
        <row r="5323">
          <cell r="A5323" t="str">
            <v>19-05322</v>
          </cell>
          <cell r="B5323" t="str">
            <v>MOTTA INT.</v>
          </cell>
          <cell r="C5323" t="str">
            <v>A</v>
          </cell>
          <cell r="D5323" t="str">
            <v>NO</v>
          </cell>
          <cell r="E5323" t="str">
            <v>A9312 HASBRO RUBIKS CUBE</v>
          </cell>
          <cell r="F5323" t="str">
            <v>JUGUETES</v>
          </cell>
          <cell r="G5323" t="str">
            <v>IHASA9312</v>
          </cell>
          <cell r="H5323" t="str">
            <v>HASBRO</v>
          </cell>
          <cell r="I5323">
            <v>7.32</v>
          </cell>
        </row>
        <row r="5324">
          <cell r="A5324" t="str">
            <v>19-05323</v>
          </cell>
          <cell r="B5324" t="str">
            <v>MOTTA INT.</v>
          </cell>
          <cell r="C5324" t="str">
            <v>A</v>
          </cell>
          <cell r="D5324" t="str">
            <v>NO</v>
          </cell>
          <cell r="E5324" t="str">
            <v>A1206 HASBRO PLAY DOH PLUS VARITY PACK</v>
          </cell>
          <cell r="F5324" t="str">
            <v>JUGUETES</v>
          </cell>
          <cell r="G5324" t="str">
            <v>IHASA1206</v>
          </cell>
          <cell r="H5324" t="str">
            <v>HASBRO</v>
          </cell>
          <cell r="I5324">
            <v>0</v>
          </cell>
        </row>
        <row r="5325">
          <cell r="A5325" t="str">
            <v>19-05324</v>
          </cell>
          <cell r="B5325" t="str">
            <v>MOTTA INT.</v>
          </cell>
          <cell r="C5325" t="str">
            <v>A</v>
          </cell>
          <cell r="D5325" t="str">
            <v>NO</v>
          </cell>
          <cell r="E5325" t="str">
            <v>A2263E240 HASBRO NERF SOAKER HYDROPACK</v>
          </cell>
          <cell r="F5325" t="str">
            <v>JUGUETES</v>
          </cell>
          <cell r="G5325" t="str">
            <v>IHASA2263E240</v>
          </cell>
          <cell r="H5325" t="str">
            <v>HASBRO</v>
          </cell>
          <cell r="I5325">
            <v>0</v>
          </cell>
        </row>
        <row r="5326">
          <cell r="A5326" t="str">
            <v>19-05325</v>
          </cell>
          <cell r="B5326" t="str">
            <v>MOTTA INT.</v>
          </cell>
          <cell r="C5326" t="str">
            <v>A</v>
          </cell>
          <cell r="D5326" t="str">
            <v>NO</v>
          </cell>
          <cell r="E5326" t="str">
            <v>A37002230 HASBRO NERF NSTRIKE ELITE CENTURION MEGA</v>
          </cell>
          <cell r="F5326" t="str">
            <v>JUGUETES</v>
          </cell>
          <cell r="G5326" t="str">
            <v>IHASA37002230</v>
          </cell>
          <cell r="H5326" t="str">
            <v>HASBRO</v>
          </cell>
          <cell r="I5326">
            <v>0</v>
          </cell>
        </row>
        <row r="5327">
          <cell r="A5327" t="str">
            <v>19-05326</v>
          </cell>
          <cell r="B5327" t="str">
            <v>MOTTA INT.</v>
          </cell>
          <cell r="C5327" t="str">
            <v>A</v>
          </cell>
          <cell r="D5327" t="str">
            <v>NO</v>
          </cell>
          <cell r="E5327" t="str">
            <v>A47684680 HASBRO BABY ALIVE DIAPERS ACCESSORY PACK</v>
          </cell>
          <cell r="F5327" t="str">
            <v>JUGUETES</v>
          </cell>
          <cell r="G5327" t="str">
            <v>IHASA47684680</v>
          </cell>
          <cell r="H5327" t="str">
            <v>HASBRO</v>
          </cell>
          <cell r="I5327">
            <v>0</v>
          </cell>
        </row>
        <row r="5328">
          <cell r="A5328" t="str">
            <v>19-05327</v>
          </cell>
          <cell r="B5328" t="str">
            <v>MOTTA INT.</v>
          </cell>
          <cell r="C5328" t="str">
            <v>A</v>
          </cell>
          <cell r="D5328" t="str">
            <v>NO</v>
          </cell>
          <cell r="E5328" t="str">
            <v>WA5168 HASBRO MY LITTLE PONY BASIC</v>
          </cell>
          <cell r="F5328" t="str">
            <v>JUGUETES</v>
          </cell>
          <cell r="G5328" t="str">
            <v>WA5168</v>
          </cell>
          <cell r="H5328" t="str">
            <v>HASBRO</v>
          </cell>
          <cell r="I5328">
            <v>7.79</v>
          </cell>
        </row>
        <row r="5329">
          <cell r="A5329" t="str">
            <v>19-05328</v>
          </cell>
          <cell r="B5329" t="str">
            <v>MOTTA INT.</v>
          </cell>
          <cell r="C5329" t="str">
            <v>A</v>
          </cell>
          <cell r="D5329" t="str">
            <v>NO</v>
          </cell>
          <cell r="E5329" t="str">
            <v>A6077 HASBRO PLAY DOH DOCTOR KIT (DRA. JUGUETE)</v>
          </cell>
          <cell r="F5329" t="str">
            <v>JUGUETES</v>
          </cell>
          <cell r="G5329" t="str">
            <v>IHASA6077</v>
          </cell>
          <cell r="H5329" t="str">
            <v>HASBRO</v>
          </cell>
          <cell r="I5329">
            <v>0</v>
          </cell>
        </row>
        <row r="5330">
          <cell r="A5330" t="str">
            <v>19-05329</v>
          </cell>
          <cell r="B5330" t="str">
            <v>MOTTA INT.</v>
          </cell>
          <cell r="C5330" t="str">
            <v>A</v>
          </cell>
          <cell r="D5330" t="str">
            <v>NO</v>
          </cell>
          <cell r="E5330" t="str">
            <v>A65632210 HASBRO NERF ZOMBIE STRIKE SLINGFIRE</v>
          </cell>
          <cell r="F5330" t="str">
            <v>JUGUETES</v>
          </cell>
          <cell r="G5330" t="str">
            <v>IHASA65632210</v>
          </cell>
          <cell r="H5330" t="str">
            <v>HASBRO</v>
          </cell>
          <cell r="I5330">
            <v>0</v>
          </cell>
        </row>
        <row r="5331">
          <cell r="A5331" t="str">
            <v>19-05330</v>
          </cell>
          <cell r="B5331" t="str">
            <v>MOTTA INT.</v>
          </cell>
          <cell r="C5331" t="str">
            <v>A</v>
          </cell>
          <cell r="D5331" t="str">
            <v>NO</v>
          </cell>
          <cell r="E5331" t="str">
            <v>A65732210 HASBRO NERF MEGA THUNDERBOW</v>
          </cell>
          <cell r="F5331" t="str">
            <v>JUGUETES</v>
          </cell>
          <cell r="G5331" t="str">
            <v>IHASA65732210</v>
          </cell>
          <cell r="H5331" t="str">
            <v>HASBRO</v>
          </cell>
          <cell r="I5331">
            <v>0</v>
          </cell>
        </row>
        <row r="5332">
          <cell r="A5332" t="str">
            <v>19-05331</v>
          </cell>
          <cell r="B5332" t="str">
            <v>MOTTA INT.</v>
          </cell>
          <cell r="C5332" t="str">
            <v>A</v>
          </cell>
          <cell r="D5332" t="str">
            <v>NO</v>
          </cell>
          <cell r="E5332" t="str">
            <v>WA7281 HASBRO MR POTATO HEAD MASH UP TRANSFORMER FIG SURTIDO</v>
          </cell>
          <cell r="F5332" t="str">
            <v>JUGUETES</v>
          </cell>
          <cell r="G5332" t="str">
            <v>WA7281</v>
          </cell>
          <cell r="H5332" t="str">
            <v>HASBRO</v>
          </cell>
          <cell r="I5332">
            <v>3.09</v>
          </cell>
        </row>
        <row r="5333">
          <cell r="A5333" t="str">
            <v>19-05332</v>
          </cell>
          <cell r="B5333" t="str">
            <v>MOTTA INT.</v>
          </cell>
          <cell r="C5333" t="str">
            <v>A</v>
          </cell>
          <cell r="D5333" t="str">
            <v>NO</v>
          </cell>
          <cell r="E5333" t="str">
            <v>WA7402 HASBRO PLAY DOH DISNEY PRINCESS FIGURE SURTIDO</v>
          </cell>
          <cell r="F5333" t="str">
            <v>JUGUETES</v>
          </cell>
          <cell r="G5333" t="str">
            <v>WA7402</v>
          </cell>
          <cell r="H5333" t="str">
            <v>HASBRO</v>
          </cell>
          <cell r="I5333">
            <v>5.76</v>
          </cell>
        </row>
        <row r="5334">
          <cell r="A5334" t="str">
            <v>19-05333</v>
          </cell>
          <cell r="B5334" t="str">
            <v>MOTTA INT.</v>
          </cell>
          <cell r="C5334" t="str">
            <v>A</v>
          </cell>
          <cell r="D5334" t="str">
            <v>NO</v>
          </cell>
          <cell r="E5334" t="str">
            <v>A78922210 HASBRO GGM PURSUIT SPACECRAFT AST</v>
          </cell>
          <cell r="F5334" t="str">
            <v>JUGUETES</v>
          </cell>
          <cell r="G5334" t="str">
            <v>IHASA78922210</v>
          </cell>
          <cell r="H5334" t="str">
            <v>HASBRO</v>
          </cell>
          <cell r="I5334">
            <v>0</v>
          </cell>
        </row>
        <row r="5335">
          <cell r="A5335" t="str">
            <v>19-05334</v>
          </cell>
          <cell r="B5335" t="str">
            <v>MOTTA INT.</v>
          </cell>
          <cell r="C5335" t="str">
            <v>A</v>
          </cell>
          <cell r="D5335" t="str">
            <v>NO</v>
          </cell>
          <cell r="E5335" t="str">
            <v>A8322 HASBRO PLAY DOH DOHVINCI DECO POP 4 PACK</v>
          </cell>
          <cell r="F5335" t="str">
            <v>JUGUETES</v>
          </cell>
          <cell r="G5335" t="str">
            <v>IHASA8322</v>
          </cell>
          <cell r="H5335" t="str">
            <v>HASBRO</v>
          </cell>
          <cell r="I5335">
            <v>0</v>
          </cell>
        </row>
        <row r="5336">
          <cell r="A5336" t="str">
            <v>19-05335</v>
          </cell>
          <cell r="B5336" t="str">
            <v>MOTTA INT.</v>
          </cell>
          <cell r="C5336" t="str">
            <v>A</v>
          </cell>
          <cell r="D5336" t="str">
            <v>NO</v>
          </cell>
          <cell r="E5336" t="str">
            <v>A85835730 HASBRO TWISTER DANCE</v>
          </cell>
          <cell r="F5336" t="str">
            <v>JUGUETES</v>
          </cell>
          <cell r="G5336" t="str">
            <v>IHASA85835730</v>
          </cell>
          <cell r="H5336" t="str">
            <v>HASBRO</v>
          </cell>
          <cell r="I5336">
            <v>0</v>
          </cell>
        </row>
        <row r="5337">
          <cell r="A5337" t="str">
            <v>19-05336</v>
          </cell>
          <cell r="B5337" t="str">
            <v>MOTTA INT.</v>
          </cell>
          <cell r="C5337" t="str">
            <v>A</v>
          </cell>
          <cell r="D5337" t="str">
            <v>NO</v>
          </cell>
          <cell r="E5337" t="str">
            <v>A86852210 HASBRO GGM BATTLE FX STAR LORD</v>
          </cell>
          <cell r="F5337" t="str">
            <v>JUGUETES</v>
          </cell>
          <cell r="G5337" t="str">
            <v>IHASA86852210</v>
          </cell>
          <cell r="H5337" t="str">
            <v>HASBRO</v>
          </cell>
          <cell r="I5337">
            <v>10.55</v>
          </cell>
        </row>
        <row r="5338">
          <cell r="A5338" t="str">
            <v>19-05337</v>
          </cell>
          <cell r="B5338" t="str">
            <v>MOTTA INT.</v>
          </cell>
          <cell r="C5338" t="str">
            <v>A</v>
          </cell>
          <cell r="D5338" t="str">
            <v>NO</v>
          </cell>
          <cell r="E5338" t="str">
            <v>A87665730 HASBRO SIMON SWIPE</v>
          </cell>
          <cell r="F5338" t="str">
            <v>JUGUETES</v>
          </cell>
          <cell r="G5338" t="str">
            <v>IHASA87665730</v>
          </cell>
          <cell r="H5338" t="str">
            <v>HASBRO</v>
          </cell>
          <cell r="I5338">
            <v>0</v>
          </cell>
        </row>
        <row r="5339">
          <cell r="A5339" t="str">
            <v>19-05338</v>
          </cell>
          <cell r="B5339" t="str">
            <v>MOTTA INT.</v>
          </cell>
          <cell r="C5339" t="str">
            <v>A</v>
          </cell>
          <cell r="D5339" t="str">
            <v>NO</v>
          </cell>
          <cell r="E5339" t="str">
            <v>A9209 HASBRO PLAY DOHVINCI MINI PROJECT - SURTIDO</v>
          </cell>
          <cell r="F5339" t="str">
            <v>JUGUETES</v>
          </cell>
          <cell r="G5339" t="str">
            <v>IHASA9209</v>
          </cell>
          <cell r="H5339" t="str">
            <v>HASBRO</v>
          </cell>
          <cell r="I5339">
            <v>0</v>
          </cell>
        </row>
        <row r="5340">
          <cell r="A5340" t="str">
            <v>19-05339</v>
          </cell>
          <cell r="B5340" t="str">
            <v>MOTTA INT.</v>
          </cell>
          <cell r="C5340" t="str">
            <v>A</v>
          </cell>
          <cell r="D5340" t="str">
            <v>NO</v>
          </cell>
          <cell r="E5340" t="str">
            <v>A92114680 HASBRO PLAY DOH DOHVINCI CUSTOM CLOCK DESIGN KIT</v>
          </cell>
          <cell r="F5340" t="str">
            <v>JUGUETES</v>
          </cell>
          <cell r="G5340" t="str">
            <v>IHASA92114680</v>
          </cell>
          <cell r="H5340" t="str">
            <v>HASBRO</v>
          </cell>
          <cell r="I5340">
            <v>0</v>
          </cell>
        </row>
        <row r="5341">
          <cell r="A5341" t="str">
            <v>19-05340</v>
          </cell>
          <cell r="B5341" t="str">
            <v>MOTTA INT.</v>
          </cell>
          <cell r="C5341" t="str">
            <v>A</v>
          </cell>
          <cell r="D5341" t="str">
            <v>NO</v>
          </cell>
          <cell r="E5341" t="str">
            <v>A9212 HASBRO PLAY DOHVINCI BLENDABLES COLOR MIXER</v>
          </cell>
          <cell r="F5341" t="str">
            <v>JUGUETES</v>
          </cell>
          <cell r="G5341" t="str">
            <v>IHASA9212</v>
          </cell>
          <cell r="H5341" t="str">
            <v>HASBRO</v>
          </cell>
          <cell r="I5341">
            <v>0</v>
          </cell>
        </row>
        <row r="5342">
          <cell r="A5342" t="str">
            <v>19-05341</v>
          </cell>
          <cell r="B5342" t="str">
            <v>MOTTA INT.</v>
          </cell>
          <cell r="C5342" t="str">
            <v>A</v>
          </cell>
          <cell r="D5342" t="str">
            <v>NO</v>
          </cell>
          <cell r="E5342" t="str">
            <v>B0010 HASBRO PLAY DOH CUTIE MARK CREATORS</v>
          </cell>
          <cell r="F5342" t="str">
            <v>JUGUETES</v>
          </cell>
          <cell r="G5342" t="str">
            <v>IHASB0010</v>
          </cell>
          <cell r="H5342" t="str">
            <v>HASBRO</v>
          </cell>
          <cell r="I5342">
            <v>0</v>
          </cell>
        </row>
        <row r="5343">
          <cell r="A5343" t="str">
            <v>19-05342</v>
          </cell>
          <cell r="B5343" t="str">
            <v>MOTTA INT.</v>
          </cell>
          <cell r="C5343" t="str">
            <v>A</v>
          </cell>
          <cell r="D5343" t="str">
            <v>NO</v>
          </cell>
          <cell r="E5343" t="str">
            <v>WB0011 HASBRO PLAY DOH RAINBOW DASH STYLE SALON</v>
          </cell>
          <cell r="F5343" t="str">
            <v>JUGUETES</v>
          </cell>
          <cell r="G5343" t="str">
            <v>WB0011</v>
          </cell>
          <cell r="H5343" t="str">
            <v>HASBRO</v>
          </cell>
          <cell r="I5343">
            <v>11.12</v>
          </cell>
        </row>
        <row r="5344">
          <cell r="A5344" t="str">
            <v>19-05343</v>
          </cell>
          <cell r="B5344" t="str">
            <v>MOTTA INT.</v>
          </cell>
          <cell r="C5344" t="str">
            <v>A</v>
          </cell>
          <cell r="D5344" t="str">
            <v>NO</v>
          </cell>
          <cell r="E5344" t="str">
            <v>B0067 HASBRO TRANSFORMERS RID HYPER CHANGE HEROES - SURTIDO</v>
          </cell>
          <cell r="F5344" t="str">
            <v>JUGUETES</v>
          </cell>
          <cell r="G5344" t="str">
            <v>IHASB0067</v>
          </cell>
          <cell r="H5344" t="str">
            <v>HASBRO</v>
          </cell>
          <cell r="I5344">
            <v>0</v>
          </cell>
        </row>
        <row r="5345">
          <cell r="A5345" t="str">
            <v>19-05344</v>
          </cell>
          <cell r="B5345" t="str">
            <v>MOTTA INT.</v>
          </cell>
          <cell r="C5345" t="str">
            <v>A</v>
          </cell>
          <cell r="D5345" t="str">
            <v>NO</v>
          </cell>
          <cell r="E5345" t="str">
            <v>WB0068 HASBRO TRANSFORMERS RID ONE STEP CHANGERS SURTIDO</v>
          </cell>
          <cell r="F5345" t="str">
            <v>JUGUETES</v>
          </cell>
          <cell r="G5345" t="str">
            <v>WB0068</v>
          </cell>
          <cell r="H5345" t="str">
            <v>HASBRO</v>
          </cell>
          <cell r="I5345">
            <v>8.84</v>
          </cell>
        </row>
        <row r="5346">
          <cell r="A5346" t="str">
            <v>19-05345</v>
          </cell>
          <cell r="B5346" t="str">
            <v>MOTTA INT.</v>
          </cell>
          <cell r="C5346" t="str">
            <v>A</v>
          </cell>
          <cell r="D5346" t="str">
            <v>NO</v>
          </cell>
          <cell r="E5346" t="str">
            <v>B0445 HASBRO AVENGERS THOR BATTLE HAMMER</v>
          </cell>
          <cell r="F5346" t="str">
            <v>JUGUETES</v>
          </cell>
          <cell r="G5346" t="str">
            <v>IHASB0445</v>
          </cell>
          <cell r="H5346" t="str">
            <v>HASBRO</v>
          </cell>
          <cell r="I5346">
            <v>0</v>
          </cell>
        </row>
        <row r="5347">
          <cell r="A5347" t="str">
            <v>19-05346</v>
          </cell>
          <cell r="B5347" t="str">
            <v>MOTTA INT.</v>
          </cell>
          <cell r="C5347" t="str">
            <v>A</v>
          </cell>
          <cell r="D5347" t="str">
            <v>NO</v>
          </cell>
          <cell r="E5347" t="str">
            <v>WB1004 HASBRO GRAB AND GO GAMES - SURTIDO</v>
          </cell>
          <cell r="F5347" t="str">
            <v>JUGUETES</v>
          </cell>
          <cell r="G5347" t="str">
            <v>WB1004</v>
          </cell>
          <cell r="H5347" t="str">
            <v>HASBRO</v>
          </cell>
          <cell r="I5347">
            <v>4.09</v>
          </cell>
        </row>
        <row r="5348">
          <cell r="A5348" t="str">
            <v>19-05347</v>
          </cell>
          <cell r="B5348" t="str">
            <v>MOTTA INT.</v>
          </cell>
          <cell r="C5348" t="str">
            <v>A</v>
          </cell>
          <cell r="D5348" t="str">
            <v>NO</v>
          </cell>
          <cell r="E5348" t="str">
            <v>B1655 HASBRO AVENGERS TITAN HERO IRON MAN 20"</v>
          </cell>
          <cell r="F5348" t="str">
            <v>JUGUETES</v>
          </cell>
          <cell r="G5348" t="str">
            <v>IHASB1655</v>
          </cell>
          <cell r="H5348" t="str">
            <v>HASBRO</v>
          </cell>
          <cell r="I5348">
            <v>17.77</v>
          </cell>
        </row>
        <row r="5349">
          <cell r="A5349" t="str">
            <v>19-05348</v>
          </cell>
          <cell r="B5349" t="str">
            <v>MOTTA INT.</v>
          </cell>
          <cell r="C5349" t="str">
            <v>A</v>
          </cell>
          <cell r="D5349" t="str">
            <v>NO</v>
          </cell>
          <cell r="E5349" t="str">
            <v>B1719 HASBRO PLAY DOHVINCI JEWELRY TREE</v>
          </cell>
          <cell r="F5349" t="str">
            <v>JUGUETES</v>
          </cell>
          <cell r="G5349" t="str">
            <v>IHASB1719</v>
          </cell>
          <cell r="H5349" t="str">
            <v>HASBRO</v>
          </cell>
          <cell r="I5349">
            <v>0</v>
          </cell>
        </row>
        <row r="5350">
          <cell r="A5350" t="str">
            <v>19-05349</v>
          </cell>
          <cell r="B5350" t="str">
            <v>MOTTA INT.</v>
          </cell>
          <cell r="C5350" t="str">
            <v>A</v>
          </cell>
          <cell r="D5350" t="str">
            <v>NO</v>
          </cell>
          <cell r="E5350" t="str">
            <v>WB2238 HASBRO TRANSFORMERS TITAN CHANGERS - SURTIDOS</v>
          </cell>
          <cell r="F5350" t="str">
            <v>JUGUETES</v>
          </cell>
          <cell r="G5350" t="str">
            <v>WB2238</v>
          </cell>
          <cell r="H5350" t="str">
            <v>HASBRO</v>
          </cell>
          <cell r="I5350">
            <v>11.64</v>
          </cell>
        </row>
        <row r="5351">
          <cell r="A5351" t="str">
            <v>19-05350</v>
          </cell>
          <cell r="B5351" t="str">
            <v>MOTTA INT.</v>
          </cell>
          <cell r="C5351" t="str">
            <v>A</v>
          </cell>
          <cell r="D5351" t="str">
            <v>NO</v>
          </cell>
          <cell r="E5351" t="str">
            <v>B2912 HASBRO STAR WARS E7 EXTENDABLE LIGHTSABER - SURTIDO</v>
          </cell>
          <cell r="F5351" t="str">
            <v>JUGUETES</v>
          </cell>
          <cell r="G5351" t="str">
            <v>IHASB2912</v>
          </cell>
          <cell r="H5351" t="str">
            <v>HASBRO</v>
          </cell>
          <cell r="I5351">
            <v>0</v>
          </cell>
        </row>
        <row r="5352">
          <cell r="A5352" t="str">
            <v>19-05351</v>
          </cell>
          <cell r="B5352" t="str">
            <v>MOTTA INT.</v>
          </cell>
          <cell r="C5352" t="str">
            <v>A</v>
          </cell>
          <cell r="D5352" t="str">
            <v>NO</v>
          </cell>
          <cell r="E5352" t="str">
            <v>B2919 HASBRO STAR WARS E7 ELECTRONIC LIGHTSABER - VARIADOS</v>
          </cell>
          <cell r="F5352" t="str">
            <v>JUGUETES</v>
          </cell>
          <cell r="G5352" t="str">
            <v>IHASB2919</v>
          </cell>
          <cell r="H5352" t="str">
            <v>HASBRO</v>
          </cell>
          <cell r="I5352">
            <v>0</v>
          </cell>
        </row>
        <row r="5353">
          <cell r="A5353" t="str">
            <v>19-05352</v>
          </cell>
          <cell r="B5353" t="str">
            <v>MOTTA INT.</v>
          </cell>
          <cell r="C5353" t="str">
            <v>A</v>
          </cell>
          <cell r="D5353" t="str">
            <v>NO</v>
          </cell>
          <cell r="E5353" t="str">
            <v>B3113 HASBRO DISNEY DESCENDANTS VILLAIN SIGNATURE - SURTIDO</v>
          </cell>
          <cell r="F5353" t="str">
            <v>JUGUETES</v>
          </cell>
          <cell r="G5353" t="str">
            <v>IHASB3113</v>
          </cell>
          <cell r="H5353" t="str">
            <v>HASBRO</v>
          </cell>
          <cell r="I5353">
            <v>0</v>
          </cell>
        </row>
        <row r="5354">
          <cell r="A5354" t="str">
            <v>19-05353</v>
          </cell>
          <cell r="B5354" t="str">
            <v>MOTTA INT.</v>
          </cell>
          <cell r="C5354" t="str">
            <v>A</v>
          </cell>
          <cell r="D5354" t="str">
            <v>NO</v>
          </cell>
          <cell r="E5354" t="str">
            <v>B3123 HASBRO DISNEY DESCENDANTS AURADON CORONATION - SURTIDO</v>
          </cell>
          <cell r="F5354" t="str">
            <v>JUGUETES</v>
          </cell>
          <cell r="G5354" t="str">
            <v>IHASB3123</v>
          </cell>
          <cell r="H5354" t="str">
            <v>HASBRO</v>
          </cell>
          <cell r="I5354">
            <v>0</v>
          </cell>
        </row>
        <row r="5355">
          <cell r="A5355" t="str">
            <v>19-05354</v>
          </cell>
          <cell r="B5355" t="str">
            <v>MOTTA INT.</v>
          </cell>
          <cell r="C5355" t="str">
            <v>A</v>
          </cell>
          <cell r="D5355" t="str">
            <v>NO</v>
          </cell>
          <cell r="E5355" t="str">
            <v>WB3398 HASBRO PLAY DOH PLAYFUL PIES</v>
          </cell>
          <cell r="F5355" t="str">
            <v>JUGUETES</v>
          </cell>
          <cell r="G5355" t="str">
            <v>WB3398</v>
          </cell>
          <cell r="H5355" t="str">
            <v>HASBRO</v>
          </cell>
          <cell r="I5355">
            <v>6.15</v>
          </cell>
        </row>
        <row r="5356">
          <cell r="A5356" t="str">
            <v>19-05355</v>
          </cell>
          <cell r="B5356" t="str">
            <v>MOTTA INT.</v>
          </cell>
          <cell r="C5356" t="str">
            <v>A</v>
          </cell>
          <cell r="D5356" t="str">
            <v>NO</v>
          </cell>
          <cell r="E5356" t="str">
            <v>B3403 HASBRO PLAY DOH DOCS CLINIC</v>
          </cell>
          <cell r="F5356" t="str">
            <v>JUGUETES</v>
          </cell>
          <cell r="G5356" t="str">
            <v>IHASB3403</v>
          </cell>
          <cell r="H5356" t="str">
            <v>HASBRO</v>
          </cell>
          <cell r="I5356">
            <v>0</v>
          </cell>
        </row>
        <row r="5357">
          <cell r="A5357" t="str">
            <v>19-05356</v>
          </cell>
          <cell r="B5357" t="str">
            <v>MOTTA INT.</v>
          </cell>
          <cell r="C5357" t="str">
            <v>A</v>
          </cell>
          <cell r="D5357" t="str">
            <v>NO</v>
          </cell>
          <cell r="E5357" t="str">
            <v>B3423 HASBRO PLAY DOH CONFETTI COMPOUND COLLECTION</v>
          </cell>
          <cell r="F5357" t="str">
            <v>JUGUETES</v>
          </cell>
          <cell r="G5357" t="str">
            <v>IHASB3423</v>
          </cell>
          <cell r="H5357" t="str">
            <v>HASBRO</v>
          </cell>
          <cell r="I5357">
            <v>0</v>
          </cell>
        </row>
        <row r="5358">
          <cell r="A5358" t="str">
            <v>19-05357</v>
          </cell>
          <cell r="B5358" t="str">
            <v>MOTTA INT.</v>
          </cell>
          <cell r="C5358" t="str">
            <v>A</v>
          </cell>
          <cell r="D5358" t="str">
            <v>NO</v>
          </cell>
          <cell r="E5358" t="str">
            <v>B3716 HASBRO STAR WARS E7 CLASS I VEHICULOS C/FIGURAS-VARIADOS</v>
          </cell>
          <cell r="F5358" t="str">
            <v>JUGUETES</v>
          </cell>
          <cell r="G5358" t="str">
            <v>IHASB3716</v>
          </cell>
          <cell r="H5358" t="str">
            <v>HASBRO</v>
          </cell>
          <cell r="I5358">
            <v>0</v>
          </cell>
        </row>
        <row r="5359">
          <cell r="A5359" t="str">
            <v>19-05358</v>
          </cell>
          <cell r="B5359" t="str">
            <v>MOTTA INT.</v>
          </cell>
          <cell r="C5359" t="str">
            <v>A</v>
          </cell>
          <cell r="D5359" t="str">
            <v>NO</v>
          </cell>
          <cell r="E5359" t="str">
            <v>B3834 HASBRO STAR WARS E7 BLACK SERIES FIGURAS 6"</v>
          </cell>
          <cell r="F5359" t="str">
            <v>JUGUETES</v>
          </cell>
          <cell r="G5359" t="str">
            <v>IHASB3834</v>
          </cell>
          <cell r="H5359" t="str">
            <v>HASBRO</v>
          </cell>
          <cell r="I5359">
            <v>0</v>
          </cell>
        </row>
        <row r="5360">
          <cell r="A5360" t="str">
            <v>19-05359</v>
          </cell>
          <cell r="B5360" t="str">
            <v>MOTTA INT.</v>
          </cell>
          <cell r="C5360" t="str">
            <v>A</v>
          </cell>
          <cell r="D5360" t="str">
            <v>NO</v>
          </cell>
          <cell r="E5360" t="str">
            <v>B3926 HASBRO STAR WARS E7 LEAD HERO DROID BB8</v>
          </cell>
          <cell r="F5360" t="str">
            <v>JUGUETES</v>
          </cell>
          <cell r="G5360" t="str">
            <v>IHASB3926</v>
          </cell>
          <cell r="H5360" t="str">
            <v>HASBRO</v>
          </cell>
          <cell r="I5360">
            <v>0</v>
          </cell>
        </row>
        <row r="5361">
          <cell r="A5361" t="str">
            <v>19-05360</v>
          </cell>
          <cell r="B5361" t="str">
            <v>MOTTA INT.</v>
          </cell>
          <cell r="C5361" t="str">
            <v>A</v>
          </cell>
          <cell r="D5361" t="str">
            <v>NO</v>
          </cell>
          <cell r="E5361" t="str">
            <v>B4453 HASBRO PLAY DOH MINI BUCKET</v>
          </cell>
          <cell r="F5361" t="str">
            <v>JUGUETES</v>
          </cell>
          <cell r="G5361" t="str">
            <v>IHASB4453</v>
          </cell>
          <cell r="H5361" t="str">
            <v>HASBRO</v>
          </cell>
          <cell r="I5361">
            <v>0</v>
          </cell>
        </row>
        <row r="5362">
          <cell r="A5362" t="str">
            <v>19-05361</v>
          </cell>
          <cell r="B5362" t="str">
            <v>MOTTA INT.</v>
          </cell>
          <cell r="C5362" t="str">
            <v>A</v>
          </cell>
          <cell r="D5362" t="str">
            <v>NO</v>
          </cell>
          <cell r="E5362" t="str">
            <v>B4983 HASBRO POP POP PI#ATA</v>
          </cell>
          <cell r="F5362" t="str">
            <v>JUGUETES</v>
          </cell>
          <cell r="G5362" t="str">
            <v>IHASB4983</v>
          </cell>
          <cell r="H5362" t="str">
            <v>HASBRO</v>
          </cell>
          <cell r="I5362">
            <v>0</v>
          </cell>
        </row>
        <row r="5363">
          <cell r="A5363" t="str">
            <v>19-05362</v>
          </cell>
          <cell r="B5363" t="str">
            <v>MOTTA INT.</v>
          </cell>
          <cell r="C5363" t="str">
            <v>A</v>
          </cell>
          <cell r="D5363" t="str">
            <v>NO</v>
          </cell>
          <cell r="E5363" t="str">
            <v>B5019 HASBRO SUPER HERO ADVENTURES DELUXE ADVENTURE PACK</v>
          </cell>
          <cell r="F5363" t="str">
            <v>JUGUETES</v>
          </cell>
          <cell r="G5363" t="str">
            <v>IHASB5019</v>
          </cell>
          <cell r="H5363" t="str">
            <v>HASBRO</v>
          </cell>
          <cell r="I5363">
            <v>0</v>
          </cell>
        </row>
        <row r="5364">
          <cell r="A5364" t="str">
            <v>19-05363</v>
          </cell>
          <cell r="B5364" t="str">
            <v>MOTTA INT.</v>
          </cell>
          <cell r="C5364" t="str">
            <v>A</v>
          </cell>
          <cell r="D5364" t="str">
            <v>NO</v>
          </cell>
          <cell r="E5364" t="str">
            <v>B5145 HASBRO MR POTATO HEAD STAR WARS MINI MASHER 4PACK</v>
          </cell>
          <cell r="F5364" t="str">
            <v>JUGUETES</v>
          </cell>
          <cell r="G5364" t="str">
            <v>IHASB5145</v>
          </cell>
          <cell r="H5364" t="str">
            <v>HASBRO</v>
          </cell>
          <cell r="I5364">
            <v>0</v>
          </cell>
        </row>
        <row r="5365">
          <cell r="A5365" t="str">
            <v>19-05364</v>
          </cell>
          <cell r="B5365" t="str">
            <v>MOTTA INT.</v>
          </cell>
          <cell r="C5365" t="str">
            <v>A</v>
          </cell>
          <cell r="D5365" t="str">
            <v>NO</v>
          </cell>
          <cell r="E5365" t="str">
            <v>WB5169 HASBRO FROZEN FASHION CHANGE - SURTIDO</v>
          </cell>
          <cell r="F5365" t="str">
            <v>JUGUETES</v>
          </cell>
          <cell r="G5365" t="str">
            <v>WB5169</v>
          </cell>
          <cell r="H5365" t="str">
            <v>HASBRO</v>
          </cell>
          <cell r="I5365">
            <v>20.079999999999998</v>
          </cell>
        </row>
        <row r="5366">
          <cell r="A5366" t="str">
            <v>19-05365</v>
          </cell>
          <cell r="B5366" t="str">
            <v>MOTTA INT.</v>
          </cell>
          <cell r="C5366" t="str">
            <v>A</v>
          </cell>
          <cell r="D5366" t="str">
            <v>NO</v>
          </cell>
          <cell r="E5366" t="str">
            <v>WB5185 HASBRO FROZEN SMALL DOLL AND FRIENDS - SURTIDO</v>
          </cell>
          <cell r="F5366" t="str">
            <v>JUGUETES</v>
          </cell>
          <cell r="G5366" t="str">
            <v>WB5185</v>
          </cell>
          <cell r="H5366" t="str">
            <v>HASBRO</v>
          </cell>
          <cell r="I5366">
            <v>7.27</v>
          </cell>
        </row>
        <row r="5367">
          <cell r="A5367" t="str">
            <v>19-05366</v>
          </cell>
          <cell r="B5367" t="str">
            <v>MOTTA INT.</v>
          </cell>
          <cell r="C5367" t="str">
            <v>A</v>
          </cell>
          <cell r="D5367" t="str">
            <v>NO</v>
          </cell>
          <cell r="E5367" t="str">
            <v>WB5191 HASBRO FROZEN SMALL DOLL STORY PACK - SURTIDO</v>
          </cell>
          <cell r="F5367" t="str">
            <v>JUGUETES</v>
          </cell>
          <cell r="G5367" t="str">
            <v>WB5191</v>
          </cell>
          <cell r="H5367" t="str">
            <v>HASBRO</v>
          </cell>
          <cell r="I5367">
            <v>14.25</v>
          </cell>
        </row>
        <row r="5368">
          <cell r="A5368" t="str">
            <v>19-05367</v>
          </cell>
          <cell r="B5368" t="str">
            <v>MOTTA INT.</v>
          </cell>
          <cell r="C5368" t="str">
            <v>A</v>
          </cell>
          <cell r="D5368" t="str">
            <v>NO</v>
          </cell>
          <cell r="E5368" t="str">
            <v>B5194 HASBRO FROZEN SMALL DOLL PLAYSET - SURTIDO</v>
          </cell>
          <cell r="F5368" t="str">
            <v>JUGUETES</v>
          </cell>
          <cell r="G5368" t="str">
            <v>IHASB5194</v>
          </cell>
          <cell r="H5368" t="str">
            <v>HASBRO</v>
          </cell>
          <cell r="I5368">
            <v>0</v>
          </cell>
        </row>
        <row r="5369">
          <cell r="A5369" t="str">
            <v>19-05368</v>
          </cell>
          <cell r="B5369" t="str">
            <v>MOTTA INT.</v>
          </cell>
          <cell r="C5369" t="str">
            <v>A</v>
          </cell>
          <cell r="D5369" t="str">
            <v>NO</v>
          </cell>
          <cell r="E5369" t="str">
            <v>B5327 HASBRO DISNEY PRINCESS SMALL DOLL FASHION - SURTIDO</v>
          </cell>
          <cell r="F5369" t="str">
            <v>JUGUETES</v>
          </cell>
          <cell r="G5369" t="str">
            <v>IHASB5327</v>
          </cell>
          <cell r="H5369" t="str">
            <v>HASBRO</v>
          </cell>
          <cell r="I5369">
            <v>0</v>
          </cell>
        </row>
        <row r="5370">
          <cell r="A5370" t="str">
            <v>19-05369</v>
          </cell>
          <cell r="B5370" t="str">
            <v>MOTTA INT.</v>
          </cell>
          <cell r="C5370" t="str">
            <v>A</v>
          </cell>
          <cell r="D5370" t="str">
            <v>NO</v>
          </cell>
          <cell r="E5370" t="str">
            <v>B5520 HASBRO PLAY DOH DR DRILL N FILL</v>
          </cell>
          <cell r="F5370" t="str">
            <v>JUGUETES</v>
          </cell>
          <cell r="G5370" t="str">
            <v>IHASB5520</v>
          </cell>
          <cell r="H5370" t="str">
            <v>HASBRO</v>
          </cell>
          <cell r="I5370">
            <v>0</v>
          </cell>
        </row>
        <row r="5371">
          <cell r="A5371" t="str">
            <v>19-05370</v>
          </cell>
          <cell r="B5371" t="str">
            <v>MOTTA INT.</v>
          </cell>
          <cell r="C5371" t="str">
            <v>A</v>
          </cell>
          <cell r="D5371" t="str">
            <v>NO</v>
          </cell>
          <cell r="E5371" t="str">
            <v>WB5528 HASBRO PLAY DOH MARVEL HEROES ASSEMBLE</v>
          </cell>
          <cell r="F5371" t="str">
            <v>JUGUETES</v>
          </cell>
          <cell r="G5371" t="str">
            <v>WB5528</v>
          </cell>
          <cell r="H5371" t="str">
            <v>HASBRO</v>
          </cell>
          <cell r="I5371">
            <v>8.5500000000000007</v>
          </cell>
        </row>
        <row r="5372">
          <cell r="A5372" t="str">
            <v>19-05371</v>
          </cell>
          <cell r="B5372" t="str">
            <v>MOTTA INT.</v>
          </cell>
          <cell r="C5372" t="str">
            <v>A</v>
          </cell>
          <cell r="D5372" t="str">
            <v>NO</v>
          </cell>
          <cell r="E5372" t="str">
            <v>B5529 HASBRO PLAY DOH ARIEL AND UNDERSEA FRIENDS</v>
          </cell>
          <cell r="F5372" t="str">
            <v>JUGUETES</v>
          </cell>
          <cell r="G5372" t="str">
            <v>IHASB5529</v>
          </cell>
          <cell r="H5372" t="str">
            <v>HASBRO</v>
          </cell>
          <cell r="I5372">
            <v>0</v>
          </cell>
        </row>
        <row r="5373">
          <cell r="A5373" t="str">
            <v>19-05372</v>
          </cell>
          <cell r="B5373" t="str">
            <v>MOTTA INT.</v>
          </cell>
          <cell r="C5373" t="str">
            <v>A</v>
          </cell>
          <cell r="D5373" t="str">
            <v>NO</v>
          </cell>
          <cell r="E5373" t="str">
            <v>B5741 HASBRO DISNEY DESCENDANTS AURADON CHIC - SURTIDO</v>
          </cell>
          <cell r="F5373" t="str">
            <v>JUGUETES</v>
          </cell>
          <cell r="G5373" t="str">
            <v>IHASB5741</v>
          </cell>
          <cell r="H5373" t="str">
            <v>HASBRO</v>
          </cell>
          <cell r="I5373">
            <v>0</v>
          </cell>
        </row>
        <row r="5374">
          <cell r="A5374" t="str">
            <v>19-05373</v>
          </cell>
          <cell r="B5374" t="str">
            <v>MOTTA INT.</v>
          </cell>
          <cell r="C5374" t="str">
            <v>A</v>
          </cell>
          <cell r="D5374" t="str">
            <v>NO</v>
          </cell>
          <cell r="E5374" t="str">
            <v>B5943 HASBRO YOKAI S1 WATCH</v>
          </cell>
          <cell r="F5374" t="str">
            <v>JUGUETES</v>
          </cell>
          <cell r="G5374" t="str">
            <v>IHASB5943</v>
          </cell>
          <cell r="H5374" t="str">
            <v>HASBRO</v>
          </cell>
          <cell r="I5374">
            <v>0</v>
          </cell>
        </row>
        <row r="5375">
          <cell r="A5375" t="str">
            <v>19-05374</v>
          </cell>
          <cell r="B5375" t="str">
            <v>MOTTA INT.</v>
          </cell>
          <cell r="C5375" t="str">
            <v>A</v>
          </cell>
          <cell r="D5375" t="str">
            <v>NO</v>
          </cell>
          <cell r="E5375" t="str">
            <v>B5944 HASBRO YOKAI MEDALS BLIND BAG SERIES 1</v>
          </cell>
          <cell r="F5375" t="str">
            <v>JUGUETES</v>
          </cell>
          <cell r="G5375" t="str">
            <v>IHASB5944</v>
          </cell>
          <cell r="H5375" t="str">
            <v>HASBRO</v>
          </cell>
          <cell r="I5375">
            <v>0</v>
          </cell>
        </row>
        <row r="5376">
          <cell r="A5376" t="str">
            <v>19-05375</v>
          </cell>
          <cell r="B5376" t="str">
            <v>MOTTA INT.</v>
          </cell>
          <cell r="C5376" t="str">
            <v>A</v>
          </cell>
          <cell r="D5376" t="str">
            <v>NO</v>
          </cell>
          <cell r="E5376" t="str">
            <v>WB6009 HASBRO MY LITTLE PONY GOH GOOD VS EVIL - SURTIDO</v>
          </cell>
          <cell r="F5376" t="str">
            <v>JUGUETES</v>
          </cell>
          <cell r="G5376" t="str">
            <v>WB6009</v>
          </cell>
          <cell r="H5376" t="str">
            <v>HASBRO</v>
          </cell>
          <cell r="I5376">
            <v>14.31</v>
          </cell>
        </row>
        <row r="5377">
          <cell r="A5377" t="str">
            <v>19-05376</v>
          </cell>
          <cell r="B5377" t="str">
            <v>MOTTA INT.</v>
          </cell>
          <cell r="C5377" t="str">
            <v>A</v>
          </cell>
          <cell r="D5377" t="str">
            <v>NO</v>
          </cell>
          <cell r="E5377" t="str">
            <v>B6287 HASBRO PLAY DOHVINCI FROZEN - SURTIDO</v>
          </cell>
          <cell r="F5377" t="str">
            <v>JUGUETES</v>
          </cell>
          <cell r="G5377" t="str">
            <v>IHASB6287</v>
          </cell>
          <cell r="H5377" t="str">
            <v>HASBRO</v>
          </cell>
          <cell r="I5377">
            <v>0</v>
          </cell>
        </row>
        <row r="5378">
          <cell r="A5378" t="str">
            <v>19-05377</v>
          </cell>
          <cell r="B5378" t="str">
            <v>MOTTA INT.</v>
          </cell>
          <cell r="C5378" t="str">
            <v>A</v>
          </cell>
          <cell r="D5378" t="str">
            <v>NO</v>
          </cell>
          <cell r="E5378" t="str">
            <v>B6451 HASBRO MR POTATO HEAD MR AND MRS MASHUP THEME 4PACK</v>
          </cell>
          <cell r="F5378" t="str">
            <v>JUGUETES</v>
          </cell>
          <cell r="G5378" t="str">
            <v>IHASB6451</v>
          </cell>
          <cell r="H5378" t="str">
            <v>HASBRO</v>
          </cell>
          <cell r="I5378">
            <v>0</v>
          </cell>
        </row>
        <row r="5379">
          <cell r="A5379" t="str">
            <v>19-05378</v>
          </cell>
          <cell r="B5379" t="str">
            <v>MOTTA INT.</v>
          </cell>
          <cell r="C5379" t="str">
            <v>A</v>
          </cell>
          <cell r="D5379" t="str">
            <v>NO</v>
          </cell>
          <cell r="E5379" t="str">
            <v>B6454 HASBRO MR POTATO HEAD MARVEL MASHUP SUPER HERO RALLY</v>
          </cell>
          <cell r="F5379" t="str">
            <v>JUGUETES</v>
          </cell>
          <cell r="G5379" t="str">
            <v>IHASB6454</v>
          </cell>
          <cell r="H5379" t="str">
            <v>HASBRO</v>
          </cell>
          <cell r="I5379">
            <v>0</v>
          </cell>
        </row>
        <row r="5380">
          <cell r="A5380" t="str">
            <v>19-05379</v>
          </cell>
          <cell r="B5380" t="str">
            <v>MOTTA INT.</v>
          </cell>
          <cell r="C5380" t="str">
            <v>A</v>
          </cell>
          <cell r="D5380" t="str">
            <v>NO</v>
          </cell>
          <cell r="E5380" t="str">
            <v>WB6559 HASBRO TROLLS POPPYS STYLIN POD</v>
          </cell>
          <cell r="F5380" t="str">
            <v>JUGUETES</v>
          </cell>
          <cell r="G5380" t="str">
            <v>WB6559</v>
          </cell>
          <cell r="H5380" t="str">
            <v>HASBRO</v>
          </cell>
          <cell r="I5380">
            <v>17.100000000000001</v>
          </cell>
        </row>
        <row r="5381">
          <cell r="A5381" t="str">
            <v>19-05380</v>
          </cell>
          <cell r="B5381" t="str">
            <v>MOTTA INT.</v>
          </cell>
          <cell r="C5381" t="str">
            <v>A</v>
          </cell>
          <cell r="D5381" t="str">
            <v>NO</v>
          </cell>
          <cell r="E5381" t="str">
            <v>WB6566 HASBRO TROLLS HUG N PLUSH - SURTIDO</v>
          </cell>
          <cell r="F5381" t="str">
            <v>JUGUETES</v>
          </cell>
          <cell r="G5381" t="str">
            <v>WB6566</v>
          </cell>
          <cell r="H5381" t="str">
            <v>HASBRO</v>
          </cell>
          <cell r="I5381">
            <v>6.98</v>
          </cell>
        </row>
        <row r="5382">
          <cell r="A5382" t="str">
            <v>19-05381</v>
          </cell>
          <cell r="B5382" t="str">
            <v>MOTTA INT.</v>
          </cell>
          <cell r="C5382" t="str">
            <v>A</v>
          </cell>
          <cell r="D5382" t="str">
            <v>NO</v>
          </cell>
          <cell r="E5382" t="str">
            <v>B6755 HASBRO PLAY DOH 4+2 PRIMARY COLORS</v>
          </cell>
          <cell r="F5382" t="str">
            <v>JUGUETES</v>
          </cell>
          <cell r="G5382" t="str">
            <v>IHASB6755</v>
          </cell>
          <cell r="H5382" t="str">
            <v>HASBRO</v>
          </cell>
          <cell r="I5382">
            <v>0</v>
          </cell>
        </row>
        <row r="5383">
          <cell r="A5383" t="str">
            <v>19-05382</v>
          </cell>
          <cell r="B5383" t="str">
            <v>MOTTA INT.</v>
          </cell>
          <cell r="C5383" t="str">
            <v>A</v>
          </cell>
          <cell r="D5383" t="str">
            <v>NO</v>
          </cell>
          <cell r="E5383" t="str">
            <v>B6756 HASBRO PLAY DOH SINGLE CAN 4OZ. - SURTIDO</v>
          </cell>
          <cell r="F5383" t="str">
            <v>JUGUETES</v>
          </cell>
          <cell r="G5383" t="str">
            <v>IHASB6756</v>
          </cell>
          <cell r="H5383" t="str">
            <v>HASBRO</v>
          </cell>
          <cell r="I5383">
            <v>0</v>
          </cell>
        </row>
        <row r="5384">
          <cell r="A5384" t="str">
            <v>19-05383</v>
          </cell>
          <cell r="B5384" t="str">
            <v>MOTTA INT.</v>
          </cell>
          <cell r="C5384" t="str">
            <v>A</v>
          </cell>
          <cell r="D5384" t="str">
            <v>NO</v>
          </cell>
          <cell r="E5384" t="str">
            <v>B6835 HASBRO DISNEY PRINCESS DELUXE HAIR PLAY SURTIDO</v>
          </cell>
          <cell r="F5384" t="str">
            <v>JUGUETES</v>
          </cell>
          <cell r="G5384" t="str">
            <v>IHASB6835</v>
          </cell>
          <cell r="H5384" t="str">
            <v>HASBRO</v>
          </cell>
          <cell r="I5384">
            <v>0</v>
          </cell>
        </row>
        <row r="5385">
          <cell r="A5385" t="str">
            <v>19-05384</v>
          </cell>
          <cell r="B5385" t="str">
            <v>MOTTA INT.</v>
          </cell>
          <cell r="C5385" t="str">
            <v>A</v>
          </cell>
          <cell r="D5385" t="str">
            <v>NO</v>
          </cell>
          <cell r="E5385" t="str">
            <v>B6900 HASBRO SIMON AIR</v>
          </cell>
          <cell r="F5385" t="str">
            <v>JUGUETES</v>
          </cell>
          <cell r="G5385" t="str">
            <v>IHASB6900</v>
          </cell>
          <cell r="H5385" t="str">
            <v>HASBRO</v>
          </cell>
          <cell r="I5385">
            <v>0</v>
          </cell>
        </row>
        <row r="5386">
          <cell r="A5386" t="str">
            <v>19-05385</v>
          </cell>
          <cell r="B5386" t="str">
            <v>MOTTA INT.</v>
          </cell>
          <cell r="C5386" t="str">
            <v>A</v>
          </cell>
          <cell r="D5386" t="str">
            <v>NO</v>
          </cell>
          <cell r="E5386" t="str">
            <v>WB7072 HASBRO STAR WARS ROGUE ONE - FIGURAS SURTIDAS</v>
          </cell>
          <cell r="F5386" t="str">
            <v>JUGUETES</v>
          </cell>
          <cell r="G5386" t="str">
            <v>WB7072</v>
          </cell>
          <cell r="H5386" t="str">
            <v>HASBRO</v>
          </cell>
          <cell r="I5386">
            <v>3.82</v>
          </cell>
        </row>
        <row r="5387">
          <cell r="A5387" t="str">
            <v>19-05386</v>
          </cell>
          <cell r="B5387" t="str">
            <v>MOTTA INT.</v>
          </cell>
          <cell r="C5387" t="str">
            <v>A</v>
          </cell>
          <cell r="D5387" t="str">
            <v>NO</v>
          </cell>
          <cell r="E5387" t="str">
            <v>B7094 HASBRO STAR WARS R1 IMPERIAL DEATH TROOPER VC MASK</v>
          </cell>
          <cell r="F5387" t="str">
            <v>JUGUETES</v>
          </cell>
          <cell r="G5387" t="str">
            <v>IHASB7094</v>
          </cell>
          <cell r="H5387" t="str">
            <v>HASBRO</v>
          </cell>
          <cell r="I5387">
            <v>0</v>
          </cell>
        </row>
        <row r="5388">
          <cell r="A5388" t="str">
            <v>19-05387</v>
          </cell>
          <cell r="B5388" t="str">
            <v>MOTTA INT.</v>
          </cell>
          <cell r="C5388" t="str">
            <v>A</v>
          </cell>
          <cell r="D5388" t="str">
            <v>NO</v>
          </cell>
          <cell r="E5388" t="str">
            <v>B7102 HASBRO STAR WARS RIP N GO BB-8</v>
          </cell>
          <cell r="F5388" t="str">
            <v>JUGUETES</v>
          </cell>
          <cell r="G5388" t="str">
            <v>IHASB7102</v>
          </cell>
          <cell r="H5388" t="str">
            <v>HASBRO</v>
          </cell>
          <cell r="I5388">
            <v>0</v>
          </cell>
        </row>
        <row r="5389">
          <cell r="A5389" t="str">
            <v>19-05388</v>
          </cell>
          <cell r="B5389" t="str">
            <v>MOTTA INT.</v>
          </cell>
          <cell r="C5389" t="str">
            <v>A</v>
          </cell>
          <cell r="D5389" t="str">
            <v>NO</v>
          </cell>
          <cell r="E5389" t="str">
            <v>B7105 HASBRO STAR WARS R1 TIE STRIKER</v>
          </cell>
          <cell r="F5389" t="str">
            <v>JUGUETES</v>
          </cell>
          <cell r="G5389" t="str">
            <v>IHASB7105</v>
          </cell>
          <cell r="H5389" t="str">
            <v>HASBRO</v>
          </cell>
          <cell r="I5389">
            <v>0</v>
          </cell>
        </row>
        <row r="5390">
          <cell r="A5390" t="str">
            <v>19-05389</v>
          </cell>
          <cell r="B5390" t="str">
            <v>MOTTA INT.</v>
          </cell>
          <cell r="C5390" t="str">
            <v>A</v>
          </cell>
          <cell r="D5390" t="str">
            <v>NO</v>
          </cell>
          <cell r="E5390" t="str">
            <v>B7772 HASBRO TROLLS TALKING TROLLS POPPY</v>
          </cell>
          <cell r="F5390" t="str">
            <v>JUGUETES</v>
          </cell>
          <cell r="G5390" t="str">
            <v>IHASB7772</v>
          </cell>
          <cell r="H5390" t="str">
            <v>HASBRO</v>
          </cell>
          <cell r="I5390">
            <v>0</v>
          </cell>
        </row>
        <row r="5391">
          <cell r="A5391" t="str">
            <v>19-05390</v>
          </cell>
          <cell r="B5391" t="str">
            <v>MOTTA INT.</v>
          </cell>
          <cell r="C5391" t="str">
            <v>A</v>
          </cell>
          <cell r="D5391" t="str">
            <v>NO</v>
          </cell>
          <cell r="E5391" t="str">
            <v>B8264 HASBRO STAR WARS BLAST TECH LIGHTSABER</v>
          </cell>
          <cell r="F5391" t="str">
            <v>JUGUETES</v>
          </cell>
          <cell r="G5391" t="str">
            <v>IHASB8264</v>
          </cell>
          <cell r="H5391" t="str">
            <v>HASBRO</v>
          </cell>
          <cell r="I5391">
            <v>0</v>
          </cell>
        </row>
        <row r="5392">
          <cell r="A5392" t="str">
            <v>19-05391</v>
          </cell>
          <cell r="B5392" t="str">
            <v>MOTTA INT.</v>
          </cell>
          <cell r="C5392" t="str">
            <v>A</v>
          </cell>
          <cell r="D5392" t="str">
            <v>NO</v>
          </cell>
          <cell r="E5392" t="str">
            <v>B8298 HASBRO DISNEY PRINCESS MOANA SMALL FIGURE - SURTIDO</v>
          </cell>
          <cell r="F5392" t="str">
            <v>JUGUETES</v>
          </cell>
          <cell r="G5392" t="str">
            <v>IHASB8298</v>
          </cell>
          <cell r="H5392" t="str">
            <v>HASBRO</v>
          </cell>
          <cell r="I5392">
            <v>0</v>
          </cell>
        </row>
        <row r="5393">
          <cell r="A5393" t="str">
            <v>19-05392</v>
          </cell>
          <cell r="B5393" t="str">
            <v>MOTTA INT.</v>
          </cell>
          <cell r="C5393" t="str">
            <v>A</v>
          </cell>
          <cell r="D5393" t="str">
            <v>NO</v>
          </cell>
          <cell r="E5393" t="str">
            <v>B8322 HASBRO AVENGERS 6" LEGENDS SERIES - SURTIDO</v>
          </cell>
          <cell r="F5393" t="str">
            <v>JUGUETES</v>
          </cell>
          <cell r="G5393" t="str">
            <v>IHASB8322</v>
          </cell>
          <cell r="H5393" t="str">
            <v>HASBRO</v>
          </cell>
          <cell r="I5393">
            <v>18.34</v>
          </cell>
        </row>
        <row r="5394">
          <cell r="A5394" t="str">
            <v>19-05393</v>
          </cell>
          <cell r="B5394" t="str">
            <v>MOTTA INT.</v>
          </cell>
          <cell r="C5394" t="str">
            <v>A</v>
          </cell>
          <cell r="D5394" t="str">
            <v>NO</v>
          </cell>
          <cell r="E5394" t="str">
            <v>WB8809 HASBRO MY LITTLE PONY TWISTY TWIRLY HAIRSTYLES - SURTIDO</v>
          </cell>
          <cell r="F5394" t="str">
            <v>JUGUETES</v>
          </cell>
          <cell r="G5394" t="str">
            <v>WB8809</v>
          </cell>
          <cell r="H5394" t="str">
            <v>HASBRO</v>
          </cell>
          <cell r="I5394">
            <v>8.5500000000000007</v>
          </cell>
        </row>
        <row r="5395">
          <cell r="A5395" t="str">
            <v>19-05394</v>
          </cell>
          <cell r="B5395" t="str">
            <v>MOTTA INT.</v>
          </cell>
          <cell r="C5395" t="str">
            <v>A</v>
          </cell>
          <cell r="D5395" t="str">
            <v>NO</v>
          </cell>
          <cell r="E5395" t="str">
            <v>B8810 HASBRO MY LITTLE PONY RUNWAY FASHIONS - SURTIDO</v>
          </cell>
          <cell r="F5395" t="str">
            <v>JUGUETES</v>
          </cell>
          <cell r="G5395" t="str">
            <v>IHASB8810</v>
          </cell>
          <cell r="H5395" t="str">
            <v>HASBRO</v>
          </cell>
          <cell r="I5395">
            <v>0</v>
          </cell>
        </row>
        <row r="5396">
          <cell r="A5396" t="str">
            <v>19-05395</v>
          </cell>
          <cell r="B5396" t="str">
            <v>MOTTA INT.</v>
          </cell>
          <cell r="C5396" t="str">
            <v>A</v>
          </cell>
          <cell r="D5396" t="str">
            <v>NO</v>
          </cell>
          <cell r="E5396" t="str">
            <v>B8811 HASBRO MY LITTLE PONY RARITY FASHION RUNWAY - SURTIDO</v>
          </cell>
          <cell r="F5396" t="str">
            <v>JUGUETES</v>
          </cell>
          <cell r="G5396" t="str">
            <v>IHASB8811</v>
          </cell>
          <cell r="H5396" t="str">
            <v>HASBRO</v>
          </cell>
          <cell r="I5396">
            <v>0</v>
          </cell>
        </row>
        <row r="5397">
          <cell r="A5397" t="str">
            <v>19-05396</v>
          </cell>
          <cell r="B5397" t="str">
            <v>MOTTA INT.</v>
          </cell>
          <cell r="C5397" t="str">
            <v>A</v>
          </cell>
          <cell r="D5397" t="str">
            <v>NO</v>
          </cell>
          <cell r="E5397" t="str">
            <v>B8954 HASBRO PLAY DOHVINCI NEON POP DECALS</v>
          </cell>
          <cell r="F5397" t="str">
            <v>JUGUETES</v>
          </cell>
          <cell r="G5397" t="str">
            <v>IHASB8954</v>
          </cell>
          <cell r="H5397" t="str">
            <v>HASBRO</v>
          </cell>
          <cell r="I5397">
            <v>0</v>
          </cell>
        </row>
        <row r="5398">
          <cell r="A5398" t="str">
            <v>19-05397</v>
          </cell>
          <cell r="B5398" t="str">
            <v>MOTTA INT.</v>
          </cell>
          <cell r="C5398" t="str">
            <v>A</v>
          </cell>
          <cell r="D5398" t="str">
            <v>NO</v>
          </cell>
          <cell r="E5398" t="str">
            <v>B8956 HASBRO PLAY DOHVINCI STYLER STARTER KIT</v>
          </cell>
          <cell r="F5398" t="str">
            <v>JUGUETES</v>
          </cell>
          <cell r="G5398" t="str">
            <v>IHASB8956</v>
          </cell>
          <cell r="H5398" t="str">
            <v>HASBRO</v>
          </cell>
          <cell r="I5398">
            <v>0</v>
          </cell>
        </row>
        <row r="5399">
          <cell r="A5399" t="str">
            <v>19-05398</v>
          </cell>
          <cell r="B5399" t="str">
            <v>MOTTA INT.</v>
          </cell>
          <cell r="C5399" t="str">
            <v>A</v>
          </cell>
          <cell r="D5399" t="str">
            <v>NO</v>
          </cell>
          <cell r="E5399" t="str">
            <v>B8962 HASBRO DISNEY PRINCESS SMALL DOLL SPIN-A-STORY - SURTIDO</v>
          </cell>
          <cell r="F5399" t="str">
            <v>JUGUETES</v>
          </cell>
          <cell r="G5399" t="str">
            <v>IHASB8962</v>
          </cell>
          <cell r="H5399" t="str">
            <v>HASBRO</v>
          </cell>
          <cell r="I5399">
            <v>0</v>
          </cell>
        </row>
        <row r="5400">
          <cell r="A5400" t="str">
            <v>19-05399</v>
          </cell>
          <cell r="B5400" t="str">
            <v>MOTTA INT.</v>
          </cell>
          <cell r="C5400" t="str">
            <v>A</v>
          </cell>
          <cell r="D5400" t="str">
            <v>NO</v>
          </cell>
          <cell r="E5400" t="str">
            <v>WB8966 HASBRO DISNEY PRINCESS SMALL DOLL WATER PLAY - SURTIDO</v>
          </cell>
          <cell r="F5400" t="str">
            <v>JUGUETES</v>
          </cell>
          <cell r="G5400" t="str">
            <v>WB8966</v>
          </cell>
          <cell r="H5400" t="str">
            <v>HASBRO</v>
          </cell>
          <cell r="I5400">
            <v>8.1</v>
          </cell>
        </row>
        <row r="5401">
          <cell r="A5401" t="str">
            <v>19-05400</v>
          </cell>
          <cell r="B5401" t="str">
            <v>MOTTA INT.</v>
          </cell>
          <cell r="C5401" t="str">
            <v>A</v>
          </cell>
          <cell r="D5401" t="str">
            <v>NO</v>
          </cell>
          <cell r="E5401" t="str">
            <v>B9028 HASBRO PLAY DOH MINIONS PARADISE</v>
          </cell>
          <cell r="F5401" t="str">
            <v>JUGUETES</v>
          </cell>
          <cell r="G5401" t="str">
            <v>IHASB9028</v>
          </cell>
          <cell r="H5401" t="str">
            <v>HASBRO</v>
          </cell>
          <cell r="I5401">
            <v>0</v>
          </cell>
        </row>
        <row r="5402">
          <cell r="A5402" t="str">
            <v>19-05401</v>
          </cell>
          <cell r="B5402" t="str">
            <v>MOTTA INT.</v>
          </cell>
          <cell r="C5402" t="str">
            <v>A</v>
          </cell>
          <cell r="D5402" t="str">
            <v>NO</v>
          </cell>
          <cell r="E5402" t="str">
            <v>WB9145 HASBRO DISNEY PRINCESS SPLASH SURPRISE ARIEL</v>
          </cell>
          <cell r="F5402" t="str">
            <v>JUGUETES</v>
          </cell>
          <cell r="G5402" t="str">
            <v>WB9145</v>
          </cell>
          <cell r="H5402" t="str">
            <v>HASBRO</v>
          </cell>
          <cell r="I5402">
            <v>18.29</v>
          </cell>
        </row>
        <row r="5403">
          <cell r="A5403" t="str">
            <v>19-05402</v>
          </cell>
          <cell r="B5403" t="str">
            <v>MOTTA INT.</v>
          </cell>
          <cell r="C5403" t="str">
            <v>A</v>
          </cell>
          <cell r="D5403" t="str">
            <v>NO</v>
          </cell>
          <cell r="E5403" t="str">
            <v>B9164 HASBRO DISNEY PRINCESS BEAUTY AND THE BEAST VILLAGE</v>
          </cell>
          <cell r="F5403" t="str">
            <v>JUGUETES</v>
          </cell>
          <cell r="G5403" t="str">
            <v>IHASB9164</v>
          </cell>
          <cell r="H5403" t="str">
            <v>HASBRO</v>
          </cell>
          <cell r="I5403">
            <v>0</v>
          </cell>
        </row>
        <row r="5404">
          <cell r="A5404" t="str">
            <v>19-05403</v>
          </cell>
          <cell r="B5404" t="str">
            <v>MOTTA INT.</v>
          </cell>
          <cell r="C5404" t="str">
            <v>A</v>
          </cell>
          <cell r="D5404" t="str">
            <v>NO</v>
          </cell>
          <cell r="E5404" t="str">
            <v>B9165 HASBRO DISNEY PRINCESS BEAUTY AND THE BEAST ENCHANTING</v>
          </cell>
          <cell r="F5404" t="str">
            <v>JUGUETES</v>
          </cell>
          <cell r="G5404" t="str">
            <v>IHASB9165</v>
          </cell>
          <cell r="H5404" t="str">
            <v>HASBRO</v>
          </cell>
          <cell r="I5404">
            <v>0</v>
          </cell>
        </row>
        <row r="5405">
          <cell r="A5405" t="str">
            <v>19-05404</v>
          </cell>
          <cell r="B5405" t="str">
            <v>MOTTA INT.</v>
          </cell>
          <cell r="C5405" t="str">
            <v>A</v>
          </cell>
          <cell r="D5405" t="str">
            <v>NO</v>
          </cell>
          <cell r="E5405" t="str">
            <v>B9216 HASBRO DISNEY PRINCESS BEAUTY AND THE BEAST ROYAL</v>
          </cell>
          <cell r="F5405" t="str">
            <v>JUGUETES</v>
          </cell>
          <cell r="G5405" t="str">
            <v>IHASB9216</v>
          </cell>
          <cell r="H5405" t="str">
            <v>HASBRO</v>
          </cell>
          <cell r="I5405">
            <v>0</v>
          </cell>
        </row>
        <row r="5406">
          <cell r="A5406" t="str">
            <v>19-05405</v>
          </cell>
          <cell r="B5406" t="str">
            <v>MOTTA INT.</v>
          </cell>
          <cell r="C5406" t="str">
            <v>A</v>
          </cell>
          <cell r="D5406" t="str">
            <v>NO</v>
          </cell>
          <cell r="E5406" t="str">
            <v>WB9249 HASBRO FROZEN SMALL DOLL WITH BASIC FEATURE - SURTIDO</v>
          </cell>
          <cell r="F5406" t="str">
            <v>JUGUETES</v>
          </cell>
          <cell r="G5406" t="str">
            <v>WB9249</v>
          </cell>
          <cell r="H5406" t="str">
            <v>HASBRO</v>
          </cell>
          <cell r="I5406">
            <v>9.39</v>
          </cell>
        </row>
        <row r="5407">
          <cell r="A5407" t="str">
            <v>19-05406</v>
          </cell>
          <cell r="B5407" t="str">
            <v>MOTTA INT.</v>
          </cell>
          <cell r="C5407" t="str">
            <v>A</v>
          </cell>
          <cell r="D5407" t="str">
            <v>NO</v>
          </cell>
          <cell r="E5407" t="str">
            <v>B9324 HASBRO PLAY DOH MY LITTLE PONY PINKIE PIE CUPCAKE PARTY</v>
          </cell>
          <cell r="F5407" t="str">
            <v>JUGUETES</v>
          </cell>
          <cell r="G5407" t="str">
            <v>IHASB9324</v>
          </cell>
          <cell r="H5407" t="str">
            <v>HASBRO</v>
          </cell>
          <cell r="I5407">
            <v>0</v>
          </cell>
        </row>
        <row r="5408">
          <cell r="A5408" t="str">
            <v>19-05407</v>
          </cell>
          <cell r="B5408" t="str">
            <v>MOTTA INT.</v>
          </cell>
          <cell r="C5408" t="str">
            <v>A</v>
          </cell>
          <cell r="D5408" t="str">
            <v>NO</v>
          </cell>
          <cell r="E5408" t="str">
            <v>B9364 HASBRO PLAY DOH MARVEL SPIDERMAN VS DOC OCK</v>
          </cell>
          <cell r="F5408" t="str">
            <v>JUGUETES</v>
          </cell>
          <cell r="G5408" t="str">
            <v>IHASB9364</v>
          </cell>
          <cell r="H5408" t="str">
            <v>HASBRO</v>
          </cell>
          <cell r="I5408">
            <v>0</v>
          </cell>
        </row>
        <row r="5409">
          <cell r="A5409" t="str">
            <v>19-05408</v>
          </cell>
          <cell r="B5409" t="str">
            <v>MOTTA INT.</v>
          </cell>
          <cell r="C5409" t="str">
            <v>A</v>
          </cell>
          <cell r="D5409" t="str">
            <v>NO</v>
          </cell>
          <cell r="E5409" t="str">
            <v>B9406 HASBRO PLAY DOH DISNEY BE OUR GUEST BANQUET</v>
          </cell>
          <cell r="F5409" t="str">
            <v>JUGUETES</v>
          </cell>
          <cell r="G5409" t="str">
            <v>IHASB9406</v>
          </cell>
          <cell r="H5409" t="str">
            <v>HASBRO</v>
          </cell>
          <cell r="I5409">
            <v>0</v>
          </cell>
        </row>
        <row r="5410">
          <cell r="A5410" t="str">
            <v>19-05409</v>
          </cell>
          <cell r="B5410" t="str">
            <v>MOTTA INT.</v>
          </cell>
          <cell r="C5410" t="str">
            <v>A</v>
          </cell>
          <cell r="D5410" t="str">
            <v>NO</v>
          </cell>
          <cell r="E5410" t="str">
            <v>WB9694 HASBRO SPIDERMAN FLIP UP MASK</v>
          </cell>
          <cell r="F5410" t="str">
            <v>JUGUETES</v>
          </cell>
          <cell r="G5410" t="str">
            <v>WB9694</v>
          </cell>
          <cell r="H5410" t="str">
            <v>HASBRO</v>
          </cell>
          <cell r="I5410">
            <v>8.17</v>
          </cell>
        </row>
        <row r="5411">
          <cell r="A5411" t="str">
            <v>19-05410</v>
          </cell>
          <cell r="B5411" t="str">
            <v>MOTTA INT.</v>
          </cell>
          <cell r="C5411" t="str">
            <v>A</v>
          </cell>
          <cell r="D5411" t="str">
            <v>NO</v>
          </cell>
          <cell r="E5411" t="str">
            <v>B9695 HASBRO SPIDERMAN SPIDER SIGHT MASK</v>
          </cell>
          <cell r="F5411" t="str">
            <v>JUGUETES</v>
          </cell>
          <cell r="G5411" t="str">
            <v>IHASB9695</v>
          </cell>
          <cell r="H5411" t="str">
            <v>HASBRO</v>
          </cell>
          <cell r="I5411">
            <v>0</v>
          </cell>
        </row>
        <row r="5412">
          <cell r="A5412" t="str">
            <v>19-05411</v>
          </cell>
          <cell r="B5412" t="str">
            <v>MOTTA INT.</v>
          </cell>
          <cell r="C5412" t="str">
            <v>A</v>
          </cell>
          <cell r="D5412" t="str">
            <v>NO</v>
          </cell>
          <cell r="E5412" t="str">
            <v>WB9817 HASBRO MY LITTLE PONY CUDDLY PLUSH - SURTIDO</v>
          </cell>
          <cell r="F5412" t="str">
            <v>JUGUETES</v>
          </cell>
          <cell r="G5412" t="str">
            <v>WB9817</v>
          </cell>
          <cell r="H5412" t="str">
            <v>HASBRO</v>
          </cell>
          <cell r="I5412">
            <v>9.8800000000000008</v>
          </cell>
        </row>
        <row r="5413">
          <cell r="A5413" t="str">
            <v>19-05412</v>
          </cell>
          <cell r="B5413" t="str">
            <v>MOTTA INT.</v>
          </cell>
          <cell r="C5413" t="str">
            <v>A</v>
          </cell>
          <cell r="D5413" t="str">
            <v>NO</v>
          </cell>
          <cell r="E5413" t="str">
            <v>WB9819 HASBRO MY LITTLE PONY SMALL PLUSH - SURTIDO</v>
          </cell>
          <cell r="F5413" t="str">
            <v>JUGUETES</v>
          </cell>
          <cell r="G5413" t="str">
            <v>WB9819</v>
          </cell>
          <cell r="H5413" t="str">
            <v>HASBRO</v>
          </cell>
          <cell r="I5413">
            <v>4.18</v>
          </cell>
        </row>
        <row r="5414">
          <cell r="A5414" t="str">
            <v>19-05413</v>
          </cell>
          <cell r="B5414" t="str">
            <v>MOTTA INT.</v>
          </cell>
          <cell r="C5414" t="str">
            <v>A</v>
          </cell>
          <cell r="D5414" t="str">
            <v>NO</v>
          </cell>
          <cell r="E5414" t="str">
            <v>WB9945 HASBRO AVENGERS HERO MASK - SURTIDO</v>
          </cell>
          <cell r="F5414" t="str">
            <v>JUGUETES</v>
          </cell>
          <cell r="G5414" t="str">
            <v>WB9945</v>
          </cell>
          <cell r="H5414" t="str">
            <v>HASBRO</v>
          </cell>
          <cell r="I5414">
            <v>7.98</v>
          </cell>
        </row>
        <row r="5415">
          <cell r="A5415" t="str">
            <v>19-05414</v>
          </cell>
          <cell r="B5415" t="str">
            <v>MOTTA INT.</v>
          </cell>
          <cell r="C5415" t="str">
            <v>A</v>
          </cell>
          <cell r="D5415" t="str">
            <v>NO</v>
          </cell>
          <cell r="E5415" t="str">
            <v>C0196 HASBRO DISNEY PRINCESS MOANA ISLAND FASHIONS DOLL</v>
          </cell>
          <cell r="F5415" t="str">
            <v>JUGUETES</v>
          </cell>
          <cell r="G5415" t="str">
            <v>IHASC0196</v>
          </cell>
          <cell r="H5415" t="str">
            <v>HASBRO</v>
          </cell>
          <cell r="I5415">
            <v>18.05</v>
          </cell>
        </row>
        <row r="5416">
          <cell r="A5416" t="str">
            <v>19-05415</v>
          </cell>
          <cell r="B5416" t="str">
            <v>MOTTA INT.</v>
          </cell>
          <cell r="C5416" t="str">
            <v>A</v>
          </cell>
          <cell r="D5416" t="str">
            <v>NO</v>
          </cell>
          <cell r="E5416" t="str">
            <v>C0212 HASBRO TRANSFORMERS ROBOT RESCUE TEAM - SURTIDO</v>
          </cell>
          <cell r="F5416" t="str">
            <v>JUGUETES</v>
          </cell>
          <cell r="G5416" t="str">
            <v>IHASC0212</v>
          </cell>
          <cell r="H5416" t="str">
            <v>HASBRO</v>
          </cell>
          <cell r="I5416">
            <v>0</v>
          </cell>
        </row>
        <row r="5417">
          <cell r="A5417" t="str">
            <v>19-05416</v>
          </cell>
          <cell r="B5417" t="str">
            <v>MOTTA INT.</v>
          </cell>
          <cell r="C5417" t="str">
            <v>A</v>
          </cell>
          <cell r="D5417" t="str">
            <v>NO</v>
          </cell>
          <cell r="E5417" t="str">
            <v>WC0214 HASBRO TRANSFORMERS ROBOT FLIPRACER SINGLES - SURTIDO</v>
          </cell>
          <cell r="F5417" t="str">
            <v>JUGUETES</v>
          </cell>
          <cell r="G5417" t="str">
            <v>WC0214</v>
          </cell>
          <cell r="H5417" t="str">
            <v>HASBRO</v>
          </cell>
          <cell r="I5417">
            <v>5.13</v>
          </cell>
        </row>
        <row r="5418">
          <cell r="A5418" t="str">
            <v>19-05417</v>
          </cell>
          <cell r="B5418" t="str">
            <v>MOTTA INT.</v>
          </cell>
          <cell r="C5418" t="str">
            <v>A</v>
          </cell>
          <cell r="D5418" t="str">
            <v>NO</v>
          </cell>
          <cell r="E5418" t="str">
            <v>WC0355 HASBRO DISNEY DESCENDANTS BASIC DOLL - SURTIDO</v>
          </cell>
          <cell r="F5418" t="str">
            <v>JUGUETES</v>
          </cell>
          <cell r="G5418" t="str">
            <v>WC0355</v>
          </cell>
          <cell r="H5418" t="str">
            <v>HASBRO</v>
          </cell>
          <cell r="I5418">
            <v>14.96</v>
          </cell>
        </row>
        <row r="5419">
          <cell r="A5419" t="str">
            <v>19-05418</v>
          </cell>
          <cell r="B5419" t="str">
            <v>MOTTA INT.</v>
          </cell>
          <cell r="C5419" t="str">
            <v>A</v>
          </cell>
          <cell r="D5419" t="str">
            <v>NO</v>
          </cell>
          <cell r="E5419" t="str">
            <v>WC0358 HASBRO DISNEY DESCENDANTS JEWELBILEE - SURTIDO</v>
          </cell>
          <cell r="F5419" t="str">
            <v>JUGUETES</v>
          </cell>
          <cell r="G5419" t="str">
            <v>WC0358</v>
          </cell>
          <cell r="H5419" t="str">
            <v>HASBRO</v>
          </cell>
          <cell r="I5419">
            <v>20.399999999999999</v>
          </cell>
        </row>
        <row r="5420">
          <cell r="A5420" t="str">
            <v>19-05419</v>
          </cell>
          <cell r="B5420" t="str">
            <v>MOTTA INT.</v>
          </cell>
          <cell r="C5420" t="str">
            <v>A</v>
          </cell>
          <cell r="D5420" t="str">
            <v>NO</v>
          </cell>
          <cell r="E5420" t="str">
            <v>C0379 HASBRO DISNEY PRINCESS ELENA OF AVALOR POWER SCEPTER</v>
          </cell>
          <cell r="F5420" t="str">
            <v>JUGUETES</v>
          </cell>
          <cell r="G5420" t="str">
            <v>IHASC0379</v>
          </cell>
          <cell r="H5420" t="str">
            <v>HASBRO</v>
          </cell>
          <cell r="I5420">
            <v>0</v>
          </cell>
        </row>
        <row r="5421">
          <cell r="A5421" t="str">
            <v>19-05420</v>
          </cell>
          <cell r="B5421" t="str">
            <v>MOTTA INT.</v>
          </cell>
          <cell r="C5421" t="str">
            <v>A</v>
          </cell>
          <cell r="D5421" t="str">
            <v>NO</v>
          </cell>
          <cell r="E5421" t="str">
            <v>C0447 HASBRO TOILET TROUBLE</v>
          </cell>
          <cell r="F5421" t="str">
            <v>JUGUETES</v>
          </cell>
          <cell r="G5421" t="str">
            <v>IHASC0447</v>
          </cell>
          <cell r="H5421" t="str">
            <v>HASBRO</v>
          </cell>
          <cell r="I5421">
            <v>0</v>
          </cell>
        </row>
        <row r="5422">
          <cell r="A5422" t="str">
            <v>19-05421</v>
          </cell>
          <cell r="B5422" t="str">
            <v>MOTTA INT.</v>
          </cell>
          <cell r="C5422" t="str">
            <v>A</v>
          </cell>
          <cell r="D5422" t="str">
            <v>NO</v>
          </cell>
          <cell r="E5422" t="str">
            <v>C0544 HASBRO DISNEY PRINCESS FASHION REVEAL CINDERELLA</v>
          </cell>
          <cell r="F5422" t="str">
            <v>JUGUETES</v>
          </cell>
          <cell r="G5422" t="str">
            <v>IHASC0544</v>
          </cell>
          <cell r="H5422" t="str">
            <v>HASBRO</v>
          </cell>
          <cell r="I5422">
            <v>0</v>
          </cell>
        </row>
        <row r="5423">
          <cell r="A5423" t="str">
            <v>19-05422</v>
          </cell>
          <cell r="B5423" t="str">
            <v>MOTTA INT.</v>
          </cell>
          <cell r="C5423" t="str">
            <v>A</v>
          </cell>
          <cell r="D5423" t="str">
            <v>NO</v>
          </cell>
          <cell r="E5423" t="str">
            <v>WC0653 HASBRO TRANSFORMERS RID ACTIVATOR COMBINER PACK-SURTIDO</v>
          </cell>
          <cell r="F5423" t="str">
            <v>JUGUETES</v>
          </cell>
          <cell r="G5423" t="str">
            <v>WC0653</v>
          </cell>
          <cell r="H5423" t="str">
            <v>HASBRO</v>
          </cell>
          <cell r="I5423">
            <v>20.399999999999999</v>
          </cell>
        </row>
        <row r="5424">
          <cell r="A5424" t="str">
            <v>19-05423</v>
          </cell>
          <cell r="B5424" t="str">
            <v>MOTTA INT.</v>
          </cell>
          <cell r="C5424" t="str">
            <v>A</v>
          </cell>
          <cell r="D5424" t="str">
            <v>NO</v>
          </cell>
          <cell r="E5424" t="str">
            <v>WC0887 HASBRO TRANSFORMERS MV5 PREMIER DELUXE - SURTIDO</v>
          </cell>
          <cell r="F5424" t="str">
            <v>JUGUETES</v>
          </cell>
          <cell r="G5424" t="str">
            <v>WC0887</v>
          </cell>
          <cell r="H5424" t="str">
            <v>HASBRO</v>
          </cell>
          <cell r="I5424">
            <v>20.399999999999999</v>
          </cell>
        </row>
        <row r="5425">
          <cell r="A5425" t="str">
            <v>19-05424</v>
          </cell>
          <cell r="B5425" t="str">
            <v>MOTTA INT.</v>
          </cell>
          <cell r="C5425" t="str">
            <v>A</v>
          </cell>
          <cell r="D5425" t="str">
            <v>NO</v>
          </cell>
          <cell r="E5425" t="str">
            <v>C0889 HASBRO TRANSFORMERS MV5 LEGION - SURTIDO</v>
          </cell>
          <cell r="F5425" t="str">
            <v>JUGUETES</v>
          </cell>
          <cell r="G5425" t="str">
            <v>IHASC0889</v>
          </cell>
          <cell r="H5425" t="str">
            <v>HASBRO</v>
          </cell>
          <cell r="I5425">
            <v>5.61</v>
          </cell>
        </row>
        <row r="5426">
          <cell r="A5426" t="str">
            <v>19-05425</v>
          </cell>
          <cell r="B5426" t="str">
            <v>MOTTA INT.</v>
          </cell>
          <cell r="C5426" t="str">
            <v>A</v>
          </cell>
          <cell r="D5426" t="str">
            <v>NO</v>
          </cell>
          <cell r="E5426" t="str">
            <v>C0891 HASBRO TRANSFORMERS MV5 PREMIER VOYAGER - SURTIDO</v>
          </cell>
          <cell r="F5426" t="str">
            <v>JUGUETES</v>
          </cell>
          <cell r="G5426" t="str">
            <v>IHASC0891</v>
          </cell>
          <cell r="H5426" t="str">
            <v>HASBRO</v>
          </cell>
          <cell r="I5426">
            <v>0</v>
          </cell>
        </row>
        <row r="5427">
          <cell r="A5427" t="str">
            <v>19-05426</v>
          </cell>
          <cell r="B5427" t="str">
            <v>MOTTA INT.</v>
          </cell>
          <cell r="C5427" t="str">
            <v>A</v>
          </cell>
          <cell r="D5427" t="str">
            <v>NO</v>
          </cell>
          <cell r="E5427" t="str">
            <v>C0911 HASBRO PLAY DOHVINCI CUSTOM WALL ORGANIZER</v>
          </cell>
          <cell r="F5427" t="str">
            <v>JUGUETES</v>
          </cell>
          <cell r="G5427" t="str">
            <v>IHASC0911</v>
          </cell>
          <cell r="H5427" t="str">
            <v>HASBRO</v>
          </cell>
          <cell r="I5427">
            <v>0</v>
          </cell>
        </row>
        <row r="5428">
          <cell r="A5428" t="str">
            <v>19-05427</v>
          </cell>
          <cell r="B5428" t="str">
            <v>MOTTA INT.</v>
          </cell>
          <cell r="C5428" t="str">
            <v>A</v>
          </cell>
          <cell r="D5428" t="str">
            <v>NO</v>
          </cell>
          <cell r="E5428" t="str">
            <v>C0913 HASBRO PLAY DOHVINCI MY WORKS OF ARTS - SURTIDO</v>
          </cell>
          <cell r="F5428" t="str">
            <v>JUGUETES</v>
          </cell>
          <cell r="G5428" t="str">
            <v>IHASC0913</v>
          </cell>
          <cell r="H5428" t="str">
            <v>HASBRO</v>
          </cell>
          <cell r="I5428">
            <v>0</v>
          </cell>
        </row>
        <row r="5429">
          <cell r="A5429" t="str">
            <v>19-05428</v>
          </cell>
          <cell r="B5429" t="str">
            <v>MOTTA INT.</v>
          </cell>
          <cell r="C5429" t="str">
            <v>A</v>
          </cell>
          <cell r="D5429" t="str">
            <v>NO</v>
          </cell>
          <cell r="E5429" t="str">
            <v>322 HASBRO PLAYSKOOL FORM FITTER</v>
          </cell>
          <cell r="F5429" t="str">
            <v>JUGUETES</v>
          </cell>
          <cell r="G5429" t="str">
            <v>IHAS00322</v>
          </cell>
          <cell r="H5429" t="str">
            <v>HASBRO</v>
          </cell>
          <cell r="I5429">
            <v>0</v>
          </cell>
        </row>
        <row r="5430">
          <cell r="A5430" t="str">
            <v>19-05429</v>
          </cell>
          <cell r="B5430" t="str">
            <v>MOTTA INT.</v>
          </cell>
          <cell r="C5430" t="str">
            <v>A</v>
          </cell>
          <cell r="D5430" t="str">
            <v>NO</v>
          </cell>
          <cell r="E5430" t="str">
            <v>W22037 HASBRO PLAY DOH PARTY PACK</v>
          </cell>
          <cell r="F5430" t="str">
            <v>JUGUETES</v>
          </cell>
          <cell r="G5430" t="str">
            <v>W22037</v>
          </cell>
          <cell r="H5430" t="str">
            <v>HASBRO</v>
          </cell>
          <cell r="I5430">
            <v>3.46</v>
          </cell>
        </row>
        <row r="5431">
          <cell r="A5431" t="str">
            <v>19-05430</v>
          </cell>
          <cell r="B5431" t="str">
            <v>MOTTA INT.</v>
          </cell>
          <cell r="C5431" t="str">
            <v>A</v>
          </cell>
          <cell r="D5431" t="str">
            <v>NO</v>
          </cell>
          <cell r="E5431" t="str">
            <v>W23241 HASBRO PLAY DOH MINI 4 PACK</v>
          </cell>
          <cell r="F5431" t="str">
            <v>JUGUETES</v>
          </cell>
          <cell r="G5431" t="str">
            <v>W23241</v>
          </cell>
          <cell r="H5431" t="str">
            <v>HASBRO</v>
          </cell>
          <cell r="I5431">
            <v>1.54</v>
          </cell>
        </row>
        <row r="5432">
          <cell r="A5432" t="str">
            <v>19-05431</v>
          </cell>
          <cell r="B5432" t="str">
            <v>MOTTA INT.</v>
          </cell>
          <cell r="C5432" t="str">
            <v>A</v>
          </cell>
          <cell r="D5432" t="str">
            <v>NO</v>
          </cell>
          <cell r="E5432" t="str">
            <v>23414 HASBRO PLAY DOH MINI BUCKET ASSORTMENT</v>
          </cell>
          <cell r="F5432" t="str">
            <v>JUGUETES</v>
          </cell>
          <cell r="G5432" t="str">
            <v>IHAS23414</v>
          </cell>
          <cell r="H5432" t="str">
            <v>HASBRO</v>
          </cell>
          <cell r="I5432">
            <v>0</v>
          </cell>
        </row>
        <row r="5433">
          <cell r="A5433" t="str">
            <v>19-05432</v>
          </cell>
          <cell r="B5433" t="str">
            <v>MOTTA INT.</v>
          </cell>
          <cell r="C5433" t="str">
            <v>A</v>
          </cell>
          <cell r="D5433" t="str">
            <v>NO</v>
          </cell>
          <cell r="E5433" t="str">
            <v>W23655 HASBRO PLAY DOH 2 LATAS DE MASA DE COLOR - VARIADO</v>
          </cell>
          <cell r="F5433" t="str">
            <v>JUGUETES</v>
          </cell>
          <cell r="G5433" t="str">
            <v>W23655</v>
          </cell>
          <cell r="H5433" t="str">
            <v>HASBRO</v>
          </cell>
          <cell r="I5433">
            <v>1.28</v>
          </cell>
        </row>
        <row r="5434">
          <cell r="A5434" t="str">
            <v>19-05433</v>
          </cell>
          <cell r="B5434" t="str">
            <v>MOTTA INT.</v>
          </cell>
          <cell r="C5434" t="str">
            <v>A</v>
          </cell>
          <cell r="D5434" t="str">
            <v>NO</v>
          </cell>
          <cell r="E5434" t="str">
            <v>383162210 HASBRO PLAY DOH SWEET SHOPPE SPECIALTY DOH ASSORTMENT</v>
          </cell>
          <cell r="F5434" t="str">
            <v>JUGUETES</v>
          </cell>
          <cell r="G5434" t="str">
            <v>IHAS383162210</v>
          </cell>
          <cell r="H5434" t="str">
            <v>HASBRO</v>
          </cell>
          <cell r="I5434">
            <v>0</v>
          </cell>
        </row>
        <row r="5435">
          <cell r="A5435" t="str">
            <v>19-05434</v>
          </cell>
          <cell r="B5435" t="str">
            <v>MOTTA INT.</v>
          </cell>
          <cell r="C5435" t="str">
            <v>A</v>
          </cell>
          <cell r="D5435" t="str">
            <v>NO</v>
          </cell>
          <cell r="E5435" t="str">
            <v>90020 HASBRO PLAY DOH FUN FACTORY</v>
          </cell>
          <cell r="F5435" t="str">
            <v>JUGUETES</v>
          </cell>
          <cell r="G5435" t="str">
            <v>IHAS90020</v>
          </cell>
          <cell r="H5435" t="str">
            <v>HASBRO</v>
          </cell>
          <cell r="I5435">
            <v>0</v>
          </cell>
        </row>
        <row r="5436">
          <cell r="A5436" t="str">
            <v>19-05435</v>
          </cell>
          <cell r="B5436" t="str">
            <v>DIST. LEWIS</v>
          </cell>
          <cell r="C5436" t="str">
            <v>A</v>
          </cell>
          <cell r="D5436" t="str">
            <v>SI</v>
          </cell>
          <cell r="E5436" t="str">
            <v>BHG - PALEO RECIPES</v>
          </cell>
          <cell r="F5436" t="str">
            <v>MAGAZINE</v>
          </cell>
          <cell r="G5436">
            <v>14050</v>
          </cell>
          <cell r="H5436" t="str">
            <v>DIST. LEWIS</v>
          </cell>
          <cell r="I5436">
            <v>8.8000000000000007</v>
          </cell>
        </row>
        <row r="5437">
          <cell r="A5437" t="str">
            <v>19-05436</v>
          </cell>
          <cell r="B5437" t="str">
            <v>BOING GLOBAL</v>
          </cell>
          <cell r="C5437" t="str">
            <v>A</v>
          </cell>
          <cell r="D5437" t="str">
            <v>NO</v>
          </cell>
          <cell r="E5437" t="str">
            <v>TY BEANIE BOOS - PERRO SLUSH MEDIANO</v>
          </cell>
          <cell r="F5437" t="str">
            <v>PELUCHE</v>
          </cell>
          <cell r="G5437">
            <v>36902</v>
          </cell>
          <cell r="H5437" t="str">
            <v>TY</v>
          </cell>
          <cell r="I5437">
            <v>5.53</v>
          </cell>
        </row>
        <row r="5438">
          <cell r="A5438" t="str">
            <v>19-05437</v>
          </cell>
          <cell r="B5438" t="str">
            <v>BOING GLOBAL</v>
          </cell>
          <cell r="C5438" t="str">
            <v>A</v>
          </cell>
          <cell r="D5438" t="str">
            <v>NO</v>
          </cell>
          <cell r="E5438" t="str">
            <v>TY PEPPA PIG VEST. DE FLORES MEDIANO PELUCHE</v>
          </cell>
          <cell r="F5438" t="str">
            <v>PELUCHE</v>
          </cell>
          <cell r="G5438">
            <v>96285</v>
          </cell>
          <cell r="H5438" t="str">
            <v>TY</v>
          </cell>
          <cell r="I5438">
            <v>5.53</v>
          </cell>
        </row>
        <row r="5439">
          <cell r="A5439" t="str">
            <v>19-05438</v>
          </cell>
          <cell r="B5439" t="str">
            <v>BOING GLOBAL</v>
          </cell>
          <cell r="C5439" t="str">
            <v>A</v>
          </cell>
          <cell r="D5439" t="str">
            <v>NO</v>
          </cell>
          <cell r="E5439" t="str">
            <v>TY BEANIE BOOS SLICK ZORRO CAFE MEDIANO</v>
          </cell>
          <cell r="F5439" t="str">
            <v>PELUCHE</v>
          </cell>
          <cell r="G5439">
            <v>37042</v>
          </cell>
          <cell r="H5439" t="str">
            <v>TY</v>
          </cell>
          <cell r="I5439">
            <v>5.53</v>
          </cell>
        </row>
        <row r="5440">
          <cell r="A5440" t="str">
            <v>19-05439</v>
          </cell>
          <cell r="B5440" t="str">
            <v>BOING GLOBAL</v>
          </cell>
          <cell r="C5440" t="str">
            <v>A</v>
          </cell>
          <cell r="D5440" t="str">
            <v>NO</v>
          </cell>
          <cell r="E5440" t="str">
            <v>TY BEANIE BOOS FANTASIA UNICORNIO MULTICOLOR CLIP</v>
          </cell>
          <cell r="F5440" t="str">
            <v>PELUCHE</v>
          </cell>
          <cell r="G5440">
            <v>36619</v>
          </cell>
          <cell r="H5440" t="str">
            <v>TY</v>
          </cell>
          <cell r="I5440">
            <v>1.67</v>
          </cell>
        </row>
        <row r="5441">
          <cell r="A5441" t="str">
            <v>19-05440</v>
          </cell>
          <cell r="B5441" t="str">
            <v>BOING GLOBAL</v>
          </cell>
          <cell r="C5441" t="str">
            <v>A</v>
          </cell>
          <cell r="D5441" t="str">
            <v>NO</v>
          </cell>
          <cell r="E5441" t="str">
            <v>TY BEANIE BOOS SOPHIE GATO ROSADO REGULAR</v>
          </cell>
          <cell r="F5441" t="str">
            <v>PELUCHE</v>
          </cell>
          <cell r="G5441">
            <v>36189</v>
          </cell>
          <cell r="H5441" t="str">
            <v>TY</v>
          </cell>
          <cell r="I5441">
            <v>2.74</v>
          </cell>
        </row>
        <row r="5442">
          <cell r="A5442" t="str">
            <v>19-05441</v>
          </cell>
          <cell r="B5442" t="str">
            <v>BOING GLOBAL</v>
          </cell>
          <cell r="C5442" t="str">
            <v>A</v>
          </cell>
          <cell r="D5442" t="str">
            <v>NO</v>
          </cell>
          <cell r="E5442" t="str">
            <v>TY BEANIE BOOS GLIDER PINGÜINO ROSADO CLIP</v>
          </cell>
          <cell r="F5442" t="str">
            <v>PELUCHE</v>
          </cell>
          <cell r="G5442">
            <v>36641</v>
          </cell>
          <cell r="H5442" t="str">
            <v>TY</v>
          </cell>
          <cell r="I5442">
            <v>1.67</v>
          </cell>
        </row>
        <row r="5443">
          <cell r="A5443" t="str">
            <v>19-05442</v>
          </cell>
          <cell r="B5443" t="str">
            <v>BOING GLOBAL</v>
          </cell>
          <cell r="C5443" t="str">
            <v>A</v>
          </cell>
          <cell r="D5443" t="str">
            <v>NO</v>
          </cell>
          <cell r="E5443" t="str">
            <v>TY BEANIE BOOS SOPHIE GATO ROSADO MEDIANO</v>
          </cell>
          <cell r="F5443" t="str">
            <v>PELUCHE</v>
          </cell>
          <cell r="G5443">
            <v>37054</v>
          </cell>
          <cell r="H5443" t="str">
            <v>TY</v>
          </cell>
          <cell r="I5443">
            <v>5.53</v>
          </cell>
        </row>
        <row r="5444">
          <cell r="A5444" t="str">
            <v>19-05443</v>
          </cell>
          <cell r="B5444" t="str">
            <v>BOING GLOBAL</v>
          </cell>
          <cell r="C5444" t="str">
            <v>A</v>
          </cell>
          <cell r="D5444" t="str">
            <v>NO</v>
          </cell>
          <cell r="E5444" t="str">
            <v>TY BEANIE BOOS ASIA TIGRE BLANCO CLIP</v>
          </cell>
          <cell r="F5444" t="str">
            <v>PELUCHE</v>
          </cell>
          <cell r="G5444">
            <v>36638</v>
          </cell>
          <cell r="H5444" t="str">
            <v>TY</v>
          </cell>
          <cell r="I5444">
            <v>1.67</v>
          </cell>
        </row>
        <row r="5445">
          <cell r="A5445" t="str">
            <v>19-05444</v>
          </cell>
          <cell r="B5445" t="str">
            <v>BOING GLOBAL</v>
          </cell>
          <cell r="C5445" t="str">
            <v>A</v>
          </cell>
          <cell r="D5445" t="str">
            <v>NO</v>
          </cell>
          <cell r="E5445" t="str">
            <v>TY BEANIE BOOS SKY HIGH JIRAFA ROSADA MEDIUM</v>
          </cell>
          <cell r="F5445" t="str">
            <v>PELUCHE</v>
          </cell>
          <cell r="G5445">
            <v>36824</v>
          </cell>
          <cell r="H5445" t="str">
            <v>TY</v>
          </cell>
          <cell r="I5445">
            <v>5.53</v>
          </cell>
        </row>
        <row r="5446">
          <cell r="A5446" t="str">
            <v>19-05445</v>
          </cell>
          <cell r="B5446" t="str">
            <v>BOING GLOBAL</v>
          </cell>
          <cell r="C5446" t="str">
            <v>A</v>
          </cell>
          <cell r="D5446" t="str">
            <v>NO</v>
          </cell>
          <cell r="E5446" t="str">
            <v>TY BEANIE BOOS PEGASUS UNICORNIO BLANCO CLIP</v>
          </cell>
          <cell r="F5446" t="str">
            <v>PELUCHE</v>
          </cell>
          <cell r="G5446">
            <v>36640</v>
          </cell>
          <cell r="H5446" t="str">
            <v>TY</v>
          </cell>
          <cell r="I5446">
            <v>1.67</v>
          </cell>
        </row>
        <row r="5447">
          <cell r="A5447" t="str">
            <v>19-05446</v>
          </cell>
          <cell r="B5447" t="str">
            <v>BOING GLOBAL</v>
          </cell>
          <cell r="C5447" t="str">
            <v>A</v>
          </cell>
          <cell r="D5447" t="str">
            <v>NO</v>
          </cell>
          <cell r="E5447" t="str">
            <v>TY BEANIE BOOS DOTTY LEOPARDO MULTICOLOR CLIP</v>
          </cell>
          <cell r="F5447" t="str">
            <v>PELUCHE</v>
          </cell>
          <cell r="G5447">
            <v>35012</v>
          </cell>
          <cell r="H5447" t="str">
            <v>TY</v>
          </cell>
          <cell r="I5447">
            <v>1.67</v>
          </cell>
        </row>
        <row r="5448">
          <cell r="A5448" t="str">
            <v>19-05447</v>
          </cell>
          <cell r="B5448" t="str">
            <v>BOING GLOBAL</v>
          </cell>
          <cell r="C5448" t="str">
            <v>A</v>
          </cell>
          <cell r="D5448" t="str">
            <v>NO</v>
          </cell>
          <cell r="E5448" t="str">
            <v>TY BEANIE BOOS GEORGE GORILA NEGRO REGULAR</v>
          </cell>
          <cell r="F5448" t="str">
            <v>PELUCHE</v>
          </cell>
          <cell r="G5448">
            <v>37222</v>
          </cell>
          <cell r="H5448" t="str">
            <v>TY</v>
          </cell>
          <cell r="I5448">
            <v>2.74</v>
          </cell>
        </row>
        <row r="5449">
          <cell r="A5449" t="str">
            <v>19-05448</v>
          </cell>
          <cell r="B5449" t="str">
            <v>BOING GLOBAL</v>
          </cell>
          <cell r="C5449" t="str">
            <v>A</v>
          </cell>
          <cell r="D5449" t="str">
            <v>NO</v>
          </cell>
          <cell r="E5449" t="str">
            <v>TY BEANIE BOOS KIPPER KANGURO CAFE REGULAR</v>
          </cell>
          <cell r="F5449" t="str">
            <v>PELUCHE</v>
          </cell>
          <cell r="G5449">
            <v>37226</v>
          </cell>
          <cell r="H5449" t="str">
            <v>TY</v>
          </cell>
          <cell r="I5449">
            <v>2.74</v>
          </cell>
        </row>
        <row r="5450">
          <cell r="A5450" t="str">
            <v>19-05449</v>
          </cell>
          <cell r="B5450" t="str">
            <v>BOING GLOBAL</v>
          </cell>
          <cell r="C5450" t="str">
            <v>A</v>
          </cell>
          <cell r="D5450" t="str">
            <v>NO</v>
          </cell>
          <cell r="E5450" t="str">
            <v>TY BEANIE BOOS BUTTER VACA REGULAR</v>
          </cell>
          <cell r="F5450" t="str">
            <v>PELUCHE</v>
          </cell>
          <cell r="G5450">
            <v>36841</v>
          </cell>
          <cell r="H5450" t="str">
            <v>TY</v>
          </cell>
          <cell r="I5450">
            <v>2.74</v>
          </cell>
        </row>
        <row r="5451">
          <cell r="A5451" t="str">
            <v>19-05450</v>
          </cell>
          <cell r="B5451" t="str">
            <v>BOING GLOBAL</v>
          </cell>
          <cell r="C5451" t="str">
            <v>A</v>
          </cell>
          <cell r="D5451" t="str">
            <v>NO</v>
          </cell>
          <cell r="E5451" t="str">
            <v>TY BEANIE BOOS HARRIET CABALLO REGULAR</v>
          </cell>
          <cell r="F5451" t="str">
            <v>PELUCHE</v>
          </cell>
          <cell r="G5451">
            <v>36842</v>
          </cell>
          <cell r="H5451" t="str">
            <v>TY</v>
          </cell>
          <cell r="I5451">
            <v>2.74</v>
          </cell>
        </row>
        <row r="5452">
          <cell r="A5452" t="str">
            <v>19-05451</v>
          </cell>
          <cell r="B5452" t="str">
            <v>BOING GLOBAL</v>
          </cell>
          <cell r="C5452" t="str">
            <v>A</v>
          </cell>
          <cell r="D5452" t="str">
            <v>NO</v>
          </cell>
          <cell r="E5452" t="str">
            <v>TY BEANIE BOOS BUZBY ABEJA REGULAR</v>
          </cell>
          <cell r="F5452" t="str">
            <v>PELUCHE</v>
          </cell>
          <cell r="G5452">
            <v>36849</v>
          </cell>
          <cell r="H5452" t="str">
            <v>TY</v>
          </cell>
          <cell r="I5452">
            <v>2.74</v>
          </cell>
        </row>
        <row r="5453">
          <cell r="A5453" t="str">
            <v>19-05452</v>
          </cell>
          <cell r="B5453" t="str">
            <v>BOING GLOBAL</v>
          </cell>
          <cell r="C5453" t="str">
            <v>A</v>
          </cell>
          <cell r="D5453" t="str">
            <v>NO</v>
          </cell>
          <cell r="E5453" t="str">
            <v>TY BEANIE BOOS GABY CABRA REGULAR</v>
          </cell>
          <cell r="F5453" t="str">
            <v>PELUCHE</v>
          </cell>
          <cell r="G5453">
            <v>36843</v>
          </cell>
          <cell r="H5453" t="str">
            <v>TY</v>
          </cell>
          <cell r="I5453">
            <v>2.74</v>
          </cell>
        </row>
        <row r="5454">
          <cell r="A5454" t="str">
            <v>19-05453</v>
          </cell>
          <cell r="B5454" t="str">
            <v>H. MANCHA</v>
          </cell>
          <cell r="C5454" t="str">
            <v>A</v>
          </cell>
          <cell r="D5454" t="str">
            <v>NO</v>
          </cell>
          <cell r="E5454" t="str">
            <v>SIN TACONES SIN RESERVA</v>
          </cell>
          <cell r="F5454" t="str">
            <v>LIBRO</v>
          </cell>
          <cell r="H5454" t="str">
            <v>H. MANCHA</v>
          </cell>
          <cell r="I5454">
            <v>11.484</v>
          </cell>
        </row>
        <row r="5455">
          <cell r="A5455" t="str">
            <v>19-05454</v>
          </cell>
          <cell r="B5455" t="str">
            <v>H. MANCHA</v>
          </cell>
          <cell r="C5455" t="str">
            <v>A</v>
          </cell>
          <cell r="D5455" t="str">
            <v>NO</v>
          </cell>
          <cell r="E5455" t="str">
            <v>SOLO NOSOTROS DOS</v>
          </cell>
          <cell r="F5455" t="str">
            <v>LIBRO</v>
          </cell>
          <cell r="H5455" t="str">
            <v>H. MANCHA</v>
          </cell>
          <cell r="I5455">
            <v>11.484</v>
          </cell>
        </row>
        <row r="5456">
          <cell r="A5456" t="str">
            <v>19-05455</v>
          </cell>
          <cell r="B5456" t="str">
            <v>H. MANCHA</v>
          </cell>
          <cell r="C5456" t="str">
            <v>A</v>
          </cell>
          <cell r="D5456" t="str">
            <v>NO</v>
          </cell>
          <cell r="E5456" t="str">
            <v>CIRCULO, EL</v>
          </cell>
          <cell r="F5456" t="str">
            <v>LIBRO</v>
          </cell>
          <cell r="H5456" t="str">
            <v>H. MANCHA</v>
          </cell>
          <cell r="I5456">
            <v>15.084</v>
          </cell>
        </row>
        <row r="5457">
          <cell r="A5457" t="str">
            <v>19-05456</v>
          </cell>
          <cell r="B5457" t="str">
            <v>H. MANCHA</v>
          </cell>
          <cell r="C5457" t="str">
            <v>A</v>
          </cell>
          <cell r="D5457" t="str">
            <v>NO</v>
          </cell>
          <cell r="E5457" t="str">
            <v>COMO GANAR AMIGOS E INFLUIR</v>
          </cell>
          <cell r="F5457" t="str">
            <v>LIBRO</v>
          </cell>
          <cell r="H5457" t="str">
            <v>H. MANCHA</v>
          </cell>
          <cell r="I5457">
            <v>10.044</v>
          </cell>
        </row>
        <row r="5458">
          <cell r="A5458" t="str">
            <v>19-05457</v>
          </cell>
          <cell r="B5458" t="str">
            <v>H. MANCHA</v>
          </cell>
          <cell r="C5458" t="str">
            <v>A</v>
          </cell>
          <cell r="D5458" t="str">
            <v>NO</v>
          </cell>
          <cell r="E5458" t="str">
            <v>BIG BOOK ONE DIRECTION</v>
          </cell>
          <cell r="F5458" t="str">
            <v>LIBRO</v>
          </cell>
          <cell r="H5458" t="str">
            <v>H. MANCHA</v>
          </cell>
          <cell r="I5458">
            <v>12.202999999999999</v>
          </cell>
        </row>
        <row r="5459">
          <cell r="A5459" t="str">
            <v>19-05458</v>
          </cell>
          <cell r="B5459" t="str">
            <v>H. MANCHA</v>
          </cell>
          <cell r="C5459" t="str">
            <v>A</v>
          </cell>
          <cell r="D5459" t="str">
            <v>NO</v>
          </cell>
          <cell r="E5459" t="str">
            <v>HOMBRE MAS RICO QUE JAMAS EXIS</v>
          </cell>
          <cell r="F5459" t="str">
            <v>LIBRO</v>
          </cell>
          <cell r="H5459" t="str">
            <v>H. MANCHA</v>
          </cell>
          <cell r="I5459">
            <v>0</v>
          </cell>
        </row>
        <row r="5460">
          <cell r="A5460" t="str">
            <v>19-05459</v>
          </cell>
          <cell r="B5460" t="str">
            <v>H. MANCHA</v>
          </cell>
          <cell r="C5460" t="str">
            <v>A</v>
          </cell>
          <cell r="D5460" t="str">
            <v>NO</v>
          </cell>
          <cell r="E5460" t="str">
            <v>SECRETOS DE LA MENTE MILLONARI</v>
          </cell>
          <cell r="F5460" t="str">
            <v>LIBRO</v>
          </cell>
          <cell r="H5460" t="str">
            <v>H. MANCHA</v>
          </cell>
          <cell r="I5460">
            <v>16.524000000000001</v>
          </cell>
        </row>
        <row r="5461">
          <cell r="A5461" t="str">
            <v>19-05460</v>
          </cell>
          <cell r="B5461" t="str">
            <v>H. MANCHA</v>
          </cell>
          <cell r="C5461" t="str">
            <v>A</v>
          </cell>
          <cell r="D5461" t="str">
            <v>NO</v>
          </cell>
          <cell r="E5461" t="str">
            <v>COMO SUPRIMIR LAS PREOCUPACIONES</v>
          </cell>
          <cell r="F5461" t="str">
            <v>LIBRO</v>
          </cell>
          <cell r="H5461" t="str">
            <v>H. MANCHA</v>
          </cell>
          <cell r="I5461">
            <v>14.364000000000001</v>
          </cell>
        </row>
        <row r="5462">
          <cell r="A5462" t="str">
            <v>19-05461</v>
          </cell>
          <cell r="B5462" t="str">
            <v>H. MANCHA</v>
          </cell>
          <cell r="C5462" t="str">
            <v>A</v>
          </cell>
          <cell r="D5462" t="str">
            <v>NO</v>
          </cell>
          <cell r="E5462" t="str">
            <v>HARRY POTTER LEGADO MALDITO</v>
          </cell>
          <cell r="F5462" t="str">
            <v>LIBRO</v>
          </cell>
          <cell r="H5462" t="str">
            <v>H. MANCHA</v>
          </cell>
          <cell r="I5462">
            <v>15.084</v>
          </cell>
        </row>
        <row r="5463">
          <cell r="A5463" t="str">
            <v>19-05462</v>
          </cell>
          <cell r="B5463" t="str">
            <v>H. MANCHA</v>
          </cell>
          <cell r="C5463" t="str">
            <v>A</v>
          </cell>
          <cell r="D5463" t="str">
            <v>NO</v>
          </cell>
          <cell r="E5463" t="str">
            <v>NINA QUE MIRABA LOS TRENES PAR</v>
          </cell>
          <cell r="F5463" t="str">
            <v>LIBRO</v>
          </cell>
          <cell r="H5463" t="str">
            <v>H. MANCHA</v>
          </cell>
          <cell r="I5463">
            <v>16.524000000000001</v>
          </cell>
        </row>
        <row r="5464">
          <cell r="A5464" t="str">
            <v>19-05463</v>
          </cell>
          <cell r="B5464" t="str">
            <v>H. MANCHA</v>
          </cell>
          <cell r="C5464" t="str">
            <v>A</v>
          </cell>
          <cell r="D5464" t="str">
            <v>NO</v>
          </cell>
          <cell r="E5464" t="str">
            <v>LOS COMPLICADOS AMORES</v>
          </cell>
          <cell r="F5464" t="str">
            <v>LIBRO</v>
          </cell>
          <cell r="H5464" t="str">
            <v>H. MANCHA</v>
          </cell>
          <cell r="I5464">
            <v>10.042999999999999</v>
          </cell>
        </row>
        <row r="5465">
          <cell r="A5465" t="str">
            <v>19-05464</v>
          </cell>
          <cell r="B5465" t="str">
            <v>H. MANCHA</v>
          </cell>
          <cell r="C5465" t="str">
            <v>A</v>
          </cell>
          <cell r="D5465" t="str">
            <v>NO</v>
          </cell>
          <cell r="E5465" t="str">
            <v>MAS ALLA DE TU CEREBRO</v>
          </cell>
          <cell r="F5465" t="str">
            <v>LIBRO</v>
          </cell>
          <cell r="H5465" t="str">
            <v>H. MANCHA</v>
          </cell>
          <cell r="I5465">
            <v>12.925000000000001</v>
          </cell>
        </row>
        <row r="5466">
          <cell r="A5466" t="str">
            <v>19-05465</v>
          </cell>
          <cell r="B5466" t="str">
            <v>H. MANCHA</v>
          </cell>
          <cell r="C5466" t="str">
            <v>A</v>
          </cell>
          <cell r="D5466" t="str">
            <v>NO</v>
          </cell>
          <cell r="E5466" t="str">
            <v>MINDFULNESS IN THE MODERN WORLD</v>
          </cell>
          <cell r="F5466" t="str">
            <v>LIBRO</v>
          </cell>
          <cell r="H5466" t="str">
            <v>H. MANCHA</v>
          </cell>
          <cell r="I5466">
            <v>0</v>
          </cell>
        </row>
        <row r="5467">
          <cell r="A5467" t="str">
            <v>19-05466</v>
          </cell>
          <cell r="B5467" t="str">
            <v>H. MANCHA</v>
          </cell>
          <cell r="C5467" t="str">
            <v>A</v>
          </cell>
          <cell r="D5467" t="str">
            <v>NO</v>
          </cell>
          <cell r="E5467" t="str">
            <v>INFORMATION AND SOCIETY</v>
          </cell>
          <cell r="F5467" t="str">
            <v>LIBRO</v>
          </cell>
          <cell r="H5467" t="str">
            <v>H. MANCHA</v>
          </cell>
          <cell r="I5467">
            <v>0</v>
          </cell>
        </row>
        <row r="5468">
          <cell r="A5468" t="str">
            <v>19-05467</v>
          </cell>
          <cell r="B5468" t="str">
            <v>H. MANCHA</v>
          </cell>
          <cell r="C5468" t="str">
            <v>A</v>
          </cell>
          <cell r="D5468" t="str">
            <v>NO</v>
          </cell>
          <cell r="E5468" t="str">
            <v>HOW TO AGE</v>
          </cell>
          <cell r="F5468" t="str">
            <v>LIBRO</v>
          </cell>
          <cell r="H5468" t="str">
            <v>H. MANCHA</v>
          </cell>
          <cell r="I5468">
            <v>0</v>
          </cell>
        </row>
        <row r="5469">
          <cell r="A5469" t="str">
            <v>19-05468</v>
          </cell>
          <cell r="B5469" t="str">
            <v>H. MANCHA</v>
          </cell>
          <cell r="C5469" t="str">
            <v>A</v>
          </cell>
          <cell r="D5469" t="str">
            <v>NO</v>
          </cell>
          <cell r="E5469" t="str">
            <v>NEUROPLASTICITY</v>
          </cell>
          <cell r="F5469" t="str">
            <v>LIBRO</v>
          </cell>
          <cell r="H5469" t="str">
            <v>H. MANCHA</v>
          </cell>
          <cell r="I5469">
            <v>0</v>
          </cell>
        </row>
        <row r="5470">
          <cell r="A5470" t="str">
            <v>19-05469</v>
          </cell>
          <cell r="B5470" t="str">
            <v>H. MANCHA</v>
          </cell>
          <cell r="C5470" t="str">
            <v>A</v>
          </cell>
          <cell r="D5470" t="str">
            <v>NO</v>
          </cell>
          <cell r="E5470" t="str">
            <v>LA MOTIVACION EN LA EMPRESA</v>
          </cell>
          <cell r="F5470" t="str">
            <v>LIBRO</v>
          </cell>
          <cell r="H5470" t="str">
            <v>H. MANCHA</v>
          </cell>
          <cell r="I5470">
            <v>18.684999999999999</v>
          </cell>
        </row>
        <row r="5471">
          <cell r="A5471" t="str">
            <v>19-05470</v>
          </cell>
          <cell r="B5471" t="str">
            <v>H. MANCHA</v>
          </cell>
          <cell r="C5471" t="str">
            <v>A</v>
          </cell>
          <cell r="D5471" t="str">
            <v>NO</v>
          </cell>
          <cell r="E5471" t="str">
            <v>TU TAMBIEN PUEDES TRIUNFAR</v>
          </cell>
          <cell r="F5471" t="str">
            <v>LIBRO</v>
          </cell>
          <cell r="H5471" t="str">
            <v>H. MANCHA</v>
          </cell>
          <cell r="I5471">
            <v>0</v>
          </cell>
        </row>
        <row r="5472">
          <cell r="A5472" t="str">
            <v>19-05471</v>
          </cell>
          <cell r="B5472" t="str">
            <v>H. MANCHA</v>
          </cell>
          <cell r="C5472" t="str">
            <v>A</v>
          </cell>
          <cell r="D5472" t="str">
            <v>NO</v>
          </cell>
          <cell r="E5472" t="str">
            <v>COACHING CON PNL</v>
          </cell>
          <cell r="F5472" t="str">
            <v>LIBRO</v>
          </cell>
          <cell r="H5472" t="str">
            <v>H. MANCHA</v>
          </cell>
          <cell r="I5472">
            <v>15.083</v>
          </cell>
        </row>
        <row r="5473">
          <cell r="A5473" t="str">
            <v>19-05472</v>
          </cell>
          <cell r="B5473" t="str">
            <v>H. MANCHA</v>
          </cell>
          <cell r="C5473" t="str">
            <v>A</v>
          </cell>
          <cell r="D5473" t="str">
            <v>NO</v>
          </cell>
          <cell r="E5473" t="str">
            <v>APRENDA A NEGOCIAR CON EXITO</v>
          </cell>
          <cell r="F5473" t="str">
            <v>LIBRO</v>
          </cell>
          <cell r="H5473" t="str">
            <v>H. MANCHA</v>
          </cell>
          <cell r="I5473">
            <v>7.8849999999999998</v>
          </cell>
        </row>
        <row r="5474">
          <cell r="A5474" t="str">
            <v>19-05473</v>
          </cell>
          <cell r="B5474" t="str">
            <v>H. MANCHA</v>
          </cell>
          <cell r="C5474" t="str">
            <v>A</v>
          </cell>
          <cell r="D5474" t="str">
            <v>NO</v>
          </cell>
          <cell r="E5474" t="str">
            <v>APRENDE A SELECCIONAR PERSONAL EFICAZ</v>
          </cell>
          <cell r="F5474" t="str">
            <v>LIBRO</v>
          </cell>
          <cell r="H5474" t="str">
            <v>H. MANCHA</v>
          </cell>
          <cell r="I5474">
            <v>5.0049999999999999</v>
          </cell>
        </row>
        <row r="5475">
          <cell r="A5475" t="str">
            <v>19-05474</v>
          </cell>
          <cell r="B5475" t="str">
            <v>H. MANCHA</v>
          </cell>
          <cell r="C5475" t="str">
            <v>A</v>
          </cell>
          <cell r="D5475" t="str">
            <v>NO</v>
          </cell>
          <cell r="E5475" t="str">
            <v>LAS 4 LEYES DE LAS OPORTUNIDADES</v>
          </cell>
          <cell r="F5475" t="str">
            <v>LIBRO</v>
          </cell>
          <cell r="H5475" t="str">
            <v>H. MANCHA</v>
          </cell>
          <cell r="I5475">
            <v>14.365</v>
          </cell>
        </row>
        <row r="5476">
          <cell r="A5476" t="str">
            <v>19-05475</v>
          </cell>
          <cell r="B5476" t="str">
            <v>H. MANCHA</v>
          </cell>
          <cell r="C5476" t="str">
            <v>A</v>
          </cell>
          <cell r="D5476" t="str">
            <v>NO</v>
          </cell>
          <cell r="E5476" t="str">
            <v>UN PASO ADELANTE</v>
          </cell>
          <cell r="F5476" t="str">
            <v>LIBRO</v>
          </cell>
          <cell r="H5476" t="str">
            <v>H. MANCHA</v>
          </cell>
          <cell r="I5476">
            <v>0</v>
          </cell>
        </row>
        <row r="5477">
          <cell r="A5477" t="str">
            <v>19-05476</v>
          </cell>
          <cell r="B5477" t="str">
            <v>H. MANCHA</v>
          </cell>
          <cell r="C5477" t="str">
            <v>A</v>
          </cell>
          <cell r="D5477" t="str">
            <v>NO</v>
          </cell>
          <cell r="E5477" t="str">
            <v>INNOVACION DE LA IDEA AL EXITO</v>
          </cell>
          <cell r="F5477" t="str">
            <v>LIBRO</v>
          </cell>
          <cell r="H5477" t="str">
            <v>H. MANCHA</v>
          </cell>
          <cell r="I5477">
            <v>14.4</v>
          </cell>
        </row>
        <row r="5478">
          <cell r="A5478" t="str">
            <v>19-05477</v>
          </cell>
          <cell r="B5478" t="str">
            <v>H. MANCHA</v>
          </cell>
          <cell r="C5478" t="str">
            <v>A</v>
          </cell>
          <cell r="D5478" t="str">
            <v>NO</v>
          </cell>
          <cell r="E5478" t="str">
            <v>COMO CONVERTIR TU EMPRESA EN MARCA LIDER</v>
          </cell>
          <cell r="F5478" t="str">
            <v>LIBRO</v>
          </cell>
          <cell r="H5478" t="str">
            <v>H. MANCHA</v>
          </cell>
          <cell r="I5478">
            <v>5.7249999999999996</v>
          </cell>
        </row>
        <row r="5479">
          <cell r="A5479" t="str">
            <v>19-05478</v>
          </cell>
          <cell r="B5479" t="str">
            <v>H. MANCHA</v>
          </cell>
          <cell r="C5479" t="str">
            <v>A</v>
          </cell>
          <cell r="D5479" t="str">
            <v>NO</v>
          </cell>
          <cell r="E5479" t="str">
            <v>EL HOMBRE MAS RICO QUE JAMAS EXITO</v>
          </cell>
          <cell r="F5479" t="str">
            <v>LIBRO</v>
          </cell>
          <cell r="H5479" t="str">
            <v>H. MANCHA</v>
          </cell>
          <cell r="I5479">
            <v>17.965</v>
          </cell>
        </row>
        <row r="5480">
          <cell r="A5480" t="str">
            <v>19-05479</v>
          </cell>
          <cell r="B5480" t="str">
            <v>H. MANCHA</v>
          </cell>
          <cell r="C5480" t="str">
            <v>A</v>
          </cell>
          <cell r="D5480" t="str">
            <v>NO</v>
          </cell>
          <cell r="E5480" t="str">
            <v>FISH</v>
          </cell>
          <cell r="F5480" t="str">
            <v>LIBRO</v>
          </cell>
          <cell r="H5480" t="str">
            <v>H. MANCHA</v>
          </cell>
          <cell r="I5480">
            <v>0</v>
          </cell>
        </row>
        <row r="5481">
          <cell r="A5481" t="str">
            <v>19-05480</v>
          </cell>
          <cell r="B5481" t="str">
            <v>H. MANCHA</v>
          </cell>
          <cell r="C5481" t="str">
            <v>A</v>
          </cell>
          <cell r="D5481" t="str">
            <v>NO</v>
          </cell>
          <cell r="E5481" t="str">
            <v>PRINCIPALES ERRORES DE LOS EMPRENDEDORES</v>
          </cell>
          <cell r="F5481" t="str">
            <v>LIBRO</v>
          </cell>
          <cell r="H5481" t="str">
            <v>H. MANCHA</v>
          </cell>
          <cell r="I5481">
            <v>14.363</v>
          </cell>
        </row>
        <row r="5482">
          <cell r="A5482" t="str">
            <v>19-05481</v>
          </cell>
          <cell r="B5482" t="str">
            <v>H. MANCHA</v>
          </cell>
          <cell r="C5482" t="str">
            <v>A</v>
          </cell>
          <cell r="D5482" t="str">
            <v>NO</v>
          </cell>
          <cell r="E5482" t="str">
            <v>LA OTRA MIRADA DE LOS NEGOCIOS</v>
          </cell>
          <cell r="F5482" t="str">
            <v>LIBRO</v>
          </cell>
          <cell r="H5482" t="str">
            <v>H. MANCHA</v>
          </cell>
          <cell r="I5482">
            <v>4.2850000000000001</v>
          </cell>
        </row>
        <row r="5483">
          <cell r="A5483" t="str">
            <v>19-05482</v>
          </cell>
          <cell r="B5483" t="str">
            <v>H. MANCHA</v>
          </cell>
          <cell r="C5483" t="str">
            <v>A</v>
          </cell>
          <cell r="D5483" t="str">
            <v>NO</v>
          </cell>
          <cell r="E5483" t="str">
            <v>HOW TO THINK ABOUT EXERCISE</v>
          </cell>
          <cell r="F5483" t="str">
            <v>LIBRO</v>
          </cell>
          <cell r="H5483" t="str">
            <v>H. MANCHA</v>
          </cell>
          <cell r="I5483">
            <v>0</v>
          </cell>
        </row>
        <row r="5484">
          <cell r="A5484" t="str">
            <v>19-05483</v>
          </cell>
          <cell r="B5484" t="str">
            <v>H. MANCHA</v>
          </cell>
          <cell r="C5484" t="str">
            <v>A</v>
          </cell>
          <cell r="D5484" t="str">
            <v>SI</v>
          </cell>
          <cell r="E5484" t="str">
            <v>MAGNETIC GAME TIN - FINDING DORY</v>
          </cell>
          <cell r="F5484" t="str">
            <v>LIBRO</v>
          </cell>
          <cell r="G5484" t="str">
            <v>TOY-053101-CAT</v>
          </cell>
          <cell r="H5484" t="str">
            <v>SEVA</v>
          </cell>
          <cell r="I5484">
            <v>5.3</v>
          </cell>
        </row>
        <row r="5485">
          <cell r="A5485" t="str">
            <v>19-05484</v>
          </cell>
          <cell r="B5485" t="str">
            <v>SNI</v>
          </cell>
          <cell r="C5485" t="str">
            <v>A</v>
          </cell>
          <cell r="D5485" t="str">
            <v>NO</v>
          </cell>
          <cell r="E5485" t="str">
            <v>FOIL PLAY PACKS TITLE 1 - FINDING DORY</v>
          </cell>
          <cell r="F5485" t="str">
            <v>LIBRO</v>
          </cell>
          <cell r="G5485" t="str">
            <v>TOY-307823-CAT</v>
          </cell>
          <cell r="H5485" t="str">
            <v>SEVA</v>
          </cell>
          <cell r="I5485">
            <v>2</v>
          </cell>
        </row>
        <row r="5486">
          <cell r="A5486" t="str">
            <v>19-05485</v>
          </cell>
          <cell r="B5486" t="str">
            <v>SNI</v>
          </cell>
          <cell r="C5486" t="str">
            <v>A</v>
          </cell>
          <cell r="D5486" t="str">
            <v>NO</v>
          </cell>
          <cell r="E5486" t="str">
            <v>FOIL PLAY PACKS - THE EMOJI MOVIE</v>
          </cell>
          <cell r="F5486" t="str">
            <v>LIBRO</v>
          </cell>
          <cell r="G5486" t="str">
            <v>TOY-409374-CAT</v>
          </cell>
          <cell r="H5486" t="str">
            <v>SEVA</v>
          </cell>
          <cell r="I5486">
            <v>2</v>
          </cell>
        </row>
        <row r="5487">
          <cell r="A5487" t="str">
            <v>19-05486</v>
          </cell>
          <cell r="B5487" t="str">
            <v>SNI</v>
          </cell>
          <cell r="C5487" t="str">
            <v>A</v>
          </cell>
          <cell r="D5487" t="str">
            <v>NO</v>
          </cell>
          <cell r="E5487" t="str">
            <v>FOIL PLAY PACKS - SPIDERMAN</v>
          </cell>
          <cell r="F5487" t="str">
            <v>LIBRO</v>
          </cell>
          <cell r="G5487" t="str">
            <v>TOY-431443-CAT</v>
          </cell>
          <cell r="H5487" t="str">
            <v>SEVA</v>
          </cell>
          <cell r="I5487">
            <v>0</v>
          </cell>
        </row>
        <row r="5488">
          <cell r="A5488" t="str">
            <v>19-05487</v>
          </cell>
          <cell r="B5488" t="str">
            <v>TDL</v>
          </cell>
          <cell r="C5488" t="str">
            <v>A</v>
          </cell>
          <cell r="D5488" t="str">
            <v>N/A</v>
          </cell>
          <cell r="E5488" t="str">
            <v>A70622 AG SPF 15 SHEER COVERAGE CONT. SPR 6OZ</v>
          </cell>
          <cell r="F5488" t="str">
            <v>SUN BLOCK</v>
          </cell>
          <cell r="G5488" t="str">
            <v>A70622</v>
          </cell>
          <cell r="H5488" t="str">
            <v>AUSTRALIAN GOLD</v>
          </cell>
          <cell r="I5488">
            <v>6.18</v>
          </cell>
        </row>
        <row r="5489">
          <cell r="A5489" t="str">
            <v>19-05488</v>
          </cell>
          <cell r="B5489" t="str">
            <v>TDL</v>
          </cell>
          <cell r="C5489" t="str">
            <v>A</v>
          </cell>
          <cell r="D5489" t="str">
            <v>N/A</v>
          </cell>
          <cell r="E5489" t="str">
            <v>A70621 AG SPF 30 SHEER COVERAGE CONT. SPR 6OZ</v>
          </cell>
          <cell r="F5489" t="str">
            <v>SUN BLOCK</v>
          </cell>
          <cell r="G5489" t="str">
            <v>A70621</v>
          </cell>
          <cell r="H5489" t="str">
            <v>AUSTRALIAN GOLD</v>
          </cell>
          <cell r="I5489">
            <v>6.18</v>
          </cell>
        </row>
        <row r="5490">
          <cell r="A5490" t="str">
            <v>19-05489</v>
          </cell>
          <cell r="B5490" t="str">
            <v>WORLD WISHES</v>
          </cell>
          <cell r="C5490" t="str">
            <v>A</v>
          </cell>
          <cell r="D5490" t="str">
            <v>NO</v>
          </cell>
          <cell r="E5490" t="str">
            <v>75-0151 CRAYOLA ON THE GO PRINCESS</v>
          </cell>
          <cell r="F5490" t="str">
            <v>SCHOOL SUPPLIES</v>
          </cell>
          <cell r="G5490" t="str">
            <v>75-0151</v>
          </cell>
          <cell r="H5490" t="str">
            <v>CRAYOLA</v>
          </cell>
          <cell r="I5490">
            <v>3.29</v>
          </cell>
        </row>
        <row r="5491">
          <cell r="A5491" t="str">
            <v>19-05490</v>
          </cell>
          <cell r="B5491" t="str">
            <v>WORLD WISHES</v>
          </cell>
          <cell r="C5491" t="str">
            <v>A</v>
          </cell>
          <cell r="D5491" t="str">
            <v>NO</v>
          </cell>
          <cell r="E5491" t="str">
            <v>58-5070 CRAYOLA 18 CT DOODLE SCENTS MARKERS</v>
          </cell>
          <cell r="F5491" t="str">
            <v>CRAYONES</v>
          </cell>
          <cell r="G5491" t="str">
            <v>58-5070</v>
          </cell>
          <cell r="H5491" t="str">
            <v>CRAYOLA</v>
          </cell>
          <cell r="I5491">
            <v>5.7</v>
          </cell>
        </row>
        <row r="5492">
          <cell r="A5492" t="str">
            <v>19-05491</v>
          </cell>
          <cell r="B5492" t="str">
            <v>WORLD WISHES</v>
          </cell>
          <cell r="C5492" t="str">
            <v>A</v>
          </cell>
          <cell r="D5492" t="str">
            <v>NO</v>
          </cell>
          <cell r="E5492" t="str">
            <v>04-6841 CRAYOLA COLOR PENCIL LOCKER</v>
          </cell>
          <cell r="F5492" t="str">
            <v>CRAYONES</v>
          </cell>
          <cell r="G5492">
            <v>1804756</v>
          </cell>
          <cell r="H5492" t="str">
            <v>CRAYOLA</v>
          </cell>
          <cell r="I5492">
            <v>6.9</v>
          </cell>
        </row>
        <row r="5493">
          <cell r="A5493" t="str">
            <v>19-05492</v>
          </cell>
          <cell r="B5493" t="str">
            <v>H. MANCHA</v>
          </cell>
          <cell r="C5493" t="str">
            <v>A</v>
          </cell>
          <cell r="D5493" t="str">
            <v>NO</v>
          </cell>
          <cell r="E5493" t="str">
            <v>ACTITUD MENTAL POSITIVA, LA</v>
          </cell>
          <cell r="F5493" t="str">
            <v>LIBRO</v>
          </cell>
          <cell r="H5493" t="str">
            <v>H. MANCHA</v>
          </cell>
          <cell r="I5493">
            <v>8.6039999999999992</v>
          </cell>
        </row>
        <row r="5494">
          <cell r="A5494" t="str">
            <v>19-05493</v>
          </cell>
          <cell r="B5494" t="str">
            <v>H. MANCHA</v>
          </cell>
          <cell r="C5494" t="str">
            <v>A</v>
          </cell>
          <cell r="D5494" t="str">
            <v>NO</v>
          </cell>
          <cell r="E5494" t="str">
            <v>ALQUIMISTA, EL</v>
          </cell>
          <cell r="F5494" t="str">
            <v>LIBRO</v>
          </cell>
          <cell r="H5494" t="str">
            <v>H. MANCHA</v>
          </cell>
          <cell r="I5494">
            <v>15.085000000000001</v>
          </cell>
        </row>
        <row r="5495">
          <cell r="A5495" t="str">
            <v>19-05494</v>
          </cell>
          <cell r="B5495" t="str">
            <v>H. MANCHA</v>
          </cell>
          <cell r="C5495" t="str">
            <v>A</v>
          </cell>
          <cell r="D5495" t="str">
            <v>NO</v>
          </cell>
          <cell r="E5495" t="str">
            <v>CAMBIO, EL DE LA AMBICION DEL EGO A UN</v>
          </cell>
          <cell r="F5495" t="str">
            <v>LIBRO</v>
          </cell>
          <cell r="H5495" t="str">
            <v>H. MANCHA</v>
          </cell>
          <cell r="I5495">
            <v>0</v>
          </cell>
        </row>
        <row r="5496">
          <cell r="A5496" t="str">
            <v>19-05495</v>
          </cell>
          <cell r="B5496" t="str">
            <v>H. MANCHA</v>
          </cell>
          <cell r="C5496" t="str">
            <v>A</v>
          </cell>
          <cell r="D5496" t="str">
            <v>NO</v>
          </cell>
          <cell r="E5496" t="str">
            <v>CONOCETE A TI MISMO TAL</v>
          </cell>
          <cell r="F5496" t="str">
            <v>LIBRO</v>
          </cell>
          <cell r="H5496" t="str">
            <v>H. MANCHA</v>
          </cell>
          <cell r="I5496">
            <v>8.6050000000000004</v>
          </cell>
        </row>
        <row r="5497">
          <cell r="A5497" t="str">
            <v>19-05496</v>
          </cell>
          <cell r="B5497" t="str">
            <v>H. MANCHA</v>
          </cell>
          <cell r="C5497" t="str">
            <v>A</v>
          </cell>
          <cell r="D5497" t="str">
            <v>NO</v>
          </cell>
          <cell r="E5497" t="str">
            <v>GREY</v>
          </cell>
          <cell r="F5497" t="str">
            <v>LIBRO</v>
          </cell>
          <cell r="H5497" t="str">
            <v>H. MANCHA</v>
          </cell>
          <cell r="I5497">
            <v>6.444</v>
          </cell>
        </row>
        <row r="5498">
          <cell r="A5498" t="str">
            <v>19-05497</v>
          </cell>
          <cell r="B5498" t="str">
            <v>H. MANCHA</v>
          </cell>
          <cell r="C5498" t="str">
            <v>A</v>
          </cell>
          <cell r="D5498" t="str">
            <v>NO</v>
          </cell>
          <cell r="E5498" t="str">
            <v>IT (ESO)</v>
          </cell>
          <cell r="F5498" t="str">
            <v>LIBRO</v>
          </cell>
          <cell r="H5498" t="str">
            <v>H. MANCHA</v>
          </cell>
          <cell r="I5498">
            <v>11.484</v>
          </cell>
        </row>
        <row r="5499">
          <cell r="A5499" t="str">
            <v>19-05498</v>
          </cell>
          <cell r="B5499" t="str">
            <v>H. MANCHA</v>
          </cell>
          <cell r="C5499" t="str">
            <v>A</v>
          </cell>
          <cell r="D5499" t="str">
            <v>NO</v>
          </cell>
          <cell r="E5499" t="str">
            <v>OSHO CORAJE: LA ALEGRIA</v>
          </cell>
          <cell r="F5499" t="str">
            <v>LIBRO</v>
          </cell>
          <cell r="H5499" t="str">
            <v>H. MANCHA</v>
          </cell>
          <cell r="I5499">
            <v>7.8840000000000003</v>
          </cell>
        </row>
        <row r="5500">
          <cell r="A5500" t="str">
            <v>19-05499</v>
          </cell>
          <cell r="B5500" t="str">
            <v>H. MANCHA</v>
          </cell>
          <cell r="C5500" t="str">
            <v>A</v>
          </cell>
          <cell r="D5500" t="str">
            <v>NO</v>
          </cell>
          <cell r="E5500" t="str">
            <v>OSHO LIBERTAD</v>
          </cell>
          <cell r="F5500" t="str">
            <v>LIBRO</v>
          </cell>
          <cell r="H5500" t="str">
            <v>H. MANCHA</v>
          </cell>
          <cell r="I5500">
            <v>7.8840000000000003</v>
          </cell>
        </row>
        <row r="5501">
          <cell r="A5501" t="str">
            <v>19-05500</v>
          </cell>
          <cell r="B5501" t="str">
            <v>H. MANCHA</v>
          </cell>
          <cell r="C5501" t="str">
            <v>A</v>
          </cell>
          <cell r="D5501" t="str">
            <v>NO</v>
          </cell>
          <cell r="E5501" t="str">
            <v>OSHO LIBRO DEL EGO EL</v>
          </cell>
          <cell r="F5501" t="str">
            <v>LIBRO</v>
          </cell>
          <cell r="H5501" t="str">
            <v>H. MANCHA</v>
          </cell>
          <cell r="I5501">
            <v>7.8849999999999998</v>
          </cell>
        </row>
        <row r="5502">
          <cell r="A5502" t="str">
            <v>19-05501</v>
          </cell>
          <cell r="B5502" t="str">
            <v>H. MANCHA</v>
          </cell>
          <cell r="C5502" t="str">
            <v>A</v>
          </cell>
          <cell r="D5502" t="str">
            <v>NO</v>
          </cell>
          <cell r="E5502" t="str">
            <v>OSHO TONICO PARA EL ALMA</v>
          </cell>
          <cell r="F5502" t="str">
            <v>LIBRO</v>
          </cell>
          <cell r="H5502" t="str">
            <v>H. MANCHA</v>
          </cell>
          <cell r="I5502">
            <v>7.165</v>
          </cell>
        </row>
        <row r="5503">
          <cell r="A5503" t="str">
            <v>19-05502</v>
          </cell>
          <cell r="B5503" t="str">
            <v>H. MANCHA</v>
          </cell>
          <cell r="C5503" t="str">
            <v>A</v>
          </cell>
          <cell r="D5503" t="str">
            <v>NO</v>
          </cell>
          <cell r="E5503" t="str">
            <v>ESTAFADOR, EL (RELANZAMIENTO)</v>
          </cell>
          <cell r="F5503" t="str">
            <v>LIBRO</v>
          </cell>
          <cell r="H5503" t="str">
            <v>H. MANCHA</v>
          </cell>
          <cell r="I5503">
            <v>8.6050000000000004</v>
          </cell>
        </row>
        <row r="5504">
          <cell r="A5504" t="str">
            <v>19-05503</v>
          </cell>
          <cell r="B5504" t="str">
            <v>H. MANCHA</v>
          </cell>
          <cell r="C5504" t="str">
            <v>A</v>
          </cell>
          <cell r="D5504" t="str">
            <v>NO</v>
          </cell>
          <cell r="E5504" t="str">
            <v>GREY/CANCELLED</v>
          </cell>
          <cell r="F5504" t="str">
            <v>LIBRO</v>
          </cell>
          <cell r="H5504" t="str">
            <v>H. MANCHA</v>
          </cell>
          <cell r="I5504">
            <v>0</v>
          </cell>
        </row>
        <row r="5505">
          <cell r="A5505" t="str">
            <v>19-05504</v>
          </cell>
          <cell r="B5505" t="str">
            <v>H. MANCHA</v>
          </cell>
          <cell r="C5505" t="str">
            <v>A</v>
          </cell>
          <cell r="D5505" t="str">
            <v>NO</v>
          </cell>
          <cell r="E5505" t="str">
            <v>HEREDERA, LA</v>
          </cell>
          <cell r="F5505" t="str">
            <v>LIBRO</v>
          </cell>
          <cell r="H5505" t="str">
            <v>H. MANCHA</v>
          </cell>
          <cell r="I5505">
            <v>7.8840000000000003</v>
          </cell>
        </row>
        <row r="5506">
          <cell r="A5506" t="str">
            <v>19-05505</v>
          </cell>
          <cell r="B5506" t="str">
            <v>H. MANCHA</v>
          </cell>
          <cell r="C5506" t="str">
            <v>A</v>
          </cell>
          <cell r="D5506" t="str">
            <v>NO</v>
          </cell>
          <cell r="E5506" t="str">
            <v>INSOMNIA</v>
          </cell>
          <cell r="F5506" t="str">
            <v>LIBRO</v>
          </cell>
          <cell r="H5506" t="str">
            <v>H. MANCHA</v>
          </cell>
          <cell r="I5506">
            <v>10.045</v>
          </cell>
        </row>
        <row r="5507">
          <cell r="A5507" t="str">
            <v>19-05506</v>
          </cell>
          <cell r="B5507" t="str">
            <v>H. MANCHA</v>
          </cell>
          <cell r="C5507" t="str">
            <v>A</v>
          </cell>
          <cell r="D5507" t="str">
            <v>NO</v>
          </cell>
          <cell r="E5507" t="str">
            <v>LUZ QUE NO PUEDES VER, LA</v>
          </cell>
          <cell r="F5507" t="str">
            <v>LIBRO</v>
          </cell>
          <cell r="H5507" t="str">
            <v>H. MANCHA</v>
          </cell>
          <cell r="I5507">
            <v>12.205</v>
          </cell>
        </row>
        <row r="5508">
          <cell r="A5508" t="str">
            <v>19-05507</v>
          </cell>
          <cell r="B5508" t="str">
            <v>H. MANCHA</v>
          </cell>
          <cell r="C5508" t="str">
            <v>A</v>
          </cell>
          <cell r="D5508" t="str">
            <v>NO</v>
          </cell>
          <cell r="E5508" t="str">
            <v>MUSICA DEL SILENCIO</v>
          </cell>
          <cell r="F5508" t="str">
            <v>LIBRO</v>
          </cell>
          <cell r="H5508" t="str">
            <v>H. MANCHA</v>
          </cell>
          <cell r="I5508">
            <v>7.8849999999999998</v>
          </cell>
        </row>
        <row r="5509">
          <cell r="A5509" t="str">
            <v>19-05508</v>
          </cell>
          <cell r="B5509" t="str">
            <v>H. MANCHA</v>
          </cell>
          <cell r="C5509" t="str">
            <v>A</v>
          </cell>
          <cell r="D5509" t="str">
            <v>NO</v>
          </cell>
          <cell r="E5509" t="str">
            <v>ORGIA PERPETUA, LA</v>
          </cell>
          <cell r="F5509" t="str">
            <v>LIBRO</v>
          </cell>
          <cell r="H5509" t="str">
            <v>H. MANCHA</v>
          </cell>
          <cell r="I5509">
            <v>0</v>
          </cell>
        </row>
        <row r="5510">
          <cell r="A5510" t="str">
            <v>19-05509</v>
          </cell>
          <cell r="B5510" t="str">
            <v>H. MANCHA</v>
          </cell>
          <cell r="C5510" t="str">
            <v>A</v>
          </cell>
          <cell r="D5510" t="str">
            <v>NO</v>
          </cell>
          <cell r="E5510" t="str">
            <v>OSHO: PELIGRO DE LA VERDAD EL</v>
          </cell>
          <cell r="F5510" t="str">
            <v>LIBRO</v>
          </cell>
          <cell r="H5510" t="str">
            <v>H. MANCHA</v>
          </cell>
          <cell r="I5510">
            <v>9.3249999999999993</v>
          </cell>
        </row>
        <row r="5511">
          <cell r="A5511" t="str">
            <v>19-05510</v>
          </cell>
          <cell r="B5511" t="str">
            <v>H. MANCHA</v>
          </cell>
          <cell r="C5511" t="str">
            <v>A</v>
          </cell>
          <cell r="D5511" t="str">
            <v>NO</v>
          </cell>
          <cell r="E5511" t="str">
            <v>PISTOLERO, EL  (CARTEL DE PELICULA)</v>
          </cell>
          <cell r="F5511" t="str">
            <v>LIBRO</v>
          </cell>
          <cell r="H5511" t="str">
            <v>H. MANCHA</v>
          </cell>
          <cell r="I5511">
            <v>8.6029999999999998</v>
          </cell>
        </row>
        <row r="5512">
          <cell r="A5512" t="str">
            <v>19-05511</v>
          </cell>
          <cell r="B5512" t="str">
            <v>H. MANCHA</v>
          </cell>
          <cell r="C5512" t="str">
            <v>A</v>
          </cell>
          <cell r="D5512" t="str">
            <v>SI</v>
          </cell>
          <cell r="E5512" t="str">
            <v>REINA DESCALZA, LA</v>
          </cell>
          <cell r="F5512" t="str">
            <v>LIBRO</v>
          </cell>
          <cell r="H5512" t="str">
            <v>H. MANCHA</v>
          </cell>
          <cell r="I5512">
            <v>10.044</v>
          </cell>
        </row>
        <row r="5513">
          <cell r="A5513" t="str">
            <v>19-05512</v>
          </cell>
          <cell r="B5513" t="str">
            <v>H. MANCHA</v>
          </cell>
          <cell r="C5513" t="str">
            <v>A</v>
          </cell>
          <cell r="D5513" t="str">
            <v>NO</v>
          </cell>
          <cell r="E5513" t="str">
            <v>SALUDOS Y BESOS (RELANZAMIENTO)</v>
          </cell>
          <cell r="F5513" t="str">
            <v>LIBRO</v>
          </cell>
          <cell r="H5513" t="str">
            <v>H. MANCHA</v>
          </cell>
          <cell r="I5513">
            <v>0</v>
          </cell>
        </row>
        <row r="5514">
          <cell r="A5514" t="str">
            <v>19-05513</v>
          </cell>
          <cell r="B5514" t="str">
            <v>H. MANCHA</v>
          </cell>
          <cell r="C5514" t="str">
            <v>A</v>
          </cell>
          <cell r="D5514" t="str">
            <v>SI</v>
          </cell>
          <cell r="E5514" t="str">
            <v>SOLUCION DEL AZUCAR EN LA SANGRE, LA</v>
          </cell>
          <cell r="F5514" t="str">
            <v>LIBRO</v>
          </cell>
          <cell r="H5514" t="str">
            <v>H. MANCHA</v>
          </cell>
          <cell r="I5514">
            <v>15.085000000000001</v>
          </cell>
        </row>
        <row r="5515">
          <cell r="A5515" t="str">
            <v>19-05514</v>
          </cell>
          <cell r="B5515" t="str">
            <v>H. MANCHA</v>
          </cell>
          <cell r="C5515" t="str">
            <v>A</v>
          </cell>
          <cell r="D5515" t="str">
            <v>NO</v>
          </cell>
          <cell r="E5515" t="str">
            <v>TEMOR DE UN HOMBRE SABIO</v>
          </cell>
          <cell r="F5515" t="str">
            <v>LIBRO</v>
          </cell>
          <cell r="H5515" t="str">
            <v>H. MANCHA</v>
          </cell>
          <cell r="I5515">
            <v>0</v>
          </cell>
        </row>
        <row r="5516">
          <cell r="A5516" t="str">
            <v>19-05515</v>
          </cell>
          <cell r="B5516" t="str">
            <v>H. MANCHA</v>
          </cell>
          <cell r="C5516" t="str">
            <v>A</v>
          </cell>
          <cell r="D5516" t="str">
            <v>NO</v>
          </cell>
          <cell r="E5516" t="str">
            <v>TEORIA DE TODO, LA</v>
          </cell>
          <cell r="F5516" t="str">
            <v>LIBRO</v>
          </cell>
          <cell r="H5516" t="str">
            <v>H. MANCHA</v>
          </cell>
          <cell r="I5516">
            <v>8.6050000000000004</v>
          </cell>
        </row>
        <row r="5517">
          <cell r="A5517" t="str">
            <v>19-05516</v>
          </cell>
          <cell r="B5517" t="str">
            <v>H. MANCHA</v>
          </cell>
          <cell r="C5517" t="str">
            <v>A</v>
          </cell>
          <cell r="D5517" t="str">
            <v>NO</v>
          </cell>
          <cell r="E5517" t="str">
            <v>TODO LO QUE PODRIAMOS HABER SIDO TU Y YO</v>
          </cell>
          <cell r="F5517" t="str">
            <v>LIBRO</v>
          </cell>
          <cell r="H5517" t="str">
            <v>H. MANCHA</v>
          </cell>
          <cell r="I5517">
            <v>7.165</v>
          </cell>
        </row>
        <row r="5518">
          <cell r="A5518" t="str">
            <v>19-05517</v>
          </cell>
          <cell r="B5518" t="str">
            <v>H. MANCHA</v>
          </cell>
          <cell r="C5518" t="str">
            <v>A</v>
          </cell>
          <cell r="D5518" t="str">
            <v>NO</v>
          </cell>
          <cell r="E5518" t="str">
            <v>VIAJE A LA FICCION, EL</v>
          </cell>
          <cell r="F5518" t="str">
            <v>LIBRO</v>
          </cell>
          <cell r="H5518" t="str">
            <v>H. MANCHA</v>
          </cell>
          <cell r="I5518">
            <v>0</v>
          </cell>
        </row>
        <row r="5519">
          <cell r="A5519" t="str">
            <v>19-05518</v>
          </cell>
          <cell r="B5519" t="str">
            <v>DIST. LEWIS</v>
          </cell>
          <cell r="C5519" t="str">
            <v>A</v>
          </cell>
          <cell r="D5519" t="str">
            <v>SI</v>
          </cell>
          <cell r="E5519" t="str">
            <v>SELECCIONES</v>
          </cell>
          <cell r="F5519" t="str">
            <v>MAGAZINE</v>
          </cell>
          <cell r="G5519">
            <v>13831</v>
          </cell>
          <cell r="H5519" t="str">
            <v>DIST. LEWIS</v>
          </cell>
          <cell r="I5519">
            <v>2.8</v>
          </cell>
        </row>
        <row r="5520">
          <cell r="A5520" t="str">
            <v>19-05519</v>
          </cell>
          <cell r="B5520" t="str">
            <v>RODEO SPORT</v>
          </cell>
          <cell r="C5520" t="str">
            <v>A</v>
          </cell>
          <cell r="D5520" t="str">
            <v>N/A</v>
          </cell>
          <cell r="E5520" t="str">
            <v>BODY GLOVE CHALECO NINO SALVAVIDAS PFD VISION HASTA 30 LBS.</v>
          </cell>
          <cell r="F5520" t="str">
            <v>FLOTADORES</v>
          </cell>
          <cell r="G5520" t="str">
            <v>13253I/YEL/BLU</v>
          </cell>
          <cell r="H5520" t="str">
            <v>BODY GLOVE</v>
          </cell>
          <cell r="I5520">
            <v>17.5</v>
          </cell>
        </row>
        <row r="5521">
          <cell r="A5521" t="str">
            <v>19-05520</v>
          </cell>
          <cell r="B5521" t="str">
            <v>RODEO SPORT</v>
          </cell>
          <cell r="C5521" t="str">
            <v>A</v>
          </cell>
          <cell r="D5521" t="str">
            <v>N/A</v>
          </cell>
          <cell r="E5521" t="str">
            <v>BODY GLOVE CHALECO NINO SALVAVIDAS PFD VISION HASTA 30 LBS.</v>
          </cell>
          <cell r="F5521" t="str">
            <v>FLOTADORES</v>
          </cell>
          <cell r="G5521" t="str">
            <v>13253I-NE/ORG</v>
          </cell>
          <cell r="H5521" t="str">
            <v>BODY GLOVE</v>
          </cell>
          <cell r="I5521">
            <v>17.5</v>
          </cell>
        </row>
        <row r="5522">
          <cell r="A5522" t="str">
            <v>19-05521</v>
          </cell>
          <cell r="B5522" t="str">
            <v>RODEO SPORT</v>
          </cell>
          <cell r="C5522" t="str">
            <v>A</v>
          </cell>
          <cell r="D5522" t="str">
            <v>N/A</v>
          </cell>
          <cell r="E5522" t="str">
            <v>BODY GLOVE CHALECO NINO SALVAVIDAS PFD VISION HASTA 30 LBS.</v>
          </cell>
          <cell r="F5522" t="str">
            <v>FLOTADORES</v>
          </cell>
          <cell r="G5522" t="str">
            <v>13253I-WHT/BLU/PN</v>
          </cell>
          <cell r="H5522" t="str">
            <v>BODY GLOVE</v>
          </cell>
          <cell r="I5522">
            <v>17.5</v>
          </cell>
        </row>
        <row r="5523">
          <cell r="A5523" t="str">
            <v>19-05522</v>
          </cell>
          <cell r="B5523" t="str">
            <v>RODEO SPORT</v>
          </cell>
          <cell r="C5523" t="str">
            <v>A</v>
          </cell>
          <cell r="D5523" t="str">
            <v>N/A</v>
          </cell>
          <cell r="E5523" t="str">
            <v>BODY GLOVE CHALECO NINO SALVAVIDAS PFD VISION 50-90 LBS.</v>
          </cell>
          <cell r="F5523" t="str">
            <v>FLOTADORES</v>
          </cell>
          <cell r="G5523" t="str">
            <v>13253Y/BLU</v>
          </cell>
          <cell r="H5523" t="str">
            <v>BODY GLOVE</v>
          </cell>
          <cell r="I5523">
            <v>0</v>
          </cell>
        </row>
        <row r="5524">
          <cell r="A5524" t="str">
            <v>19-05523</v>
          </cell>
          <cell r="B5524" t="str">
            <v>RODEO SPORT</v>
          </cell>
          <cell r="C5524" t="str">
            <v>A</v>
          </cell>
          <cell r="D5524" t="str">
            <v>N/A</v>
          </cell>
          <cell r="E5524" t="str">
            <v>BODY GLOVE CHALECO NINO SALVAVIDAS PFD VISION 50-90 LBS.</v>
          </cell>
          <cell r="F5524" t="str">
            <v>FLOTADORES</v>
          </cell>
          <cell r="G5524" t="str">
            <v>13253Y-NE/ORG</v>
          </cell>
          <cell r="H5524" t="str">
            <v>BODY GLOVE</v>
          </cell>
          <cell r="I5524">
            <v>17.5</v>
          </cell>
        </row>
        <row r="5525">
          <cell r="A5525" t="str">
            <v>19-05524</v>
          </cell>
          <cell r="B5525" t="str">
            <v>RODEO SPORT</v>
          </cell>
          <cell r="C5525" t="str">
            <v>A</v>
          </cell>
          <cell r="D5525" t="str">
            <v>N/A</v>
          </cell>
          <cell r="E5525" t="str">
            <v>BODY GLOVE CHALECO NINO SALVAVIDAS PFD VISION 50-90 LBS.</v>
          </cell>
          <cell r="F5525" t="str">
            <v>FLOTADORES</v>
          </cell>
          <cell r="G5525" t="str">
            <v>13253Y-WHT/BLU/PN</v>
          </cell>
          <cell r="H5525" t="str">
            <v>BODY GLOVE</v>
          </cell>
          <cell r="I5525">
            <v>0</v>
          </cell>
        </row>
        <row r="5526">
          <cell r="A5526" t="str">
            <v>19-05525</v>
          </cell>
          <cell r="B5526" t="str">
            <v>RODEO SPORT</v>
          </cell>
          <cell r="C5526" t="str">
            <v>A</v>
          </cell>
          <cell r="D5526" t="str">
            <v>N/A</v>
          </cell>
          <cell r="E5526" t="str">
            <v>BODY GLOVE SET MASCARA Y SNORKEL MALTA PINK</v>
          </cell>
          <cell r="F5526" t="str">
            <v>MASCARA DE BUCEO</v>
          </cell>
          <cell r="G5526" t="str">
            <v>15031CMB/PNK</v>
          </cell>
          <cell r="H5526" t="str">
            <v>BODY GLOVE</v>
          </cell>
          <cell r="I5526">
            <v>8.4</v>
          </cell>
        </row>
        <row r="5527">
          <cell r="A5527" t="str">
            <v>19-05526</v>
          </cell>
          <cell r="B5527" t="str">
            <v>RODEO SPORT</v>
          </cell>
          <cell r="C5527" t="str">
            <v>A</v>
          </cell>
          <cell r="D5527" t="str">
            <v>N/A</v>
          </cell>
          <cell r="E5527" t="str">
            <v>BODY GLOVE SET NINO MASCARA Y SNORKEL JR. HALO BLACK</v>
          </cell>
          <cell r="F5527" t="str">
            <v>MASCARA DE BUCEO</v>
          </cell>
          <cell r="G5527" t="str">
            <v>15034CMB/BLK</v>
          </cell>
          <cell r="H5527" t="str">
            <v>BODY GLOVE</v>
          </cell>
          <cell r="I5527">
            <v>8.4</v>
          </cell>
        </row>
        <row r="5528">
          <cell r="A5528" t="str">
            <v>19-05527</v>
          </cell>
          <cell r="B5528" t="str">
            <v>RODEO SPORT</v>
          </cell>
          <cell r="C5528" t="str">
            <v>A</v>
          </cell>
          <cell r="D5528" t="str">
            <v>N/A</v>
          </cell>
          <cell r="E5528" t="str">
            <v>BODY GLOVE SET NINO MASCARA Y SNORKEL JR. HALO L-PURPLE</v>
          </cell>
          <cell r="F5528" t="str">
            <v>MASCARA DE BUCEO</v>
          </cell>
          <cell r="G5528" t="str">
            <v>15034CMB/PUR</v>
          </cell>
          <cell r="H5528" t="str">
            <v>BODY GLOVE</v>
          </cell>
          <cell r="I5528">
            <v>8.4</v>
          </cell>
        </row>
        <row r="5529">
          <cell r="A5529" t="str">
            <v>19-05528</v>
          </cell>
          <cell r="B5529" t="str">
            <v>RODEO SPORT</v>
          </cell>
          <cell r="C5529" t="str">
            <v>A</v>
          </cell>
          <cell r="D5529" t="str">
            <v>N/A</v>
          </cell>
          <cell r="E5529" t="str">
            <v>BODY GLOVE MASCARA BUCEO PASSAGE C/ADAPT P/GOPRO ROYAL</v>
          </cell>
          <cell r="F5529" t="str">
            <v>MASCARA DE BUCEO</v>
          </cell>
          <cell r="G5529" t="str">
            <v>15037/ROY</v>
          </cell>
          <cell r="H5529" t="str">
            <v>BODY GLOVE</v>
          </cell>
          <cell r="I5529">
            <v>12.6</v>
          </cell>
        </row>
        <row r="5530">
          <cell r="A5530" t="str">
            <v>19-05529</v>
          </cell>
          <cell r="B5530" t="str">
            <v>RODEO SPORT</v>
          </cell>
          <cell r="C5530" t="str">
            <v>A</v>
          </cell>
          <cell r="D5530" t="str">
            <v>N/A</v>
          </cell>
          <cell r="E5530" t="str">
            <v>BODY GLOVE MASCARA BUCEO PASSAGE C/ADAPT P/GOPRO YELLOW</v>
          </cell>
          <cell r="F5530" t="str">
            <v>MASCARA DE BUCEO</v>
          </cell>
          <cell r="G5530" t="str">
            <v>15037/YEL</v>
          </cell>
          <cell r="H5530" t="str">
            <v>BODY GLOVE</v>
          </cell>
          <cell r="I5530">
            <v>12.6</v>
          </cell>
        </row>
        <row r="5531">
          <cell r="A5531" t="str">
            <v>19-05530</v>
          </cell>
          <cell r="B5531" t="str">
            <v>RODEO SPORT</v>
          </cell>
          <cell r="C5531" t="str">
            <v>A</v>
          </cell>
          <cell r="D5531" t="str">
            <v>N/A</v>
          </cell>
          <cell r="E5531" t="str">
            <v>BODY GLOVE GORRA PARA PLAYA NINA LICRA SPF50</v>
          </cell>
          <cell r="F5531" t="str">
            <v>GORRA</v>
          </cell>
          <cell r="G5531" t="str">
            <v>73-17-60</v>
          </cell>
          <cell r="H5531" t="str">
            <v>BODY GLOVE</v>
          </cell>
          <cell r="I5531">
            <v>7.18</v>
          </cell>
        </row>
        <row r="5532">
          <cell r="A5532" t="str">
            <v>19-05531</v>
          </cell>
          <cell r="B5532" t="str">
            <v>RODEO SPORT</v>
          </cell>
          <cell r="C5532" t="str">
            <v>A</v>
          </cell>
          <cell r="D5532" t="str">
            <v>N/A</v>
          </cell>
          <cell r="E5532" t="str">
            <v>BODY GLOVE GORRA PARA PLAYA NINO LICRA SPF50</v>
          </cell>
          <cell r="F5532" t="str">
            <v>GORRA</v>
          </cell>
          <cell r="G5532" t="str">
            <v>73-19-10</v>
          </cell>
          <cell r="H5532" t="str">
            <v>BODY GLOVE</v>
          </cell>
          <cell r="I5532">
            <v>7.18</v>
          </cell>
        </row>
        <row r="5533">
          <cell r="A5533" t="str">
            <v>19-05532</v>
          </cell>
          <cell r="B5533" t="str">
            <v>FOSTER</v>
          </cell>
          <cell r="C5533" t="str">
            <v>A</v>
          </cell>
          <cell r="D5533" t="str">
            <v>N/A</v>
          </cell>
          <cell r="E5533" t="str">
            <v>56649NP INTEX LION KING DELUXE ARM BANDS</v>
          </cell>
          <cell r="F5533" t="str">
            <v>FLOTADORES</v>
          </cell>
          <cell r="G5533" t="str">
            <v>56649NP</v>
          </cell>
          <cell r="H5533" t="str">
            <v>INTEX</v>
          </cell>
          <cell r="I5533">
            <v>1.08</v>
          </cell>
        </row>
        <row r="5534">
          <cell r="A5534" t="str">
            <v>19-05533</v>
          </cell>
          <cell r="B5534" t="str">
            <v>FOSTER</v>
          </cell>
          <cell r="C5534" t="str">
            <v>A</v>
          </cell>
          <cell r="D5534" t="str">
            <v>N/A</v>
          </cell>
          <cell r="E5534" t="str">
            <v>59640NP INTEX ARM BANDS 7 1/2''X7 1/2''</v>
          </cell>
          <cell r="F5534" t="str">
            <v>FLOTADORES</v>
          </cell>
          <cell r="G5534" t="str">
            <v>59640NP</v>
          </cell>
          <cell r="H5534" t="str">
            <v>INTEX</v>
          </cell>
          <cell r="I5534">
            <v>0.42</v>
          </cell>
        </row>
        <row r="5535">
          <cell r="A5535" t="str">
            <v>19-05534</v>
          </cell>
          <cell r="B5535" t="str">
            <v>FOSTER</v>
          </cell>
          <cell r="C5535" t="str">
            <v>A</v>
          </cell>
          <cell r="D5535" t="str">
            <v>N/A</v>
          </cell>
          <cell r="E5535" t="str">
            <v>56646NP INTEX LION KING DELUXE ARM BANDS</v>
          </cell>
          <cell r="F5535" t="str">
            <v>FLOTADORES</v>
          </cell>
          <cell r="G5535" t="str">
            <v>56646NP</v>
          </cell>
          <cell r="H5535" t="str">
            <v>INTEX</v>
          </cell>
          <cell r="I5535">
            <v>0.84</v>
          </cell>
        </row>
        <row r="5536">
          <cell r="A5536" t="str">
            <v>19-05535</v>
          </cell>
          <cell r="B5536" t="str">
            <v>FOSTER</v>
          </cell>
          <cell r="C5536" t="str">
            <v>A</v>
          </cell>
          <cell r="D5536" t="str">
            <v>N/A</v>
          </cell>
          <cell r="E5536" t="str">
            <v>96100EU INTEX 9"X6" ARMBANDS</v>
          </cell>
          <cell r="F5536" t="str">
            <v>FLOTADORES</v>
          </cell>
          <cell r="G5536" t="str">
            <v>96100EU</v>
          </cell>
          <cell r="H5536" t="str">
            <v>INTEX</v>
          </cell>
          <cell r="I5536">
            <v>1.04</v>
          </cell>
        </row>
        <row r="5537">
          <cell r="A5537" t="str">
            <v>19-05536</v>
          </cell>
          <cell r="B5537" t="str">
            <v>FOSTER</v>
          </cell>
          <cell r="C5537" t="str">
            <v>A</v>
          </cell>
          <cell r="D5537" t="str">
            <v>N/A</v>
          </cell>
          <cell r="E5537" t="str">
            <v>21049 INTEX CRYSTAL CLEAR GOGGLES</v>
          </cell>
          <cell r="F5537" t="str">
            <v>SUNGLASSES</v>
          </cell>
          <cell r="G5537">
            <v>21049</v>
          </cell>
          <cell r="H5537" t="str">
            <v>INTEX</v>
          </cell>
          <cell r="I5537">
            <v>1.53</v>
          </cell>
        </row>
        <row r="5538">
          <cell r="A5538" t="str">
            <v>19-05537</v>
          </cell>
          <cell r="B5538" t="str">
            <v>FOSTER</v>
          </cell>
          <cell r="C5538" t="str">
            <v>A</v>
          </cell>
          <cell r="D5538" t="str">
            <v>N/A</v>
          </cell>
          <cell r="E5538" t="str">
            <v>31022 INTEX 16"OCEAN LIFE</v>
          </cell>
          <cell r="F5538" t="str">
            <v>FLOTADORES</v>
          </cell>
          <cell r="G5538">
            <v>31022</v>
          </cell>
          <cell r="H5538" t="str">
            <v>INTEX</v>
          </cell>
          <cell r="I5538">
            <v>0.68</v>
          </cell>
        </row>
        <row r="5539">
          <cell r="A5539" t="str">
            <v>19-05538</v>
          </cell>
          <cell r="B5539" t="str">
            <v>FOSTER</v>
          </cell>
          <cell r="C5539" t="str">
            <v>A</v>
          </cell>
          <cell r="D5539" t="str">
            <v>N/A</v>
          </cell>
          <cell r="E5539" t="str">
            <v>32095EU INTEX 9"X6" LITTLE FISH ARMBANDS</v>
          </cell>
          <cell r="F5539" t="str">
            <v>FLOTADORES</v>
          </cell>
          <cell r="G5539" t="str">
            <v>32095EU</v>
          </cell>
          <cell r="H5539" t="str">
            <v>INTEX</v>
          </cell>
          <cell r="I5539">
            <v>1.2</v>
          </cell>
        </row>
        <row r="5540">
          <cell r="A5540" t="str">
            <v>19-05539</v>
          </cell>
          <cell r="B5540" t="str">
            <v>FOSTER</v>
          </cell>
          <cell r="C5540" t="str">
            <v>A</v>
          </cell>
          <cell r="D5540" t="str">
            <v>N/A</v>
          </cell>
          <cell r="E5540" t="str">
            <v>58045NP INTEX ANIMAL FRIENDS BEACH BALL 20''</v>
          </cell>
          <cell r="F5540" t="str">
            <v>BALON</v>
          </cell>
          <cell r="G5540" t="str">
            <v>58045NP</v>
          </cell>
          <cell r="H5540" t="str">
            <v>INTEX</v>
          </cell>
          <cell r="I5540">
            <v>0.93</v>
          </cell>
        </row>
        <row r="5541">
          <cell r="A5541" t="str">
            <v>19-05540</v>
          </cell>
          <cell r="B5541" t="str">
            <v>FOSTER</v>
          </cell>
          <cell r="C5541" t="str">
            <v>A</v>
          </cell>
          <cell r="D5541" t="str">
            <v>N/A</v>
          </cell>
          <cell r="E5541" t="str">
            <v>55962 INTEX MEDIUM SILICONE AQUA PRO SWIM SET</v>
          </cell>
          <cell r="F5541" t="str">
            <v>MASCARA DE BUCEO</v>
          </cell>
          <cell r="G5541">
            <v>55962</v>
          </cell>
          <cell r="H5541" t="str">
            <v>INTEX</v>
          </cell>
          <cell r="I5541">
            <v>9.19</v>
          </cell>
        </row>
        <row r="5542">
          <cell r="A5542" t="str">
            <v>19-05541</v>
          </cell>
          <cell r="B5542" t="str">
            <v>FOSTER</v>
          </cell>
          <cell r="C5542" t="str">
            <v>A</v>
          </cell>
          <cell r="D5542" t="str">
            <v>N/A</v>
          </cell>
          <cell r="E5542" t="str">
            <v>59168EU INTEX KICKBOARD POOL SCHOOL STEP 3</v>
          </cell>
          <cell r="F5542" t="str">
            <v>FLOTADORES</v>
          </cell>
          <cell r="G5542" t="str">
            <v>59168EU</v>
          </cell>
          <cell r="H5542" t="str">
            <v>INTEX</v>
          </cell>
          <cell r="I5542">
            <v>5.15</v>
          </cell>
        </row>
        <row r="5543">
          <cell r="A5543" t="str">
            <v>19-05542</v>
          </cell>
          <cell r="B5543" t="str">
            <v>FOSTER</v>
          </cell>
          <cell r="C5543" t="str">
            <v>A</v>
          </cell>
          <cell r="D5543" t="str">
            <v>N/A</v>
          </cell>
          <cell r="E5543" t="str">
            <v>55950 INTEX WAVE RIDER SWIM SET SNORKEL/MASK</v>
          </cell>
          <cell r="F5543" t="str">
            <v>MASCARA DE BUCEO</v>
          </cell>
          <cell r="G5543">
            <v>55950</v>
          </cell>
          <cell r="H5543" t="str">
            <v>INTEX</v>
          </cell>
          <cell r="I5543">
            <v>4</v>
          </cell>
        </row>
        <row r="5544">
          <cell r="A5544" t="str">
            <v>19-05543</v>
          </cell>
          <cell r="B5544" t="str">
            <v>FOSTER</v>
          </cell>
          <cell r="C5544" t="str">
            <v>A</v>
          </cell>
          <cell r="D5544" t="str">
            <v>N/A</v>
          </cell>
          <cell r="E5544" t="str">
            <v>56582NP INTEX LIL' STAR BABY FLOAT 47''X32''</v>
          </cell>
          <cell r="F5544" t="str">
            <v>FLOTADORES</v>
          </cell>
          <cell r="G5544" t="str">
            <v>56582NP</v>
          </cell>
          <cell r="H5544" t="str">
            <v>INTEX</v>
          </cell>
          <cell r="I5544">
            <v>3.31</v>
          </cell>
        </row>
        <row r="5545">
          <cell r="A5545" t="str">
            <v>19-05544</v>
          </cell>
          <cell r="B5545" t="str">
            <v>FOSTER</v>
          </cell>
          <cell r="C5545" t="str">
            <v>A</v>
          </cell>
          <cell r="D5545" t="str">
            <v>N/A</v>
          </cell>
          <cell r="E5545" t="str">
            <v>59642NP INTEX LARGE ARM BANDS 10''X6 1/2''</v>
          </cell>
          <cell r="F5545" t="str">
            <v>FLOTADORES</v>
          </cell>
          <cell r="G5545" t="str">
            <v>59642NP</v>
          </cell>
          <cell r="H5545" t="str">
            <v>INTEX</v>
          </cell>
          <cell r="I5545">
            <v>0.43</v>
          </cell>
        </row>
        <row r="5546">
          <cell r="A5546" t="str">
            <v>19-05545</v>
          </cell>
          <cell r="B5546" t="str">
            <v>FOSTER</v>
          </cell>
          <cell r="C5546" t="str">
            <v>A</v>
          </cell>
          <cell r="D5546" t="str">
            <v>N/A</v>
          </cell>
          <cell r="E5546" t="str">
            <v>59650NP INTEX DOLPHIN ARM BANDS 7 1/2''X7 1/2''</v>
          </cell>
          <cell r="F5546" t="str">
            <v>FLOTADORES</v>
          </cell>
          <cell r="G5546" t="str">
            <v>59650NP</v>
          </cell>
          <cell r="H5546" t="str">
            <v>INTEX</v>
          </cell>
          <cell r="I5546">
            <v>0.55000000000000004</v>
          </cell>
        </row>
        <row r="5547">
          <cell r="A5547" t="str">
            <v>19-05546</v>
          </cell>
          <cell r="B5547" t="str">
            <v>FOSTER</v>
          </cell>
          <cell r="C5547" t="str">
            <v>A</v>
          </cell>
          <cell r="D5547" t="str">
            <v>N/A</v>
          </cell>
          <cell r="E5547" t="str">
            <v>59661NP INTEX FUN FISH SWIM VEST</v>
          </cell>
          <cell r="F5547" t="str">
            <v>FLOTADORES</v>
          </cell>
          <cell r="G5547" t="str">
            <v>59661NP</v>
          </cell>
          <cell r="H5547" t="str">
            <v>INTEX</v>
          </cell>
          <cell r="I5547">
            <v>1.08</v>
          </cell>
        </row>
        <row r="5548">
          <cell r="A5548" t="str">
            <v>19-05547</v>
          </cell>
          <cell r="B5548" t="str">
            <v>FOSTER</v>
          </cell>
          <cell r="C5548" t="str">
            <v>A</v>
          </cell>
          <cell r="D5548" t="str">
            <v>N/A</v>
          </cell>
          <cell r="E5548" t="str">
            <v>58023 INTEX PRINTED BEACH BALLS</v>
          </cell>
          <cell r="F5548" t="str">
            <v>BALON</v>
          </cell>
          <cell r="G5548">
            <v>58023</v>
          </cell>
          <cell r="H5548" t="str">
            <v>INTEX</v>
          </cell>
          <cell r="I5548">
            <v>0.48</v>
          </cell>
        </row>
        <row r="5549">
          <cell r="A5549" t="str">
            <v>19-05548</v>
          </cell>
          <cell r="B5549" t="str">
            <v>FOSTER</v>
          </cell>
          <cell r="C5549" t="str">
            <v>A</v>
          </cell>
          <cell r="D5549" t="str">
            <v>N/A</v>
          </cell>
          <cell r="E5549" t="str">
            <v>58056NP INTEX WINNIE THE POOH BEACH BALL 24''</v>
          </cell>
          <cell r="F5549" t="str">
            <v>BALON</v>
          </cell>
          <cell r="G5549" t="str">
            <v>58056NP</v>
          </cell>
          <cell r="H5549" t="str">
            <v>INTEX</v>
          </cell>
          <cell r="I5549">
            <v>1.1599999999999999</v>
          </cell>
        </row>
        <row r="5550">
          <cell r="A5550" t="str">
            <v>19-05549</v>
          </cell>
          <cell r="B5550" t="str">
            <v>FOSTER</v>
          </cell>
          <cell r="C5550" t="str">
            <v>A</v>
          </cell>
          <cell r="D5550" t="str">
            <v>N/A</v>
          </cell>
          <cell r="E5550" t="str">
            <v>58224 INTEX 30'' WINNIE THE POOH TUBE</v>
          </cell>
          <cell r="F5550" t="str">
            <v>FLOTADORES</v>
          </cell>
          <cell r="G5550">
            <v>58224</v>
          </cell>
          <cell r="H5550" t="str">
            <v>INTEX</v>
          </cell>
          <cell r="I5550">
            <v>5.05</v>
          </cell>
        </row>
        <row r="5551">
          <cell r="A5551" t="str">
            <v>19-05550</v>
          </cell>
          <cell r="B5551" t="str">
            <v>FOSTER</v>
          </cell>
          <cell r="C5551" t="str">
            <v>A</v>
          </cell>
          <cell r="D5551" t="str">
            <v>N/A</v>
          </cell>
          <cell r="E5551" t="str">
            <v>32034 INTEX 20"X18" PRE SWIM VEST STEP B</v>
          </cell>
          <cell r="F5551" t="str">
            <v>FLOTADORES</v>
          </cell>
          <cell r="G5551">
            <v>32034</v>
          </cell>
          <cell r="H5551" t="str">
            <v>INTEX</v>
          </cell>
          <cell r="I5551">
            <v>2.17</v>
          </cell>
        </row>
        <row r="5552">
          <cell r="A5552" t="str">
            <v>19-05551</v>
          </cell>
          <cell r="B5552" t="str">
            <v>FOSTER</v>
          </cell>
          <cell r="C5552" t="str">
            <v>A</v>
          </cell>
          <cell r="D5552" t="str">
            <v>N/A</v>
          </cell>
          <cell r="E5552" t="str">
            <v>22037 INTEX NEUWAVE DIVE MASK</v>
          </cell>
          <cell r="F5552" t="str">
            <v>MASCARA DE BUCEO</v>
          </cell>
          <cell r="G5552">
            <v>22037</v>
          </cell>
          <cell r="H5552" t="str">
            <v>INTEX</v>
          </cell>
          <cell r="I5552">
            <v>1.44</v>
          </cell>
        </row>
        <row r="5553">
          <cell r="A5553" t="str">
            <v>19-05552</v>
          </cell>
          <cell r="B5553" t="str">
            <v>FOSTER</v>
          </cell>
          <cell r="C5553" t="str">
            <v>A</v>
          </cell>
          <cell r="D5553" t="str">
            <v>N/A</v>
          </cell>
          <cell r="E5553" t="str">
            <v>32050 INTEX 27" BABY SWIM SUPPORT STEP A</v>
          </cell>
          <cell r="F5553" t="str">
            <v>FLOTADORES</v>
          </cell>
          <cell r="G5553">
            <v>32050</v>
          </cell>
          <cell r="H5553" t="str">
            <v>INTEX</v>
          </cell>
          <cell r="I5553">
            <v>4.05</v>
          </cell>
        </row>
        <row r="5554">
          <cell r="A5554" t="str">
            <v>19-05553</v>
          </cell>
          <cell r="B5554" t="str">
            <v>FOSTER</v>
          </cell>
          <cell r="C5554" t="str">
            <v>A</v>
          </cell>
          <cell r="D5554" t="str">
            <v>N/A</v>
          </cell>
          <cell r="E5554" t="str">
            <v>58237 INTEX MICKEY SWING RING 20''</v>
          </cell>
          <cell r="F5554" t="str">
            <v>FLOTADORES</v>
          </cell>
          <cell r="G5554">
            <v>58237</v>
          </cell>
          <cell r="H5554" t="str">
            <v>INTEX</v>
          </cell>
          <cell r="I5554">
            <v>0.97</v>
          </cell>
        </row>
        <row r="5555">
          <cell r="A5555" t="str">
            <v>19-05555</v>
          </cell>
          <cell r="B5555" t="str">
            <v>FOSTER</v>
          </cell>
          <cell r="C5555" t="str">
            <v>A</v>
          </cell>
          <cell r="D5555" t="str">
            <v>N/A</v>
          </cell>
          <cell r="E5555" t="str">
            <v>96102 INTEX FLOTADOR INFLABLE 22"</v>
          </cell>
          <cell r="F5555" t="str">
            <v>FLOTADORES</v>
          </cell>
          <cell r="G5555">
            <v>96102</v>
          </cell>
          <cell r="H5555" t="str">
            <v>INTEX</v>
          </cell>
          <cell r="I5555">
            <v>0.99</v>
          </cell>
        </row>
        <row r="5556">
          <cell r="A5556" t="str">
            <v>19-05556</v>
          </cell>
          <cell r="B5556" t="str">
            <v>FOSTER</v>
          </cell>
          <cell r="C5556" t="str">
            <v>A</v>
          </cell>
          <cell r="D5556" t="str">
            <v>N/A</v>
          </cell>
          <cell r="E5556" t="str">
            <v>56651NP INTEX LIL' STAR ARM BANDS 9''X6''</v>
          </cell>
          <cell r="F5556" t="str">
            <v>FLOTADORES</v>
          </cell>
          <cell r="G5556" t="str">
            <v>56651NP</v>
          </cell>
          <cell r="H5556" t="str">
            <v>INTEX</v>
          </cell>
          <cell r="I5556">
            <v>0.86</v>
          </cell>
        </row>
        <row r="5557">
          <cell r="A5557" t="str">
            <v>19-05557</v>
          </cell>
          <cell r="B5557" t="str">
            <v>FOSTER</v>
          </cell>
          <cell r="C5557" t="str">
            <v>A</v>
          </cell>
          <cell r="D5557" t="str">
            <v>N/A</v>
          </cell>
          <cell r="E5557" t="str">
            <v>59574NP INTEX MY BABY FLOAT 26 1/2''</v>
          </cell>
          <cell r="F5557" t="str">
            <v>FLOTADORES</v>
          </cell>
          <cell r="G5557" t="str">
            <v>59574NP</v>
          </cell>
          <cell r="H5557" t="str">
            <v>INTEX</v>
          </cell>
          <cell r="I5557">
            <v>1.67</v>
          </cell>
        </row>
        <row r="5558">
          <cell r="A5558" t="str">
            <v>19-05558</v>
          </cell>
          <cell r="B5558" t="str">
            <v>FOSTER</v>
          </cell>
          <cell r="C5558" t="str">
            <v>A</v>
          </cell>
          <cell r="D5558" t="str">
            <v>N/A</v>
          </cell>
          <cell r="E5558" t="str">
            <v>24016 INTEX QUESTE SNORKEL SET</v>
          </cell>
          <cell r="F5558" t="str">
            <v>MASCARA DE BUCEO</v>
          </cell>
          <cell r="G5558">
            <v>24016</v>
          </cell>
          <cell r="H5558" t="str">
            <v>INTEX</v>
          </cell>
          <cell r="I5558">
            <v>4.12</v>
          </cell>
        </row>
        <row r="5559">
          <cell r="A5559" t="str">
            <v>19-05559</v>
          </cell>
          <cell r="B5559" t="str">
            <v>H. MANCHA</v>
          </cell>
          <cell r="C5559" t="str">
            <v>A</v>
          </cell>
          <cell r="D5559" t="str">
            <v>NO</v>
          </cell>
          <cell r="E5559" t="str">
            <v>A MIDSUMMER NIGHTS</v>
          </cell>
          <cell r="F5559" t="str">
            <v>LIBRO</v>
          </cell>
          <cell r="H5559" t="str">
            <v>H. MANCHA</v>
          </cell>
          <cell r="I5559">
            <v>0</v>
          </cell>
        </row>
        <row r="5560">
          <cell r="A5560" t="str">
            <v>19-05560</v>
          </cell>
          <cell r="B5560" t="str">
            <v>H. MANCHA</v>
          </cell>
          <cell r="C5560" t="str">
            <v>A</v>
          </cell>
          <cell r="D5560" t="str">
            <v>NO</v>
          </cell>
          <cell r="E5560" t="str">
            <v>A TALE OF TWO CITIES</v>
          </cell>
          <cell r="F5560" t="str">
            <v>LIBRO</v>
          </cell>
          <cell r="H5560" t="str">
            <v>H. MANCHA</v>
          </cell>
          <cell r="I5560">
            <v>0</v>
          </cell>
        </row>
        <row r="5561">
          <cell r="A5561" t="str">
            <v>19-05561</v>
          </cell>
          <cell r="B5561" t="str">
            <v>H. MANCHA</v>
          </cell>
          <cell r="C5561" t="str">
            <v>A</v>
          </cell>
          <cell r="D5561" t="str">
            <v>NO</v>
          </cell>
          <cell r="E5561" t="str">
            <v>AFTER EVER HAPPY</v>
          </cell>
          <cell r="F5561" t="str">
            <v>LIBRO</v>
          </cell>
          <cell r="H5561" t="str">
            <v>H. MANCHA</v>
          </cell>
          <cell r="I5561">
            <v>12.205</v>
          </cell>
        </row>
        <row r="5562">
          <cell r="A5562" t="str">
            <v>19-05562</v>
          </cell>
          <cell r="B5562" t="str">
            <v>H. MANCHA</v>
          </cell>
          <cell r="C5562" t="str">
            <v>A</v>
          </cell>
          <cell r="D5562" t="str">
            <v>NO</v>
          </cell>
          <cell r="E5562" t="str">
            <v>ALEX RIDER 2 POINT BLANC</v>
          </cell>
          <cell r="F5562" t="str">
            <v>LIBRO</v>
          </cell>
          <cell r="H5562" t="str">
            <v>H. MANCHA</v>
          </cell>
          <cell r="I5562">
            <v>8.6050000000000004</v>
          </cell>
        </row>
        <row r="5563">
          <cell r="A5563" t="str">
            <v>19-05563</v>
          </cell>
          <cell r="B5563" t="str">
            <v>H. MANCHA</v>
          </cell>
          <cell r="C5563" t="str">
            <v>A</v>
          </cell>
          <cell r="D5563" t="str">
            <v>NO</v>
          </cell>
          <cell r="E5563" t="str">
            <v>ALICE IN WONDERLAND</v>
          </cell>
          <cell r="F5563" t="str">
            <v>LIBRO</v>
          </cell>
          <cell r="H5563" t="str">
            <v>H. MANCHA</v>
          </cell>
          <cell r="I5563">
            <v>4.2850000000000001</v>
          </cell>
        </row>
        <row r="5564">
          <cell r="A5564" t="str">
            <v>19-05564</v>
          </cell>
          <cell r="B5564" t="str">
            <v>H. MANCHA</v>
          </cell>
          <cell r="C5564" t="str">
            <v>A</v>
          </cell>
          <cell r="D5564" t="str">
            <v>NO</v>
          </cell>
          <cell r="E5564" t="str">
            <v>ALICIA EN EL PAIS...3D</v>
          </cell>
          <cell r="F5564" t="str">
            <v>LIBRO</v>
          </cell>
          <cell r="H5564" t="str">
            <v>H. MANCHA</v>
          </cell>
          <cell r="I5564">
            <v>14.365</v>
          </cell>
        </row>
        <row r="5565">
          <cell r="A5565" t="str">
            <v>19-05565</v>
          </cell>
          <cell r="B5565" t="str">
            <v>H. MANCHA</v>
          </cell>
          <cell r="C5565" t="str">
            <v>A</v>
          </cell>
          <cell r="D5565" t="str">
            <v>NO</v>
          </cell>
          <cell r="E5565" t="str">
            <v>AMOR A CUATRO ESTACIONES</v>
          </cell>
          <cell r="F5565" t="str">
            <v>LIBRO</v>
          </cell>
          <cell r="H5565" t="str">
            <v>H. MANCHA</v>
          </cell>
          <cell r="I5565">
            <v>17.244</v>
          </cell>
        </row>
        <row r="5566">
          <cell r="A5566" t="str">
            <v>19-05566</v>
          </cell>
          <cell r="B5566" t="str">
            <v>H. MANCHA</v>
          </cell>
          <cell r="C5566" t="str">
            <v>A</v>
          </cell>
          <cell r="D5566" t="str">
            <v>NO</v>
          </cell>
          <cell r="E5566" t="str">
            <v>ANTONY AND CLEOPATRA</v>
          </cell>
          <cell r="F5566" t="str">
            <v>LIBRO</v>
          </cell>
          <cell r="H5566" t="str">
            <v>H. MANCHA</v>
          </cell>
          <cell r="I5566">
            <v>0</v>
          </cell>
        </row>
        <row r="5567">
          <cell r="A5567" t="str">
            <v>19-05567</v>
          </cell>
          <cell r="B5567" t="str">
            <v>H. MANCHA</v>
          </cell>
          <cell r="C5567" t="str">
            <v>A</v>
          </cell>
          <cell r="D5567" t="str">
            <v>NO</v>
          </cell>
          <cell r="E5567" t="str">
            <v>BEING ME</v>
          </cell>
          <cell r="F5567" t="str">
            <v>LIBRO</v>
          </cell>
          <cell r="H5567" t="str">
            <v>H. MANCHA</v>
          </cell>
          <cell r="I5567">
            <v>0</v>
          </cell>
        </row>
        <row r="5568">
          <cell r="A5568" t="str">
            <v>19-05568</v>
          </cell>
          <cell r="B5568" t="str">
            <v>H. MANCHA</v>
          </cell>
          <cell r="C5568" t="str">
            <v>A</v>
          </cell>
          <cell r="D5568" t="str">
            <v>NO</v>
          </cell>
          <cell r="E5568" t="str">
            <v>BORGES ESENCIAL</v>
          </cell>
          <cell r="F5568" t="str">
            <v>LIBRO</v>
          </cell>
          <cell r="H5568" t="str">
            <v>H. MANCHA</v>
          </cell>
          <cell r="I5568">
            <v>12.205</v>
          </cell>
        </row>
        <row r="5569">
          <cell r="A5569" t="str">
            <v>19-05569</v>
          </cell>
          <cell r="B5569" t="str">
            <v>H. MANCHA</v>
          </cell>
          <cell r="C5569" t="str">
            <v>A</v>
          </cell>
          <cell r="D5569" t="str">
            <v>NO</v>
          </cell>
          <cell r="E5569" t="str">
            <v>CABALLERO DE LA ARMADURA OXIDA</v>
          </cell>
          <cell r="F5569" t="str">
            <v>LIBRO</v>
          </cell>
          <cell r="H5569" t="str">
            <v>H. MANCHA</v>
          </cell>
          <cell r="I5569">
            <v>11.484</v>
          </cell>
        </row>
        <row r="5570">
          <cell r="A5570" t="str">
            <v>19-05570</v>
          </cell>
          <cell r="B5570" t="str">
            <v>H. MANCHA</v>
          </cell>
          <cell r="C5570" t="str">
            <v>A</v>
          </cell>
          <cell r="D5570" t="str">
            <v>NO</v>
          </cell>
          <cell r="E5570" t="str">
            <v>CALAMITY</v>
          </cell>
          <cell r="F5570" t="str">
            <v>LIBRO</v>
          </cell>
          <cell r="H5570" t="str">
            <v>H. MANCHA</v>
          </cell>
          <cell r="I5570">
            <v>12.925000000000001</v>
          </cell>
        </row>
        <row r="5571">
          <cell r="A5571" t="str">
            <v>19-05571</v>
          </cell>
          <cell r="B5571" t="str">
            <v>H. MANCHA</v>
          </cell>
          <cell r="C5571" t="str">
            <v>A</v>
          </cell>
          <cell r="D5571" t="str">
            <v>NO</v>
          </cell>
          <cell r="E5571" t="str">
            <v>CANCION HIELO 1 JUEGO DE TRONO</v>
          </cell>
          <cell r="F5571" t="str">
            <v>LIBRO</v>
          </cell>
          <cell r="H5571" t="str">
            <v>H. MANCHA</v>
          </cell>
          <cell r="I5571">
            <v>17.963999999999999</v>
          </cell>
        </row>
        <row r="5572">
          <cell r="A5572" t="str">
            <v>19-05572</v>
          </cell>
          <cell r="B5572" t="str">
            <v>H. MANCHA</v>
          </cell>
          <cell r="C5572" t="str">
            <v>A</v>
          </cell>
          <cell r="D5572" t="str">
            <v>NO</v>
          </cell>
          <cell r="E5572" t="str">
            <v>CARTAS DE AMOR A LOS MUERTOS</v>
          </cell>
          <cell r="F5572" t="str">
            <v>LIBRO</v>
          </cell>
          <cell r="H5572" t="str">
            <v>H. MANCHA</v>
          </cell>
          <cell r="I5572">
            <v>7.883</v>
          </cell>
        </row>
        <row r="5573">
          <cell r="A5573" t="str">
            <v>19-05573</v>
          </cell>
          <cell r="B5573" t="str">
            <v>H. MANCHA</v>
          </cell>
          <cell r="C5573" t="str">
            <v>A</v>
          </cell>
          <cell r="D5573" t="str">
            <v>NO</v>
          </cell>
          <cell r="E5573" t="str">
            <v>CASA NEGRA</v>
          </cell>
          <cell r="F5573" t="str">
            <v>LIBRO</v>
          </cell>
          <cell r="H5573" t="str">
            <v>H. MANCHA</v>
          </cell>
          <cell r="I5573">
            <v>10.045</v>
          </cell>
        </row>
        <row r="5574">
          <cell r="A5574" t="str">
            <v>19-05574</v>
          </cell>
          <cell r="B5574" t="str">
            <v>H. MANCHA</v>
          </cell>
          <cell r="C5574" t="str">
            <v>A</v>
          </cell>
          <cell r="D5574" t="str">
            <v>NO</v>
          </cell>
          <cell r="E5574" t="str">
            <v>CATARISMO ERASMO GARZA</v>
          </cell>
          <cell r="F5574" t="str">
            <v>LIBRO</v>
          </cell>
          <cell r="H5574" t="str">
            <v>H. MANCHA</v>
          </cell>
          <cell r="I5574">
            <v>7.165</v>
          </cell>
        </row>
        <row r="5575">
          <cell r="A5575" t="str">
            <v>19-05575</v>
          </cell>
          <cell r="B5575" t="str">
            <v>H. MANCHA</v>
          </cell>
          <cell r="C5575" t="str">
            <v>A</v>
          </cell>
          <cell r="D5575" t="str">
            <v>NO</v>
          </cell>
          <cell r="E5575" t="str">
            <v>CATEDRAL DEL MAR, LA</v>
          </cell>
          <cell r="F5575" t="str">
            <v>LIBRO</v>
          </cell>
          <cell r="H5575" t="str">
            <v>H. MANCHA</v>
          </cell>
          <cell r="I5575">
            <v>9.3249999999999993</v>
          </cell>
        </row>
        <row r="5576">
          <cell r="A5576" t="str">
            <v>19-05576</v>
          </cell>
          <cell r="B5576" t="str">
            <v>H. MANCHA</v>
          </cell>
          <cell r="C5576" t="str">
            <v>A</v>
          </cell>
          <cell r="D5576" t="str">
            <v>NO</v>
          </cell>
          <cell r="E5576" t="str">
            <v>CEREBRO DE PAN, LAS RECETAS</v>
          </cell>
          <cell r="F5576" t="str">
            <v>LIBRO</v>
          </cell>
          <cell r="H5576" t="str">
            <v>H. MANCHA</v>
          </cell>
          <cell r="I5576">
            <v>11.484999999999999</v>
          </cell>
        </row>
        <row r="5577">
          <cell r="A5577" t="str">
            <v>19-05577</v>
          </cell>
          <cell r="B5577" t="str">
            <v>H. MANCHA</v>
          </cell>
          <cell r="C5577" t="str">
            <v>A</v>
          </cell>
          <cell r="D5577" t="str">
            <v>NO</v>
          </cell>
          <cell r="E5577" t="str">
            <v>CHICKEN SOUP FOR THE SOUL</v>
          </cell>
          <cell r="F5577" t="str">
            <v>LIBRO</v>
          </cell>
          <cell r="H5577" t="str">
            <v>H. MANCHA</v>
          </cell>
          <cell r="I5577">
            <v>0</v>
          </cell>
        </row>
        <row r="5578">
          <cell r="A5578" t="str">
            <v>19-05578</v>
          </cell>
          <cell r="B5578" t="str">
            <v>H. MANCHA</v>
          </cell>
          <cell r="C5578" t="str">
            <v>A</v>
          </cell>
          <cell r="D5578" t="str">
            <v>NO</v>
          </cell>
          <cell r="E5578" t="str">
            <v>CINCUENTA SOMBRAS 2 MAS</v>
          </cell>
          <cell r="F5578" t="str">
            <v>LIBRO</v>
          </cell>
          <cell r="H5578" t="str">
            <v>H. MANCHA</v>
          </cell>
          <cell r="I5578">
            <v>8.6</v>
          </cell>
        </row>
        <row r="5579">
          <cell r="A5579" t="str">
            <v>19-05579</v>
          </cell>
          <cell r="B5579" t="str">
            <v>H. MANCHA</v>
          </cell>
          <cell r="C5579" t="str">
            <v>A</v>
          </cell>
          <cell r="D5579" t="str">
            <v>SI</v>
          </cell>
          <cell r="E5579" t="str">
            <v>CIUDAD DE LAS BESTIAS LA</v>
          </cell>
          <cell r="F5579" t="str">
            <v>LIBRO</v>
          </cell>
          <cell r="H5579" t="str">
            <v>H. MANCHA</v>
          </cell>
          <cell r="I5579">
            <v>8.6050000000000004</v>
          </cell>
        </row>
        <row r="5580">
          <cell r="A5580" t="str">
            <v>19-05580</v>
          </cell>
          <cell r="B5580" t="str">
            <v>H. MANCHA</v>
          </cell>
          <cell r="C5580" t="str">
            <v>A</v>
          </cell>
          <cell r="D5580" t="str">
            <v>NO</v>
          </cell>
          <cell r="E5580" t="str">
            <v>CLIENTE EL</v>
          </cell>
          <cell r="F5580" t="str">
            <v>LIBRO</v>
          </cell>
          <cell r="H5580" t="str">
            <v>H. MANCHA</v>
          </cell>
          <cell r="I5580">
            <v>9.3230000000000004</v>
          </cell>
        </row>
        <row r="5581">
          <cell r="A5581" t="str">
            <v>19-05581</v>
          </cell>
          <cell r="B5581" t="str">
            <v>H. MANCHA</v>
          </cell>
          <cell r="C5581" t="str">
            <v>A</v>
          </cell>
          <cell r="D5581" t="str">
            <v>NO</v>
          </cell>
          <cell r="E5581" t="str">
            <v>CORONA, LA</v>
          </cell>
          <cell r="F5581" t="str">
            <v>LIBRO</v>
          </cell>
          <cell r="H5581" t="str">
            <v>H. MANCHA</v>
          </cell>
          <cell r="I5581">
            <v>7.8840000000000003</v>
          </cell>
        </row>
        <row r="5582">
          <cell r="A5582" t="str">
            <v>19-05582</v>
          </cell>
          <cell r="B5582" t="str">
            <v>H. MANCHA</v>
          </cell>
          <cell r="C5582" t="str">
            <v>A</v>
          </cell>
          <cell r="D5582" t="str">
            <v>NO</v>
          </cell>
          <cell r="E5582" t="str">
            <v>CUERPOS EXTRANO</v>
          </cell>
          <cell r="F5582" t="str">
            <v>LIBRO</v>
          </cell>
          <cell r="H5582" t="str">
            <v>H. MANCHA</v>
          </cell>
          <cell r="I5582">
            <v>7.165</v>
          </cell>
        </row>
        <row r="5583">
          <cell r="A5583" t="str">
            <v>19-05583</v>
          </cell>
          <cell r="B5583" t="str">
            <v>H. MANCHA</v>
          </cell>
          <cell r="C5583" t="str">
            <v>A</v>
          </cell>
          <cell r="D5583" t="str">
            <v>NO</v>
          </cell>
          <cell r="E5583" t="str">
            <v>CUERPOS SECRETOS</v>
          </cell>
          <cell r="F5583" t="str">
            <v>LIBRO</v>
          </cell>
          <cell r="H5583" t="str">
            <v>H. MANCHA</v>
          </cell>
          <cell r="I5583">
            <v>12.923</v>
          </cell>
        </row>
        <row r="5584">
          <cell r="A5584" t="str">
            <v>19-05584</v>
          </cell>
          <cell r="B5584" t="str">
            <v>H. MANCHA</v>
          </cell>
          <cell r="C5584" t="str">
            <v>A</v>
          </cell>
          <cell r="D5584" t="str">
            <v>SI</v>
          </cell>
          <cell r="E5584" t="str">
            <v>DARK TOWER 2 DRAWING OF THE TH</v>
          </cell>
          <cell r="F5584" t="str">
            <v>LIBRO</v>
          </cell>
          <cell r="H5584" t="str">
            <v>H. MANCHA</v>
          </cell>
          <cell r="I5584">
            <v>8.6050000000000004</v>
          </cell>
        </row>
        <row r="5585">
          <cell r="A5585" t="str">
            <v>19-05585</v>
          </cell>
          <cell r="B5585" t="str">
            <v>H. MANCHA</v>
          </cell>
          <cell r="C5585" t="str">
            <v>A</v>
          </cell>
          <cell r="D5585" t="str">
            <v>NO</v>
          </cell>
          <cell r="E5585" t="str">
            <v>DARK TOWER 3 THE WASTE LANDS</v>
          </cell>
          <cell r="F5585" t="str">
            <v>LIBRO</v>
          </cell>
          <cell r="H5585" t="str">
            <v>H. MANCHA</v>
          </cell>
          <cell r="I5585">
            <v>8.6050000000000004</v>
          </cell>
        </row>
        <row r="5586">
          <cell r="A5586" t="str">
            <v>19-05586</v>
          </cell>
          <cell r="B5586" t="str">
            <v>H. MANCHA</v>
          </cell>
          <cell r="C5586" t="str">
            <v>A</v>
          </cell>
          <cell r="D5586" t="str">
            <v>NO</v>
          </cell>
          <cell r="E5586" t="str">
            <v>DEAR JOHN</v>
          </cell>
          <cell r="F5586" t="str">
            <v>LIBRO</v>
          </cell>
          <cell r="H5586" t="str">
            <v>H. MANCHA</v>
          </cell>
          <cell r="I5586">
            <v>7.1630000000000003</v>
          </cell>
        </row>
        <row r="5587">
          <cell r="A5587" t="str">
            <v>19-05587</v>
          </cell>
          <cell r="B5587" t="str">
            <v>H. MANCHA</v>
          </cell>
          <cell r="C5587" t="str">
            <v>A</v>
          </cell>
          <cell r="D5587" t="str">
            <v>NO</v>
          </cell>
          <cell r="E5587" t="str">
            <v>DESEO CONCEDIDO</v>
          </cell>
          <cell r="F5587" t="str">
            <v>LIBRO</v>
          </cell>
          <cell r="H5587" t="str">
            <v>H. MANCHA</v>
          </cell>
          <cell r="I5587">
            <v>13.643000000000001</v>
          </cell>
        </row>
        <row r="5588">
          <cell r="A5588" t="str">
            <v>19-05588</v>
          </cell>
          <cell r="B5588" t="str">
            <v>H. MANCHA</v>
          </cell>
          <cell r="C5588" t="str">
            <v>A</v>
          </cell>
          <cell r="D5588" t="str">
            <v>NO</v>
          </cell>
          <cell r="E5588" t="str">
            <v>DETECTIVES SALVAJES, LOS</v>
          </cell>
          <cell r="F5588" t="str">
            <v>LIBRO</v>
          </cell>
          <cell r="H5588" t="str">
            <v>H. MANCHA</v>
          </cell>
          <cell r="I5588">
            <v>11.484999999999999</v>
          </cell>
        </row>
        <row r="5589">
          <cell r="A5589" t="str">
            <v>19-05589</v>
          </cell>
          <cell r="B5589" t="str">
            <v>H. MANCHA</v>
          </cell>
          <cell r="C5589" t="str">
            <v>A</v>
          </cell>
          <cell r="D5589" t="str">
            <v>NO</v>
          </cell>
          <cell r="E5589" t="str">
            <v>DETOX EMOCIONAL</v>
          </cell>
          <cell r="F5589" t="str">
            <v>LIBRO</v>
          </cell>
          <cell r="H5589" t="str">
            <v>H. MANCHA</v>
          </cell>
          <cell r="I5589">
            <v>8.6039999999999992</v>
          </cell>
        </row>
        <row r="5590">
          <cell r="A5590" t="str">
            <v>19-05590</v>
          </cell>
          <cell r="B5590" t="str">
            <v>H. MANCHA</v>
          </cell>
          <cell r="C5590" t="str">
            <v>A</v>
          </cell>
          <cell r="D5590" t="str">
            <v>NO</v>
          </cell>
          <cell r="E5590" t="str">
            <v>DISPARA YO YA ESTOY MUER</v>
          </cell>
          <cell r="F5590" t="str">
            <v>LIBRO</v>
          </cell>
          <cell r="H5590" t="str">
            <v>H. MANCHA</v>
          </cell>
          <cell r="I5590">
            <v>10.044</v>
          </cell>
        </row>
        <row r="5591">
          <cell r="A5591" t="str">
            <v>19-05591</v>
          </cell>
          <cell r="B5591" t="str">
            <v>H. MANCHA</v>
          </cell>
          <cell r="C5591" t="str">
            <v>A</v>
          </cell>
          <cell r="D5591" t="str">
            <v>NO</v>
          </cell>
          <cell r="E5591" t="str">
            <v>DOBLE JUEGO</v>
          </cell>
          <cell r="F5591" t="str">
            <v>LIBRO</v>
          </cell>
          <cell r="H5591" t="str">
            <v>H. MANCHA</v>
          </cell>
          <cell r="I5591">
            <v>8.6029999999999998</v>
          </cell>
        </row>
        <row r="5592">
          <cell r="A5592" t="str">
            <v>19-05592</v>
          </cell>
          <cell r="B5592" t="str">
            <v>H. MANCHA</v>
          </cell>
          <cell r="C5592" t="str">
            <v>A</v>
          </cell>
          <cell r="D5592" t="str">
            <v>NO</v>
          </cell>
          <cell r="E5592" t="str">
            <v>DOCTOR SUENO</v>
          </cell>
          <cell r="F5592" t="str">
            <v>LIBRO</v>
          </cell>
          <cell r="H5592" t="str">
            <v>H. MANCHA</v>
          </cell>
          <cell r="I5592">
            <v>9.3249999999999993</v>
          </cell>
        </row>
        <row r="5593">
          <cell r="A5593" t="str">
            <v>19-05593</v>
          </cell>
          <cell r="B5593" t="str">
            <v>H. MANCHA</v>
          </cell>
          <cell r="C5593" t="str">
            <v>A</v>
          </cell>
          <cell r="D5593" t="str">
            <v>NO</v>
          </cell>
          <cell r="E5593" t="str">
            <v>DUERMETE, NINO (ED. AMPLIADA)</v>
          </cell>
          <cell r="F5593" t="str">
            <v>LIBRO</v>
          </cell>
          <cell r="H5593" t="str">
            <v>H. MANCHA</v>
          </cell>
          <cell r="I5593">
            <v>9.3249999999999993</v>
          </cell>
        </row>
        <row r="5594">
          <cell r="A5594" t="str">
            <v>19-05594</v>
          </cell>
          <cell r="B5594" t="str">
            <v>H. MANCHA</v>
          </cell>
          <cell r="C5594" t="str">
            <v>A</v>
          </cell>
          <cell r="D5594" t="str">
            <v>NO</v>
          </cell>
          <cell r="E5594" t="str">
            <v>DYNASTIES</v>
          </cell>
          <cell r="F5594" t="str">
            <v>LIBRO</v>
          </cell>
          <cell r="H5594" t="str">
            <v>H. MANCHA</v>
          </cell>
          <cell r="I5594">
            <v>13.32</v>
          </cell>
        </row>
        <row r="5595">
          <cell r="A5595" t="str">
            <v>19-05595</v>
          </cell>
          <cell r="B5595" t="str">
            <v>H. MANCHA</v>
          </cell>
          <cell r="C5595" t="str">
            <v>A</v>
          </cell>
          <cell r="D5595" t="str">
            <v>NO</v>
          </cell>
          <cell r="E5595" t="str">
            <v>EAT  YOUR GREENS</v>
          </cell>
          <cell r="F5595" t="str">
            <v>LIBRO</v>
          </cell>
          <cell r="H5595" t="str">
            <v>H. MANCHA</v>
          </cell>
          <cell r="I5595">
            <v>12.205</v>
          </cell>
        </row>
        <row r="5596">
          <cell r="A5596" t="str">
            <v>19-05596</v>
          </cell>
          <cell r="B5596" t="str">
            <v>H. MANCHA</v>
          </cell>
          <cell r="C5596" t="str">
            <v>A</v>
          </cell>
          <cell r="D5596" t="str">
            <v>NO</v>
          </cell>
          <cell r="E5596" t="str">
            <v>EINSTEIN, SU VIDA Y UNIV</v>
          </cell>
          <cell r="F5596" t="str">
            <v>LIBRO</v>
          </cell>
          <cell r="H5596" t="str">
            <v>H. MANCHA</v>
          </cell>
          <cell r="I5596">
            <v>10.765000000000001</v>
          </cell>
        </row>
        <row r="5597">
          <cell r="A5597" t="str">
            <v>19-05597</v>
          </cell>
          <cell r="B5597" t="str">
            <v>H. MANCHA</v>
          </cell>
          <cell r="C5597" t="str">
            <v>A</v>
          </cell>
          <cell r="D5597" t="str">
            <v>NO</v>
          </cell>
          <cell r="E5597" t="str">
            <v>EMOCION DE LAS COSAS</v>
          </cell>
          <cell r="F5597" t="str">
            <v>LIBRO</v>
          </cell>
          <cell r="H5597" t="str">
            <v>H. MANCHA</v>
          </cell>
          <cell r="I5597">
            <v>7.1630000000000003</v>
          </cell>
        </row>
        <row r="5598">
          <cell r="A5598" t="str">
            <v>19-05598</v>
          </cell>
          <cell r="B5598" t="str">
            <v>H. MANCHA</v>
          </cell>
          <cell r="C5598" t="str">
            <v>A</v>
          </cell>
          <cell r="D5598" t="str">
            <v>NO</v>
          </cell>
          <cell r="E5598" t="str">
            <v>ENERGY BITES</v>
          </cell>
          <cell r="F5598" t="str">
            <v>LIBRO</v>
          </cell>
          <cell r="H5598" t="str">
            <v>H. MANCHA</v>
          </cell>
          <cell r="I5598">
            <v>0</v>
          </cell>
        </row>
        <row r="5599">
          <cell r="A5599" t="str">
            <v>19-05599</v>
          </cell>
          <cell r="B5599" t="str">
            <v>H. MANCHA</v>
          </cell>
          <cell r="C5599" t="str">
            <v>A</v>
          </cell>
          <cell r="D5599" t="str">
            <v>NO</v>
          </cell>
          <cell r="E5599" t="str">
            <v>ESCUCHA LA CANCION DEL VIENTO</v>
          </cell>
          <cell r="F5599" t="str">
            <v>LIBRO</v>
          </cell>
          <cell r="H5599" t="str">
            <v>H. MANCHA</v>
          </cell>
          <cell r="I5599">
            <v>8.6050000000000004</v>
          </cell>
        </row>
        <row r="5600">
          <cell r="A5600" t="str">
            <v>19-05600</v>
          </cell>
          <cell r="B5600" t="str">
            <v>H. MANCHA</v>
          </cell>
          <cell r="C5600" t="str">
            <v>A</v>
          </cell>
          <cell r="D5600" t="str">
            <v>NO</v>
          </cell>
          <cell r="E5600" t="str">
            <v>ESTAMBUL</v>
          </cell>
          <cell r="F5600" t="str">
            <v>LIBRO</v>
          </cell>
          <cell r="H5600" t="str">
            <v>H. MANCHA</v>
          </cell>
          <cell r="I5600">
            <v>10.045</v>
          </cell>
        </row>
        <row r="5601">
          <cell r="A5601" t="str">
            <v>19-05601</v>
          </cell>
          <cell r="B5601" t="str">
            <v>H. MANCHA</v>
          </cell>
          <cell r="C5601" t="str">
            <v>A</v>
          </cell>
          <cell r="D5601" t="str">
            <v>NO</v>
          </cell>
          <cell r="E5601" t="str">
            <v>EXPEDICION, LA</v>
          </cell>
          <cell r="F5601" t="str">
            <v>LIBRO</v>
          </cell>
          <cell r="H5601" t="str">
            <v>H. MANCHA</v>
          </cell>
          <cell r="I5601">
            <v>8.6050000000000004</v>
          </cell>
        </row>
        <row r="5602">
          <cell r="A5602" t="str">
            <v>19-05602</v>
          </cell>
          <cell r="B5602" t="str">
            <v>H. MANCHA</v>
          </cell>
          <cell r="C5602" t="str">
            <v>A</v>
          </cell>
          <cell r="D5602" t="str">
            <v>NO</v>
          </cell>
          <cell r="E5602" t="str">
            <v>FLIRT PORTRAIT OF US</v>
          </cell>
          <cell r="F5602" t="str">
            <v>LIBRO</v>
          </cell>
          <cell r="H5602" t="str">
            <v>H. MANCHA</v>
          </cell>
          <cell r="I5602">
            <v>8.6050000000000004</v>
          </cell>
        </row>
        <row r="5603">
          <cell r="A5603" t="str">
            <v>19-05603</v>
          </cell>
          <cell r="B5603" t="str">
            <v>H. MANCHA</v>
          </cell>
          <cell r="C5603" t="str">
            <v>A</v>
          </cell>
          <cell r="D5603" t="str">
            <v>NO</v>
          </cell>
          <cell r="E5603" t="str">
            <v>FUENTE DE LA FORTUNA, LA</v>
          </cell>
          <cell r="F5603" t="str">
            <v>LIBRO</v>
          </cell>
          <cell r="H5603" t="str">
            <v>H. MANCHA</v>
          </cell>
          <cell r="I5603">
            <v>11.483000000000001</v>
          </cell>
        </row>
        <row r="5604">
          <cell r="A5604" t="str">
            <v>19-05604</v>
          </cell>
          <cell r="B5604" t="str">
            <v>H. MANCHA</v>
          </cell>
          <cell r="C5604" t="str">
            <v>A</v>
          </cell>
          <cell r="D5604" t="str">
            <v>NO</v>
          </cell>
          <cell r="E5604" t="str">
            <v>GUARDIAN INVISIBLE</v>
          </cell>
          <cell r="F5604" t="str">
            <v>LIBRO</v>
          </cell>
          <cell r="H5604" t="str">
            <v>H. MANCHA</v>
          </cell>
          <cell r="I5604">
            <v>19.405000000000001</v>
          </cell>
        </row>
        <row r="5605">
          <cell r="A5605" t="str">
            <v>19-05605</v>
          </cell>
          <cell r="B5605" t="str">
            <v>H. MANCHA</v>
          </cell>
          <cell r="C5605" t="str">
            <v>A</v>
          </cell>
          <cell r="D5605" t="str">
            <v>NO</v>
          </cell>
          <cell r="E5605" t="str">
            <v>GUARDIAN, EL</v>
          </cell>
          <cell r="F5605" t="str">
            <v>LIBRO</v>
          </cell>
          <cell r="H5605" t="str">
            <v>H. MANCHA</v>
          </cell>
          <cell r="I5605">
            <v>8.6050000000000004</v>
          </cell>
        </row>
        <row r="5606">
          <cell r="A5606" t="str">
            <v>19-05606</v>
          </cell>
          <cell r="B5606" t="str">
            <v>H. MANCHA</v>
          </cell>
          <cell r="C5606" t="str">
            <v>A</v>
          </cell>
          <cell r="D5606" t="str">
            <v>NO</v>
          </cell>
          <cell r="E5606" t="str">
            <v>GUERRA NO TIENE ROSTRO DE MUJER, LA</v>
          </cell>
          <cell r="F5606" t="str">
            <v>LIBRO</v>
          </cell>
          <cell r="H5606" t="str">
            <v>H. MANCHA</v>
          </cell>
          <cell r="I5606">
            <v>8.6050000000000004</v>
          </cell>
        </row>
        <row r="5607">
          <cell r="A5607" t="str">
            <v>19-05607</v>
          </cell>
          <cell r="B5607" t="str">
            <v>H. MANCHA</v>
          </cell>
          <cell r="C5607" t="str">
            <v>A</v>
          </cell>
          <cell r="D5607" t="str">
            <v>NO</v>
          </cell>
          <cell r="E5607" t="str">
            <v>GUERRERAS 3 SIEMPRE TE ENCONTR</v>
          </cell>
          <cell r="F5607" t="str">
            <v>LIBRO</v>
          </cell>
          <cell r="H5607" t="str">
            <v>H. MANCHA</v>
          </cell>
          <cell r="I5607">
            <v>16.524999999999999</v>
          </cell>
        </row>
        <row r="5608">
          <cell r="A5608" t="str">
            <v>19-05608</v>
          </cell>
          <cell r="B5608" t="str">
            <v>H. MANCHA</v>
          </cell>
          <cell r="C5608" t="str">
            <v>A</v>
          </cell>
          <cell r="D5608" t="str">
            <v>NO</v>
          </cell>
          <cell r="E5608" t="str">
            <v>HERO OF AGES THE</v>
          </cell>
          <cell r="F5608" t="str">
            <v>LIBRO</v>
          </cell>
          <cell r="H5608" t="str">
            <v>H. MANCHA</v>
          </cell>
          <cell r="I5608">
            <v>7.8849999999999998</v>
          </cell>
        </row>
        <row r="5609">
          <cell r="A5609" t="str">
            <v>19-05609</v>
          </cell>
          <cell r="B5609" t="str">
            <v>H. MANCHA</v>
          </cell>
          <cell r="C5609" t="str">
            <v>A</v>
          </cell>
          <cell r="D5609" t="str">
            <v>NO</v>
          </cell>
          <cell r="E5609" t="str">
            <v>HEROE DISCRETO, EL</v>
          </cell>
          <cell r="F5609" t="str">
            <v>LIBRO</v>
          </cell>
          <cell r="H5609" t="str">
            <v>H. MANCHA</v>
          </cell>
          <cell r="I5609">
            <v>8.6039999999999992</v>
          </cell>
        </row>
        <row r="5610">
          <cell r="A5610" t="str">
            <v>19-05610</v>
          </cell>
          <cell r="B5610" t="str">
            <v>H. MANCHA</v>
          </cell>
          <cell r="C5610" t="str">
            <v>A</v>
          </cell>
          <cell r="D5610" t="str">
            <v>NO</v>
          </cell>
          <cell r="E5610" t="str">
            <v>HISTORIA DE UN CANALLA</v>
          </cell>
          <cell r="F5610" t="str">
            <v>LIBRO</v>
          </cell>
          <cell r="H5610" t="str">
            <v>H. MANCHA</v>
          </cell>
          <cell r="I5610">
            <v>12.925000000000001</v>
          </cell>
        </row>
        <row r="5611">
          <cell r="A5611" t="str">
            <v>19-05611</v>
          </cell>
          <cell r="B5611" t="str">
            <v>H. MANCHA</v>
          </cell>
          <cell r="C5611" t="str">
            <v>A</v>
          </cell>
          <cell r="D5611" t="str">
            <v>SI</v>
          </cell>
          <cell r="E5611" t="str">
            <v>HOMBRE DUPLICADO, EL</v>
          </cell>
          <cell r="F5611" t="str">
            <v>LIBRO</v>
          </cell>
          <cell r="H5611" t="str">
            <v>H. MANCHA</v>
          </cell>
          <cell r="I5611">
            <v>8.6050000000000004</v>
          </cell>
        </row>
        <row r="5612">
          <cell r="A5612" t="str">
            <v>19-05612</v>
          </cell>
          <cell r="B5612" t="str">
            <v>H. MANCHA</v>
          </cell>
          <cell r="C5612" t="str">
            <v>A</v>
          </cell>
          <cell r="D5612" t="str">
            <v>NO</v>
          </cell>
          <cell r="E5612" t="str">
            <v>HOMBRE MAS RICO DE BABILONIA</v>
          </cell>
          <cell r="F5612" t="str">
            <v>LIBRO</v>
          </cell>
          <cell r="H5612" t="str">
            <v>H. MANCHA</v>
          </cell>
          <cell r="I5612">
            <v>13.644</v>
          </cell>
        </row>
        <row r="5613">
          <cell r="A5613" t="str">
            <v>19-05613</v>
          </cell>
          <cell r="B5613" t="str">
            <v>H. MANCHA</v>
          </cell>
          <cell r="C5613" t="str">
            <v>A</v>
          </cell>
          <cell r="D5613" t="str">
            <v>NO</v>
          </cell>
          <cell r="E5613" t="str">
            <v>INFILTRADA BODA</v>
          </cell>
          <cell r="F5613" t="str">
            <v>LIBRO</v>
          </cell>
          <cell r="H5613" t="str">
            <v>H. MANCHA</v>
          </cell>
          <cell r="I5613">
            <v>10.763</v>
          </cell>
        </row>
        <row r="5614">
          <cell r="A5614" t="str">
            <v>19-05614</v>
          </cell>
          <cell r="B5614" t="str">
            <v>H. MANCHA</v>
          </cell>
          <cell r="C5614" t="str">
            <v>A</v>
          </cell>
          <cell r="D5614" t="str">
            <v>NO</v>
          </cell>
          <cell r="E5614" t="str">
            <v>INTERMEDIARIO, EL</v>
          </cell>
          <cell r="F5614" t="str">
            <v>LIBRO</v>
          </cell>
          <cell r="H5614" t="str">
            <v>H. MANCHA</v>
          </cell>
          <cell r="I5614">
            <v>8.6</v>
          </cell>
        </row>
        <row r="5615">
          <cell r="A5615" t="str">
            <v>19-05615</v>
          </cell>
          <cell r="B5615" t="str">
            <v>H. MANCHA</v>
          </cell>
          <cell r="C5615" t="str">
            <v>A</v>
          </cell>
          <cell r="D5615" t="str">
            <v>NO</v>
          </cell>
          <cell r="E5615" t="str">
            <v>INTERMITENCIAS DE LA MUERTE, L</v>
          </cell>
          <cell r="F5615" t="str">
            <v>LIBRO</v>
          </cell>
          <cell r="H5615" t="str">
            <v>H. MANCHA</v>
          </cell>
          <cell r="I5615">
            <v>8.6050000000000004</v>
          </cell>
        </row>
        <row r="5616">
          <cell r="A5616" t="str">
            <v>19-05616</v>
          </cell>
          <cell r="B5616" t="str">
            <v>H. MANCHA</v>
          </cell>
          <cell r="C5616" t="str">
            <v>A</v>
          </cell>
          <cell r="D5616" t="str">
            <v>NO</v>
          </cell>
          <cell r="E5616" t="str">
            <v>INTOCABLES LOS</v>
          </cell>
          <cell r="F5616" t="str">
            <v>LIBRO</v>
          </cell>
          <cell r="H5616" t="str">
            <v>H. MANCHA</v>
          </cell>
          <cell r="I5616">
            <v>10.042999999999999</v>
          </cell>
        </row>
        <row r="5617">
          <cell r="A5617" t="str">
            <v>19-05617</v>
          </cell>
          <cell r="B5617" t="str">
            <v>H. MANCHA</v>
          </cell>
          <cell r="C5617" t="str">
            <v>A</v>
          </cell>
          <cell r="D5617" t="str">
            <v>NO</v>
          </cell>
          <cell r="E5617" t="str">
            <v>JARDIN DE INVIERNO</v>
          </cell>
          <cell r="F5617" t="str">
            <v>LIBRO</v>
          </cell>
          <cell r="H5617" t="str">
            <v>H. MANCHA</v>
          </cell>
          <cell r="I5617">
            <v>11.484999999999999</v>
          </cell>
        </row>
        <row r="5618">
          <cell r="A5618" t="str">
            <v>19-05618</v>
          </cell>
          <cell r="B5618" t="str">
            <v>H. MANCHA</v>
          </cell>
          <cell r="C5618" t="str">
            <v>A</v>
          </cell>
          <cell r="D5618" t="str">
            <v>NO</v>
          </cell>
          <cell r="E5618" t="str">
            <v>JEFES, LOS / LOS CACHORROS</v>
          </cell>
          <cell r="F5618" t="str">
            <v>LIBRO</v>
          </cell>
          <cell r="H5618" t="str">
            <v>H. MANCHA</v>
          </cell>
          <cell r="I5618">
            <v>9.3249999999999993</v>
          </cell>
        </row>
        <row r="5619">
          <cell r="A5619" t="str">
            <v>19-05619</v>
          </cell>
          <cell r="B5619" t="str">
            <v>H. MANCHA</v>
          </cell>
          <cell r="C5619" t="str">
            <v>A</v>
          </cell>
          <cell r="D5619" t="str">
            <v>NO</v>
          </cell>
          <cell r="E5619" t="str">
            <v>JUAN GABRIEL: UN AMOR ETERNO</v>
          </cell>
          <cell r="F5619" t="str">
            <v>LIBRO</v>
          </cell>
          <cell r="H5619" t="str">
            <v>H. MANCHA</v>
          </cell>
          <cell r="I5619">
            <v>11.484999999999999</v>
          </cell>
        </row>
        <row r="5620">
          <cell r="A5620" t="str">
            <v>19-05620</v>
          </cell>
          <cell r="B5620" t="str">
            <v>H. MANCHA</v>
          </cell>
          <cell r="C5620" t="str">
            <v>A</v>
          </cell>
          <cell r="D5620" t="str">
            <v>NO</v>
          </cell>
          <cell r="E5620" t="str">
            <v>JUEGOS DE ARMAS</v>
          </cell>
          <cell r="F5620" t="str">
            <v>LIBRO</v>
          </cell>
          <cell r="H5620" t="str">
            <v>H. MANCHA</v>
          </cell>
          <cell r="I5620">
            <v>12.202999999999999</v>
          </cell>
        </row>
        <row r="5621">
          <cell r="A5621" t="str">
            <v>19-05621</v>
          </cell>
          <cell r="B5621" t="str">
            <v>H. MANCHA</v>
          </cell>
          <cell r="C5621" t="str">
            <v>A</v>
          </cell>
          <cell r="D5621" t="str">
            <v>NO</v>
          </cell>
          <cell r="E5621" t="str">
            <v>JURADO, EL</v>
          </cell>
          <cell r="F5621" t="str">
            <v>LIBRO</v>
          </cell>
          <cell r="H5621" t="str">
            <v>H. MANCHA</v>
          </cell>
          <cell r="I5621">
            <v>5.72</v>
          </cell>
        </row>
        <row r="5622">
          <cell r="A5622" t="str">
            <v>19-05622</v>
          </cell>
          <cell r="B5622" t="str">
            <v>H. MANCHA</v>
          </cell>
          <cell r="C5622" t="str">
            <v>A</v>
          </cell>
          <cell r="D5622" t="str">
            <v>NO</v>
          </cell>
          <cell r="E5622" t="str">
            <v>JUST LIKE FATE</v>
          </cell>
          <cell r="F5622" t="str">
            <v>LIBRO</v>
          </cell>
          <cell r="H5622" t="str">
            <v>H. MANCHA</v>
          </cell>
          <cell r="I5622">
            <v>7.8849999999999998</v>
          </cell>
        </row>
        <row r="5623">
          <cell r="A5623" t="str">
            <v>19-05623</v>
          </cell>
          <cell r="B5623" t="str">
            <v>H. MANCHA</v>
          </cell>
          <cell r="C5623" t="str">
            <v>A</v>
          </cell>
          <cell r="D5623" t="str">
            <v>NO</v>
          </cell>
          <cell r="E5623" t="str">
            <v>KEEPER</v>
          </cell>
          <cell r="F5623" t="str">
            <v>LIBRO</v>
          </cell>
          <cell r="H5623" t="str">
            <v>H. MANCHA</v>
          </cell>
          <cell r="I5623">
            <v>8.6050000000000004</v>
          </cell>
        </row>
        <row r="5624">
          <cell r="A5624" t="str">
            <v>19-05624</v>
          </cell>
          <cell r="B5624" t="str">
            <v>H. MANCHA</v>
          </cell>
          <cell r="C5624" t="str">
            <v>A</v>
          </cell>
          <cell r="D5624" t="str">
            <v>NO</v>
          </cell>
          <cell r="E5624" t="str">
            <v>LET IT SNOW</v>
          </cell>
          <cell r="F5624" t="str">
            <v>LIBRO</v>
          </cell>
          <cell r="H5624" t="str">
            <v>H. MANCHA</v>
          </cell>
          <cell r="I5624">
            <v>7.165</v>
          </cell>
        </row>
        <row r="5625">
          <cell r="A5625" t="str">
            <v>19-05625</v>
          </cell>
          <cell r="B5625" t="str">
            <v>H. MANCHA</v>
          </cell>
          <cell r="C5625" t="str">
            <v>A</v>
          </cell>
          <cell r="D5625" t="str">
            <v>NO</v>
          </cell>
          <cell r="E5625" t="str">
            <v>LIBRO DE LAS ALMAS, EL</v>
          </cell>
          <cell r="F5625" t="str">
            <v>LIBRO</v>
          </cell>
          <cell r="H5625" t="str">
            <v>H. MANCHA</v>
          </cell>
          <cell r="I5625">
            <v>9.3249999999999993</v>
          </cell>
        </row>
        <row r="5626">
          <cell r="A5626" t="str">
            <v>19-05626</v>
          </cell>
          <cell r="B5626" t="str">
            <v>H. MANCHA</v>
          </cell>
          <cell r="C5626" t="str">
            <v>A</v>
          </cell>
          <cell r="D5626" t="str">
            <v>NO</v>
          </cell>
          <cell r="E5626" t="str">
            <v>LO MEJOR DE MI ( PELICULA )</v>
          </cell>
          <cell r="F5626" t="str">
            <v>LIBRO</v>
          </cell>
          <cell r="H5626" t="str">
            <v>H. MANCHA</v>
          </cell>
          <cell r="I5626">
            <v>8.6050000000000004</v>
          </cell>
        </row>
        <row r="5627">
          <cell r="A5627" t="str">
            <v>19-05627</v>
          </cell>
          <cell r="B5627" t="str">
            <v>H. MANCHA</v>
          </cell>
          <cell r="C5627" t="str">
            <v>A</v>
          </cell>
          <cell r="D5627" t="str">
            <v>NO</v>
          </cell>
          <cell r="E5627" t="str">
            <v>LO QUE SONE MIENTRAS DORMIA</v>
          </cell>
          <cell r="F5627" t="str">
            <v>LIBRO</v>
          </cell>
          <cell r="H5627" t="str">
            <v>H. MANCHA</v>
          </cell>
          <cell r="I5627">
            <v>12.202999999999999</v>
          </cell>
        </row>
        <row r="5628">
          <cell r="A5628" t="str">
            <v>19-05628</v>
          </cell>
          <cell r="B5628" t="str">
            <v>H. MANCHA</v>
          </cell>
          <cell r="C5628" t="str">
            <v>A</v>
          </cell>
          <cell r="D5628" t="str">
            <v>NO</v>
          </cell>
          <cell r="E5628" t="str">
            <v>MAZE RUNNER 2 PRUEBA DE FUEGO</v>
          </cell>
          <cell r="F5628" t="str">
            <v>LIBRO</v>
          </cell>
          <cell r="H5628" t="str">
            <v>H. MANCHA</v>
          </cell>
          <cell r="I5628">
            <v>7.8840000000000003</v>
          </cell>
        </row>
        <row r="5629">
          <cell r="A5629" t="str">
            <v>19-05629</v>
          </cell>
          <cell r="B5629" t="str">
            <v>H. MANCHA</v>
          </cell>
          <cell r="C5629" t="str">
            <v>A</v>
          </cell>
          <cell r="D5629" t="str">
            <v>NO</v>
          </cell>
          <cell r="E5629" t="str">
            <v>MAZE RUNNER CORRER O MORIR</v>
          </cell>
          <cell r="F5629" t="str">
            <v>LIBRO</v>
          </cell>
          <cell r="H5629" t="str">
            <v>H. MANCHA</v>
          </cell>
          <cell r="I5629">
            <v>7.8840000000000003</v>
          </cell>
        </row>
        <row r="5630">
          <cell r="A5630" t="str">
            <v>19-05630</v>
          </cell>
          <cell r="B5630" t="str">
            <v>H. MANCHA</v>
          </cell>
          <cell r="C5630" t="str">
            <v>A</v>
          </cell>
          <cell r="D5630" t="str">
            <v>NO</v>
          </cell>
          <cell r="E5630" t="str">
            <v>MAZE RUNNER 4 VIRUS LETAL</v>
          </cell>
          <cell r="F5630" t="str">
            <v>LIBRO</v>
          </cell>
          <cell r="H5630" t="str">
            <v>H. MANCHA</v>
          </cell>
          <cell r="I5630">
            <v>10.044</v>
          </cell>
        </row>
        <row r="5631">
          <cell r="A5631" t="str">
            <v>19-05631</v>
          </cell>
          <cell r="B5631" t="str">
            <v>H. MANCHA</v>
          </cell>
          <cell r="C5631" t="str">
            <v>A</v>
          </cell>
          <cell r="D5631" t="str">
            <v>NO</v>
          </cell>
          <cell r="E5631" t="str">
            <v>ME LLAMO ROJO</v>
          </cell>
          <cell r="F5631" t="str">
            <v>LIBRO</v>
          </cell>
          <cell r="H5631" t="str">
            <v>H. MANCHA</v>
          </cell>
          <cell r="I5631">
            <v>10.765000000000001</v>
          </cell>
        </row>
        <row r="5632">
          <cell r="A5632" t="str">
            <v>19-05632</v>
          </cell>
          <cell r="B5632" t="str">
            <v>H. MANCHA</v>
          </cell>
          <cell r="C5632" t="str">
            <v>A</v>
          </cell>
          <cell r="D5632" t="str">
            <v>NO</v>
          </cell>
          <cell r="E5632" t="str">
            <v>MECANICA DEL CORAZON LA</v>
          </cell>
          <cell r="F5632" t="str">
            <v>LIBRO</v>
          </cell>
          <cell r="H5632" t="str">
            <v>H. MANCHA</v>
          </cell>
          <cell r="I5632">
            <v>8.6039999999999992</v>
          </cell>
        </row>
        <row r="5633">
          <cell r="A5633" t="str">
            <v>19-05633</v>
          </cell>
          <cell r="B5633" t="str">
            <v>H. MANCHA</v>
          </cell>
          <cell r="C5633" t="str">
            <v>A</v>
          </cell>
          <cell r="D5633" t="str">
            <v>SI</v>
          </cell>
          <cell r="E5633" t="str">
            <v>MEDICO EL</v>
          </cell>
          <cell r="F5633" t="str">
            <v>LIBRO</v>
          </cell>
          <cell r="H5633" t="str">
            <v>H. MANCHA</v>
          </cell>
          <cell r="I5633">
            <v>9.3249999999999993</v>
          </cell>
        </row>
        <row r="5634">
          <cell r="A5634" t="str">
            <v>19-05634</v>
          </cell>
          <cell r="B5634" t="str">
            <v>H. MANCHA</v>
          </cell>
          <cell r="C5634" t="str">
            <v>A</v>
          </cell>
          <cell r="D5634" t="str">
            <v>NO</v>
          </cell>
          <cell r="E5634" t="str">
            <v>MEJORES TIPS DE FENG SHUI</v>
          </cell>
          <cell r="F5634" t="str">
            <v>LIBRO</v>
          </cell>
          <cell r="H5634" t="str">
            <v>H. MANCHA</v>
          </cell>
          <cell r="I5634">
            <v>9.3249999999999993</v>
          </cell>
        </row>
        <row r="5635">
          <cell r="A5635" t="str">
            <v>19-05635</v>
          </cell>
          <cell r="B5635" t="str">
            <v>H. MANCHA</v>
          </cell>
          <cell r="C5635" t="str">
            <v>A</v>
          </cell>
          <cell r="D5635" t="str">
            <v>NO</v>
          </cell>
          <cell r="E5635" t="str">
            <v>ML 1000 ADIVINANZAS</v>
          </cell>
          <cell r="F5635" t="str">
            <v>LIBRO</v>
          </cell>
          <cell r="H5635" t="str">
            <v>H. MANCHA</v>
          </cell>
          <cell r="I5635">
            <v>6.4450000000000003</v>
          </cell>
        </row>
        <row r="5636">
          <cell r="A5636" t="str">
            <v>19-05636</v>
          </cell>
          <cell r="B5636" t="str">
            <v>H. MANCHA</v>
          </cell>
          <cell r="C5636" t="str">
            <v>A</v>
          </cell>
          <cell r="D5636" t="str">
            <v>NO</v>
          </cell>
          <cell r="E5636" t="str">
            <v>ML 900 MANERAS DE DECIR TE AMO</v>
          </cell>
          <cell r="F5636" t="str">
            <v>LIBRO</v>
          </cell>
          <cell r="H5636" t="str">
            <v>H. MANCHA</v>
          </cell>
          <cell r="I5636">
            <v>6.4450000000000003</v>
          </cell>
        </row>
        <row r="5637">
          <cell r="A5637" t="str">
            <v>19-05637</v>
          </cell>
          <cell r="B5637" t="str">
            <v>H. MANCHA</v>
          </cell>
          <cell r="C5637" t="str">
            <v>A</v>
          </cell>
          <cell r="D5637" t="str">
            <v>NO</v>
          </cell>
          <cell r="E5637" t="str">
            <v>ML ARTE DE AMAR EL</v>
          </cell>
          <cell r="F5637" t="str">
            <v>LIBRO</v>
          </cell>
          <cell r="H5637" t="str">
            <v>H. MANCHA</v>
          </cell>
          <cell r="I5637">
            <v>6.4450000000000003</v>
          </cell>
        </row>
        <row r="5638">
          <cell r="A5638" t="str">
            <v>19-05638</v>
          </cell>
          <cell r="B5638" t="str">
            <v>H. MANCHA</v>
          </cell>
          <cell r="C5638" t="str">
            <v>A</v>
          </cell>
          <cell r="D5638" t="str">
            <v>NO</v>
          </cell>
          <cell r="E5638" t="str">
            <v>ML CABALLOS RAZAS</v>
          </cell>
          <cell r="F5638" t="str">
            <v>LIBRO</v>
          </cell>
          <cell r="H5638" t="str">
            <v>H. MANCHA</v>
          </cell>
          <cell r="I5638">
            <v>6.4429999999999996</v>
          </cell>
        </row>
        <row r="5639">
          <cell r="A5639" t="str">
            <v>19-05639</v>
          </cell>
          <cell r="B5639" t="str">
            <v>H. MANCHA</v>
          </cell>
          <cell r="C5639" t="str">
            <v>A</v>
          </cell>
          <cell r="D5639" t="str">
            <v>NO</v>
          </cell>
          <cell r="E5639" t="str">
            <v>ML CAMINOS DEL AMOR</v>
          </cell>
          <cell r="F5639" t="str">
            <v>LIBRO</v>
          </cell>
          <cell r="H5639" t="str">
            <v>H. MANCHA</v>
          </cell>
          <cell r="I5639">
            <v>6.4450000000000003</v>
          </cell>
        </row>
        <row r="5640">
          <cell r="A5640" t="str">
            <v>19-05640</v>
          </cell>
          <cell r="B5640" t="str">
            <v>H. MANCHA</v>
          </cell>
          <cell r="C5640" t="str">
            <v>A</v>
          </cell>
          <cell r="D5640" t="str">
            <v>NO</v>
          </cell>
          <cell r="E5640" t="str">
            <v>ML INTELIGENCIA EMOCIONAL</v>
          </cell>
          <cell r="F5640" t="str">
            <v>LIBRO</v>
          </cell>
          <cell r="H5640" t="str">
            <v>H. MANCHA</v>
          </cell>
          <cell r="I5640">
            <v>6.4450000000000003</v>
          </cell>
        </row>
        <row r="5641">
          <cell r="A5641" t="str">
            <v>19-05641</v>
          </cell>
          <cell r="B5641" t="str">
            <v>H. MANCHA</v>
          </cell>
          <cell r="C5641" t="str">
            <v>A</v>
          </cell>
          <cell r="D5641" t="str">
            <v>NO</v>
          </cell>
          <cell r="E5641" t="str">
            <v>ML SOLO PARA JOVENES</v>
          </cell>
          <cell r="F5641" t="str">
            <v>LIBRO</v>
          </cell>
          <cell r="H5641" t="str">
            <v>H. MANCHA</v>
          </cell>
          <cell r="I5641">
            <v>6.4450000000000003</v>
          </cell>
        </row>
        <row r="5642">
          <cell r="A5642" t="str">
            <v>19-05642</v>
          </cell>
          <cell r="B5642" t="str">
            <v>H. MANCHA</v>
          </cell>
          <cell r="C5642" t="str">
            <v>A</v>
          </cell>
          <cell r="D5642" t="str">
            <v>NO</v>
          </cell>
          <cell r="E5642" t="str">
            <v>MONKEY WARS</v>
          </cell>
          <cell r="F5642" t="str">
            <v>LIBRO</v>
          </cell>
          <cell r="H5642" t="str">
            <v>H. MANCHA</v>
          </cell>
          <cell r="I5642">
            <v>9.3230000000000004</v>
          </cell>
        </row>
        <row r="5643">
          <cell r="A5643" t="str">
            <v>19-05643</v>
          </cell>
          <cell r="B5643" t="str">
            <v>H. MANCHA</v>
          </cell>
          <cell r="C5643" t="str">
            <v>A</v>
          </cell>
          <cell r="D5643" t="str">
            <v>NO</v>
          </cell>
          <cell r="E5643" t="str">
            <v>MONSTER HUNTER</v>
          </cell>
          <cell r="F5643" t="str">
            <v>LIBRO</v>
          </cell>
          <cell r="H5643" t="str">
            <v>H. MANCHA</v>
          </cell>
          <cell r="I5643">
            <v>5.7249999999999996</v>
          </cell>
        </row>
        <row r="5644">
          <cell r="A5644" t="str">
            <v>19-05644</v>
          </cell>
          <cell r="B5644" t="str">
            <v>H. MANCHA</v>
          </cell>
          <cell r="C5644" t="str">
            <v>A</v>
          </cell>
          <cell r="D5644" t="str">
            <v>NO</v>
          </cell>
          <cell r="E5644" t="str">
            <v>MORIRE BESANDO A SIMON SNOW</v>
          </cell>
          <cell r="F5644" t="str">
            <v>LIBRO</v>
          </cell>
          <cell r="H5644" t="str">
            <v>H. MANCHA</v>
          </cell>
          <cell r="I5644">
            <v>15.804</v>
          </cell>
        </row>
        <row r="5645">
          <cell r="A5645" t="str">
            <v>19-05645</v>
          </cell>
          <cell r="B5645" t="str">
            <v>H. MANCHA</v>
          </cell>
          <cell r="C5645" t="str">
            <v>A</v>
          </cell>
          <cell r="D5645" t="str">
            <v>NO</v>
          </cell>
          <cell r="E5645" t="str">
            <v>MR. HOLMES</v>
          </cell>
          <cell r="F5645" t="str">
            <v>LIBRO</v>
          </cell>
          <cell r="H5645" t="str">
            <v>H. MANCHA</v>
          </cell>
          <cell r="I5645">
            <v>10.042999999999999</v>
          </cell>
        </row>
        <row r="5646">
          <cell r="A5646" t="str">
            <v>19-05646</v>
          </cell>
          <cell r="B5646" t="str">
            <v>H. MANCHA</v>
          </cell>
          <cell r="C5646" t="str">
            <v>A</v>
          </cell>
          <cell r="D5646" t="str">
            <v>NO</v>
          </cell>
          <cell r="E5646" t="str">
            <v>NERVE. UN JUEGO SIN REGLAS (ED.PELICULA)</v>
          </cell>
          <cell r="F5646" t="str">
            <v>LIBRO</v>
          </cell>
          <cell r="H5646" t="str">
            <v>H. MANCHA</v>
          </cell>
          <cell r="I5646">
            <v>15.085000000000001</v>
          </cell>
        </row>
        <row r="5647">
          <cell r="A5647" t="str">
            <v>19-05647</v>
          </cell>
          <cell r="B5647" t="str">
            <v>H. MANCHA</v>
          </cell>
          <cell r="C5647" t="str">
            <v>A</v>
          </cell>
          <cell r="D5647" t="str">
            <v>NO</v>
          </cell>
          <cell r="E5647" t="str">
            <v>NIGHT BROKEN</v>
          </cell>
          <cell r="F5647" t="str">
            <v>LIBRO</v>
          </cell>
          <cell r="H5647" t="str">
            <v>H. MANCHA</v>
          </cell>
          <cell r="I5647">
            <v>0</v>
          </cell>
        </row>
        <row r="5648">
          <cell r="A5648" t="str">
            <v>19-05648</v>
          </cell>
          <cell r="B5648" t="str">
            <v>H. MANCHA</v>
          </cell>
          <cell r="C5648" t="str">
            <v>A</v>
          </cell>
          <cell r="D5648" t="str">
            <v>NO</v>
          </cell>
          <cell r="E5648" t="str">
            <v>NOCHES BLANCAS</v>
          </cell>
          <cell r="F5648" t="str">
            <v>LIBRO</v>
          </cell>
          <cell r="H5648" t="str">
            <v>H. MANCHA</v>
          </cell>
          <cell r="I5648">
            <v>12.925000000000001</v>
          </cell>
        </row>
        <row r="5649">
          <cell r="A5649" t="str">
            <v>19-05649</v>
          </cell>
          <cell r="B5649" t="str">
            <v>H. MANCHA</v>
          </cell>
          <cell r="C5649" t="str">
            <v>A</v>
          </cell>
          <cell r="D5649" t="str">
            <v>NO</v>
          </cell>
          <cell r="E5649" t="str">
            <v>NOVELAS DE LA HISTORIA</v>
          </cell>
          <cell r="F5649" t="str">
            <v>LIBRO</v>
          </cell>
          <cell r="H5649" t="str">
            <v>H. MANCHA</v>
          </cell>
          <cell r="I5649">
            <v>9.3230000000000004</v>
          </cell>
        </row>
        <row r="5650">
          <cell r="A5650" t="str">
            <v>19-05650</v>
          </cell>
          <cell r="B5650" t="str">
            <v>H. MANCHA</v>
          </cell>
          <cell r="C5650" t="str">
            <v>A</v>
          </cell>
          <cell r="D5650" t="str">
            <v>NO</v>
          </cell>
          <cell r="E5650" t="str">
            <v>OSHO LIBRO DE LA VIDA Y</v>
          </cell>
          <cell r="F5650" t="str">
            <v>LIBRO</v>
          </cell>
          <cell r="H5650" t="str">
            <v>H. MANCHA</v>
          </cell>
          <cell r="I5650">
            <v>9.3249999999999993</v>
          </cell>
        </row>
        <row r="5651">
          <cell r="A5651" t="str">
            <v>19-05651</v>
          </cell>
          <cell r="B5651" t="str">
            <v>H. MANCHA</v>
          </cell>
          <cell r="C5651" t="str">
            <v>A</v>
          </cell>
          <cell r="D5651" t="str">
            <v>NO</v>
          </cell>
          <cell r="E5651" t="str">
            <v>OSHO PASION POR LO IMPOS</v>
          </cell>
          <cell r="F5651" t="str">
            <v>LIBRO</v>
          </cell>
          <cell r="H5651" t="str">
            <v>H. MANCHA</v>
          </cell>
          <cell r="I5651">
            <v>8.6050000000000004</v>
          </cell>
        </row>
        <row r="5652">
          <cell r="A5652" t="str">
            <v>19-05652</v>
          </cell>
          <cell r="B5652" t="str">
            <v>H. MANCHA</v>
          </cell>
          <cell r="C5652" t="str">
            <v>A</v>
          </cell>
          <cell r="D5652" t="str">
            <v>NO</v>
          </cell>
          <cell r="E5652" t="str">
            <v>PARCEROS</v>
          </cell>
          <cell r="F5652" t="str">
            <v>LIBRO</v>
          </cell>
          <cell r="H5652" t="str">
            <v>H. MANCHA</v>
          </cell>
          <cell r="I5652">
            <v>10.042999999999999</v>
          </cell>
        </row>
        <row r="5653">
          <cell r="A5653" t="str">
            <v>19-05653</v>
          </cell>
          <cell r="B5653" t="str">
            <v>H. MANCHA</v>
          </cell>
          <cell r="C5653" t="str">
            <v>A</v>
          </cell>
          <cell r="D5653" t="str">
            <v>NO</v>
          </cell>
          <cell r="E5653" t="str">
            <v>PENSAR RAPIDO, PENSAR DESPACIO</v>
          </cell>
          <cell r="F5653" t="str">
            <v>LIBRO</v>
          </cell>
          <cell r="H5653" t="str">
            <v>H. MANCHA</v>
          </cell>
          <cell r="I5653">
            <v>10.765000000000001</v>
          </cell>
        </row>
        <row r="5654">
          <cell r="A5654" t="str">
            <v>19-05654</v>
          </cell>
          <cell r="B5654" t="str">
            <v>H. MANCHA</v>
          </cell>
          <cell r="C5654" t="str">
            <v>A</v>
          </cell>
          <cell r="D5654" t="str">
            <v>NO</v>
          </cell>
          <cell r="E5654" t="str">
            <v>POWER BOWLS</v>
          </cell>
          <cell r="F5654" t="str">
            <v>LIBRO</v>
          </cell>
          <cell r="H5654" t="str">
            <v>H. MANCHA</v>
          </cell>
          <cell r="I5654">
            <v>0</v>
          </cell>
        </row>
        <row r="5655">
          <cell r="A5655" t="str">
            <v>19-05655</v>
          </cell>
          <cell r="B5655" t="str">
            <v>H. MANCHA</v>
          </cell>
          <cell r="C5655" t="str">
            <v>A</v>
          </cell>
          <cell r="D5655" t="str">
            <v>NO</v>
          </cell>
          <cell r="E5655" t="str">
            <v>PRINCIPE Y EL GUARDIAN,EL</v>
          </cell>
          <cell r="F5655" t="str">
            <v>LIBRO</v>
          </cell>
          <cell r="H5655" t="str">
            <v>H. MANCHA</v>
          </cell>
          <cell r="I5655">
            <v>8.6050000000000004</v>
          </cell>
        </row>
        <row r="5656">
          <cell r="A5656" t="str">
            <v>19-05656</v>
          </cell>
          <cell r="B5656" t="str">
            <v>H. MANCHA</v>
          </cell>
          <cell r="C5656" t="str">
            <v>A</v>
          </cell>
          <cell r="D5656" t="str">
            <v>NO</v>
          </cell>
          <cell r="E5656" t="str">
            <v>PRINCIPITO EL 3D</v>
          </cell>
          <cell r="F5656" t="str">
            <v>LIBRO</v>
          </cell>
          <cell r="H5656" t="str">
            <v>H. MANCHA</v>
          </cell>
          <cell r="I5656">
            <v>7.1630000000000003</v>
          </cell>
        </row>
        <row r="5657">
          <cell r="A5657" t="str">
            <v>19-05657</v>
          </cell>
          <cell r="B5657" t="str">
            <v>H. MANCHA</v>
          </cell>
          <cell r="C5657" t="str">
            <v>A</v>
          </cell>
          <cell r="D5657" t="str">
            <v>NO</v>
          </cell>
          <cell r="E5657" t="str">
            <v>QUIEN HA PUESTO ESTE HUEVO?</v>
          </cell>
          <cell r="F5657" t="str">
            <v>LIBRO</v>
          </cell>
          <cell r="H5657" t="str">
            <v>H. MANCHA</v>
          </cell>
          <cell r="I5657">
            <v>5.7240000000000002</v>
          </cell>
        </row>
        <row r="5658">
          <cell r="A5658" t="str">
            <v>19-05658</v>
          </cell>
          <cell r="B5658" t="str">
            <v>H. MANCHA</v>
          </cell>
          <cell r="C5658" t="str">
            <v>A</v>
          </cell>
          <cell r="D5658" t="str">
            <v>SI</v>
          </cell>
          <cell r="E5658" t="str">
            <v>REINO, EL</v>
          </cell>
          <cell r="F5658" t="str">
            <v>LIBRO</v>
          </cell>
          <cell r="H5658" t="str">
            <v>H. MANCHA</v>
          </cell>
          <cell r="I5658">
            <v>7.8849999999999998</v>
          </cell>
        </row>
        <row r="5659">
          <cell r="A5659" t="str">
            <v>19-05659</v>
          </cell>
          <cell r="B5659" t="str">
            <v>H. MANCHA</v>
          </cell>
          <cell r="C5659" t="str">
            <v>A</v>
          </cell>
          <cell r="D5659" t="str">
            <v>NO</v>
          </cell>
          <cell r="E5659" t="str">
            <v>RESCATE, EL</v>
          </cell>
          <cell r="F5659" t="str">
            <v>LIBRO</v>
          </cell>
          <cell r="H5659" t="str">
            <v>H. MANCHA</v>
          </cell>
          <cell r="I5659">
            <v>8.6050000000000004</v>
          </cell>
        </row>
        <row r="5660">
          <cell r="A5660" t="str">
            <v>19-05660</v>
          </cell>
          <cell r="B5660" t="str">
            <v>H. MANCHA</v>
          </cell>
          <cell r="C5660" t="str">
            <v>A</v>
          </cell>
          <cell r="D5660" t="str">
            <v>NO</v>
          </cell>
          <cell r="E5660" t="str">
            <v>RESTAURADORA, LA</v>
          </cell>
          <cell r="F5660" t="str">
            <v>LIBRO</v>
          </cell>
          <cell r="H5660" t="str">
            <v>H. MANCHA</v>
          </cell>
          <cell r="I5660">
            <v>7.8849999999999998</v>
          </cell>
        </row>
        <row r="5661">
          <cell r="A5661" t="str">
            <v>19-05661</v>
          </cell>
          <cell r="B5661" t="str">
            <v>H. MANCHA</v>
          </cell>
          <cell r="C5661" t="str">
            <v>A</v>
          </cell>
          <cell r="D5661" t="str">
            <v>NO</v>
          </cell>
          <cell r="E5661" t="str">
            <v>REYES DE LO COOL, LOS</v>
          </cell>
          <cell r="F5661" t="str">
            <v>LIBRO</v>
          </cell>
          <cell r="H5661" t="str">
            <v>H. MANCHA</v>
          </cell>
          <cell r="I5661">
            <v>8.6050000000000004</v>
          </cell>
        </row>
        <row r="5662">
          <cell r="A5662" t="str">
            <v>19-05662</v>
          </cell>
          <cell r="B5662" t="str">
            <v>H. MANCHA</v>
          </cell>
          <cell r="C5662" t="str">
            <v>A</v>
          </cell>
          <cell r="D5662" t="str">
            <v>NO</v>
          </cell>
          <cell r="E5662" t="str">
            <v>SHOPAHOLIC</v>
          </cell>
          <cell r="F5662" t="str">
            <v>LIBRO</v>
          </cell>
          <cell r="H5662" t="str">
            <v>H. MANCHA</v>
          </cell>
          <cell r="I5662">
            <v>0</v>
          </cell>
        </row>
        <row r="5663">
          <cell r="A5663" t="str">
            <v>19-05663</v>
          </cell>
          <cell r="B5663" t="str">
            <v>H. MANCHA</v>
          </cell>
          <cell r="C5663" t="str">
            <v>A</v>
          </cell>
          <cell r="D5663" t="str">
            <v>NO</v>
          </cell>
          <cell r="E5663" t="str">
            <v>SI TU ME DICES VEN LO DEJO TODO...</v>
          </cell>
          <cell r="F5663" t="str">
            <v>LIBRO</v>
          </cell>
          <cell r="H5663" t="str">
            <v>H. MANCHA</v>
          </cell>
          <cell r="I5663">
            <v>8.6050000000000004</v>
          </cell>
        </row>
        <row r="5664">
          <cell r="A5664" t="str">
            <v>19-05664</v>
          </cell>
          <cell r="B5664" t="str">
            <v>H. MANCHA</v>
          </cell>
          <cell r="C5664" t="str">
            <v>A</v>
          </cell>
          <cell r="D5664" t="str">
            <v>NO</v>
          </cell>
          <cell r="E5664" t="str">
            <v>SIRENA , LA</v>
          </cell>
          <cell r="F5664" t="str">
            <v>LIBRO</v>
          </cell>
          <cell r="H5664" t="str">
            <v>H. MANCHA</v>
          </cell>
          <cell r="I5664">
            <v>12.204000000000001</v>
          </cell>
        </row>
        <row r="5665">
          <cell r="A5665" t="str">
            <v>19-05665</v>
          </cell>
          <cell r="B5665" t="str">
            <v>H. MANCHA</v>
          </cell>
          <cell r="C5665" t="str">
            <v>A</v>
          </cell>
          <cell r="D5665" t="str">
            <v>NO</v>
          </cell>
          <cell r="E5665" t="str">
            <v>SOPLO DE AIRE FRESCO UN (MISTE</v>
          </cell>
          <cell r="F5665" t="str">
            <v>LIBRO</v>
          </cell>
          <cell r="H5665" t="str">
            <v>H. MANCHA</v>
          </cell>
          <cell r="I5665">
            <v>7.8849999999999998</v>
          </cell>
        </row>
        <row r="5666">
          <cell r="A5666" t="str">
            <v>19-05666</v>
          </cell>
          <cell r="B5666" t="str">
            <v>H. MANCHA</v>
          </cell>
          <cell r="C5666" t="str">
            <v>A</v>
          </cell>
          <cell r="D5666" t="str">
            <v>NO</v>
          </cell>
          <cell r="E5666" t="str">
            <v>SPEAKING IN BONES (EXP)</v>
          </cell>
          <cell r="F5666" t="str">
            <v>LIBRO</v>
          </cell>
          <cell r="H5666" t="str">
            <v>H. MANCHA</v>
          </cell>
          <cell r="I5666">
            <v>7.8849999999999998</v>
          </cell>
        </row>
        <row r="5667">
          <cell r="A5667" t="str">
            <v>19-05667</v>
          </cell>
          <cell r="B5667" t="str">
            <v>H. MANCHA</v>
          </cell>
          <cell r="C5667" t="str">
            <v>A</v>
          </cell>
          <cell r="D5667" t="str">
            <v>NO</v>
          </cell>
          <cell r="E5667" t="str">
            <v>SPUTNIK MI AMOR</v>
          </cell>
          <cell r="F5667" t="str">
            <v>LIBRO</v>
          </cell>
          <cell r="H5667" t="str">
            <v>H. MANCHA</v>
          </cell>
          <cell r="I5667">
            <v>8.6029999999999998</v>
          </cell>
        </row>
        <row r="5668">
          <cell r="A5668" t="str">
            <v>19-05668</v>
          </cell>
          <cell r="B5668" t="str">
            <v>H. MANCHA</v>
          </cell>
          <cell r="C5668" t="str">
            <v>A</v>
          </cell>
          <cell r="D5668" t="str">
            <v>NO</v>
          </cell>
          <cell r="E5668" t="str">
            <v>STAR THE FORCE AWAKENS</v>
          </cell>
          <cell r="F5668" t="str">
            <v>LIBRO</v>
          </cell>
          <cell r="H5668" t="str">
            <v>H. MANCHA</v>
          </cell>
          <cell r="I5668">
            <v>0</v>
          </cell>
        </row>
        <row r="5669">
          <cell r="A5669" t="str">
            <v>19-05669</v>
          </cell>
          <cell r="B5669" t="str">
            <v>H. MANCHA</v>
          </cell>
          <cell r="C5669" t="str">
            <v>A</v>
          </cell>
          <cell r="D5669" t="str">
            <v>SI</v>
          </cell>
          <cell r="E5669" t="str">
            <v>THE BONE QUEEN</v>
          </cell>
          <cell r="F5669" t="str">
            <v>LIBRO</v>
          </cell>
          <cell r="H5669" t="str">
            <v>H. MANCHA</v>
          </cell>
          <cell r="I5669">
            <v>9.3249999999999993</v>
          </cell>
        </row>
        <row r="5670">
          <cell r="A5670" t="str">
            <v>19-05670</v>
          </cell>
          <cell r="B5670" t="str">
            <v>H. MANCHA</v>
          </cell>
          <cell r="C5670" t="str">
            <v>A</v>
          </cell>
          <cell r="D5670" t="str">
            <v>NO</v>
          </cell>
          <cell r="E5670" t="str">
            <v>UNO SIEMPRE CAMBIA AL AM</v>
          </cell>
          <cell r="F5670" t="str">
            <v>LIBRO</v>
          </cell>
          <cell r="H5670" t="str">
            <v>H. MANCHA</v>
          </cell>
          <cell r="I5670">
            <v>10.044</v>
          </cell>
        </row>
        <row r="5671">
          <cell r="A5671" t="str">
            <v>19-05671</v>
          </cell>
          <cell r="B5671" t="str">
            <v>H. MANCHA</v>
          </cell>
          <cell r="C5671" t="str">
            <v>A</v>
          </cell>
          <cell r="D5671" t="str">
            <v>SI</v>
          </cell>
          <cell r="E5671" t="str">
            <v>VIPER GAME</v>
          </cell>
          <cell r="F5671" t="str">
            <v>LIBRO</v>
          </cell>
          <cell r="H5671" t="str">
            <v>H. MANCHA</v>
          </cell>
          <cell r="I5671">
            <v>7.165</v>
          </cell>
        </row>
        <row r="5672">
          <cell r="A5672" t="str">
            <v>19-05672</v>
          </cell>
          <cell r="B5672" t="str">
            <v>H. MANCHA</v>
          </cell>
          <cell r="C5672" t="str">
            <v>A</v>
          </cell>
          <cell r="D5672" t="str">
            <v>NO</v>
          </cell>
          <cell r="E5672" t="str">
            <v>VIVE LA SABIDURIA DEL TAO</v>
          </cell>
          <cell r="F5672" t="str">
            <v>LIBRO</v>
          </cell>
          <cell r="H5672" t="str">
            <v>H. MANCHA</v>
          </cell>
          <cell r="I5672">
            <v>7.8849999999999998</v>
          </cell>
        </row>
        <row r="5673">
          <cell r="A5673" t="str">
            <v>19-05673</v>
          </cell>
          <cell r="B5673" t="str">
            <v>H. MANCHA</v>
          </cell>
          <cell r="C5673" t="str">
            <v>A</v>
          </cell>
          <cell r="D5673" t="str">
            <v>NO</v>
          </cell>
          <cell r="E5673" t="str">
            <v>YOUTUBER SCHOOL 16 LECCIONES</v>
          </cell>
          <cell r="F5673" t="str">
            <v>LIBRO</v>
          </cell>
          <cell r="H5673" t="str">
            <v>H. MANCHA</v>
          </cell>
          <cell r="I5673">
            <v>10.044</v>
          </cell>
        </row>
        <row r="5674">
          <cell r="A5674" t="str">
            <v>19-05674</v>
          </cell>
          <cell r="B5674" t="str">
            <v>H. MANCHA</v>
          </cell>
          <cell r="C5674" t="str">
            <v>A</v>
          </cell>
          <cell r="D5674" t="str">
            <v>NO</v>
          </cell>
          <cell r="E5674" t="str">
            <v>100 YEAR OLD MAN WHO CLIMBED OUT THE WINDOW AND DISAPPEARED</v>
          </cell>
          <cell r="F5674" t="str">
            <v>LIBRO</v>
          </cell>
          <cell r="H5674" t="str">
            <v>H. MANCHA</v>
          </cell>
          <cell r="I5674">
            <v>7.8840000000000003</v>
          </cell>
        </row>
        <row r="5675">
          <cell r="A5675" t="str">
            <v>19-05675</v>
          </cell>
          <cell r="B5675" t="str">
            <v>H. MANCHA</v>
          </cell>
          <cell r="C5675" t="str">
            <v>A</v>
          </cell>
          <cell r="D5675" t="str">
            <v>NO</v>
          </cell>
          <cell r="E5675" t="str">
            <v>13 HOURS INSIDE ACCOUNT</v>
          </cell>
          <cell r="F5675" t="str">
            <v>LIBRO</v>
          </cell>
          <cell r="H5675" t="str">
            <v>H. MANCHA</v>
          </cell>
          <cell r="I5675">
            <v>8.6029999999999998</v>
          </cell>
        </row>
        <row r="5676">
          <cell r="A5676" t="str">
            <v>19-05676</v>
          </cell>
          <cell r="B5676" t="str">
            <v>H. MANCHA</v>
          </cell>
          <cell r="C5676" t="str">
            <v>A</v>
          </cell>
          <cell r="D5676" t="str">
            <v>NO</v>
          </cell>
          <cell r="E5676" t="str">
            <v>1Q84. LIBROS 1 Y 2</v>
          </cell>
          <cell r="F5676" t="str">
            <v>LIBRO</v>
          </cell>
          <cell r="H5676" t="str">
            <v>H. MANCHA</v>
          </cell>
          <cell r="I5676">
            <v>12.204000000000001</v>
          </cell>
        </row>
        <row r="5677">
          <cell r="A5677" t="str">
            <v>19-05677</v>
          </cell>
          <cell r="B5677" t="str">
            <v>H. MANCHA</v>
          </cell>
          <cell r="C5677" t="str">
            <v>A</v>
          </cell>
          <cell r="D5677" t="str">
            <v>NO</v>
          </cell>
          <cell r="E5677" t="str">
            <v>50 REFLEXIONES PARA SER</v>
          </cell>
          <cell r="F5677" t="str">
            <v>LIBRO</v>
          </cell>
          <cell r="H5677" t="str">
            <v>H. MANCHA</v>
          </cell>
          <cell r="I5677">
            <v>11.484</v>
          </cell>
        </row>
        <row r="5678">
          <cell r="A5678" t="str">
            <v>19-05678</v>
          </cell>
          <cell r="B5678" t="str">
            <v>H. MANCHA</v>
          </cell>
          <cell r="C5678" t="str">
            <v>A</v>
          </cell>
          <cell r="D5678" t="str">
            <v>NO</v>
          </cell>
          <cell r="E5678" t="str">
            <v>A WALK TO REMEMBER</v>
          </cell>
          <cell r="F5678" t="str">
            <v>LIBRO</v>
          </cell>
          <cell r="H5678" t="str">
            <v>H. MANCHA</v>
          </cell>
          <cell r="I5678">
            <v>7.1639999999999997</v>
          </cell>
        </row>
        <row r="5679">
          <cell r="A5679" t="str">
            <v>19-05679</v>
          </cell>
          <cell r="B5679" t="str">
            <v>H. MANCHA</v>
          </cell>
          <cell r="C5679" t="str">
            <v>A</v>
          </cell>
          <cell r="D5679" t="str">
            <v>NO</v>
          </cell>
          <cell r="E5679" t="str">
            <v>AFTER YOU</v>
          </cell>
          <cell r="F5679" t="str">
            <v>LIBRO</v>
          </cell>
          <cell r="H5679" t="str">
            <v>H. MANCHA</v>
          </cell>
          <cell r="I5679">
            <v>10.044</v>
          </cell>
        </row>
        <row r="5680">
          <cell r="A5680" t="str">
            <v>19-05680</v>
          </cell>
          <cell r="B5680" t="str">
            <v>H. MANCHA</v>
          </cell>
          <cell r="C5680" t="str">
            <v>A</v>
          </cell>
          <cell r="D5680" t="str">
            <v>NO</v>
          </cell>
          <cell r="E5680" t="str">
            <v>ALL THE BRIGHT PLACES</v>
          </cell>
          <cell r="F5680" t="str">
            <v>LIBRO</v>
          </cell>
          <cell r="H5680" t="str">
            <v>H. MANCHA</v>
          </cell>
          <cell r="I5680">
            <v>9.3230000000000004</v>
          </cell>
        </row>
        <row r="5681">
          <cell r="A5681" t="str">
            <v>19-05681</v>
          </cell>
          <cell r="B5681" t="str">
            <v>H. MANCHA</v>
          </cell>
          <cell r="C5681" t="str">
            <v>A</v>
          </cell>
          <cell r="D5681" t="str">
            <v>NO</v>
          </cell>
          <cell r="E5681" t="str">
            <v>AN ASTRONAUT GUIDE LIFE</v>
          </cell>
          <cell r="F5681" t="str">
            <v>LIBRO</v>
          </cell>
          <cell r="H5681" t="str">
            <v>H. MANCHA</v>
          </cell>
          <cell r="I5681">
            <v>15.083</v>
          </cell>
        </row>
        <row r="5682">
          <cell r="A5682" t="str">
            <v>19-05682</v>
          </cell>
          <cell r="B5682" t="str">
            <v>H. MANCHA</v>
          </cell>
          <cell r="C5682" t="str">
            <v>A</v>
          </cell>
          <cell r="D5682" t="str">
            <v>NO</v>
          </cell>
          <cell r="E5682" t="str">
            <v>AND I DARKEN</v>
          </cell>
          <cell r="F5682" t="str">
            <v>LIBRO</v>
          </cell>
          <cell r="H5682" t="str">
            <v>H. MANCHA</v>
          </cell>
          <cell r="I5682">
            <v>9.3230000000000004</v>
          </cell>
        </row>
        <row r="5683">
          <cell r="A5683" t="str">
            <v>19-05683</v>
          </cell>
          <cell r="B5683" t="str">
            <v>H. MANCHA</v>
          </cell>
          <cell r="C5683" t="str">
            <v>A</v>
          </cell>
          <cell r="D5683" t="str">
            <v>NO</v>
          </cell>
          <cell r="E5683" t="str">
            <v>ANIMALS IN THE STARS</v>
          </cell>
          <cell r="F5683" t="str">
            <v>LIBRO</v>
          </cell>
          <cell r="H5683" t="str">
            <v>H. MANCHA</v>
          </cell>
          <cell r="I5683">
            <v>15.803000000000001</v>
          </cell>
        </row>
        <row r="5684">
          <cell r="A5684" t="str">
            <v>19-05684</v>
          </cell>
          <cell r="B5684" t="str">
            <v>H. MANCHA</v>
          </cell>
          <cell r="C5684" t="str">
            <v>A</v>
          </cell>
          <cell r="D5684" t="str">
            <v>NO</v>
          </cell>
          <cell r="E5684" t="str">
            <v>ANIMALS MATCHING GAME</v>
          </cell>
          <cell r="F5684" t="str">
            <v>LIBRO</v>
          </cell>
          <cell r="H5684" t="str">
            <v>H. MANCHA</v>
          </cell>
          <cell r="I5684">
            <v>13.643000000000001</v>
          </cell>
        </row>
        <row r="5685">
          <cell r="A5685" t="str">
            <v>19-05685</v>
          </cell>
          <cell r="B5685" t="str">
            <v>H. MANCHA</v>
          </cell>
          <cell r="C5685" t="str">
            <v>A</v>
          </cell>
          <cell r="D5685" t="str">
            <v>NO</v>
          </cell>
          <cell r="E5685" t="str">
            <v>ARE YOU SMART ENOUGH WORK</v>
          </cell>
          <cell r="F5685" t="str">
            <v>LIBRO</v>
          </cell>
          <cell r="H5685" t="str">
            <v>H. MANCHA</v>
          </cell>
          <cell r="I5685">
            <v>7.1639999999999997</v>
          </cell>
        </row>
        <row r="5686">
          <cell r="A5686" t="str">
            <v>19-05686</v>
          </cell>
          <cell r="B5686" t="str">
            <v>H. MANCHA</v>
          </cell>
          <cell r="C5686" t="str">
            <v>A</v>
          </cell>
          <cell r="D5686" t="str">
            <v>NO</v>
          </cell>
          <cell r="E5686" t="str">
            <v>ART OF DRAWING DRAGONS</v>
          </cell>
          <cell r="F5686" t="str">
            <v>LIBRO</v>
          </cell>
          <cell r="H5686" t="str">
            <v>H. MANCHA</v>
          </cell>
          <cell r="I5686">
            <v>18.683</v>
          </cell>
        </row>
        <row r="5687">
          <cell r="A5687" t="str">
            <v>19-05687</v>
          </cell>
          <cell r="B5687" t="str">
            <v>H. MANCHA</v>
          </cell>
          <cell r="C5687" t="str">
            <v>A</v>
          </cell>
          <cell r="D5687" t="str">
            <v>NO</v>
          </cell>
          <cell r="E5687" t="str">
            <v>ART OF WAR, THE</v>
          </cell>
          <cell r="F5687" t="str">
            <v>LIBRO</v>
          </cell>
          <cell r="H5687" t="str">
            <v>H. MANCHA</v>
          </cell>
          <cell r="I5687">
            <v>7.1630000000000003</v>
          </cell>
        </row>
        <row r="5688">
          <cell r="A5688" t="str">
            <v>19-05688</v>
          </cell>
          <cell r="B5688" t="str">
            <v>H. MANCHA</v>
          </cell>
          <cell r="C5688" t="str">
            <v>A</v>
          </cell>
          <cell r="D5688" t="str">
            <v>NO</v>
          </cell>
          <cell r="E5688" t="str">
            <v>AUGGIE &amp; ME (EXP)</v>
          </cell>
          <cell r="F5688" t="str">
            <v>LIBRO</v>
          </cell>
          <cell r="H5688" t="str">
            <v>H. MANCHA</v>
          </cell>
          <cell r="I5688">
            <v>8.6029999999999998</v>
          </cell>
        </row>
        <row r="5689">
          <cell r="A5689" t="str">
            <v>19-05689</v>
          </cell>
          <cell r="B5689" t="str">
            <v>H. MANCHA</v>
          </cell>
          <cell r="C5689" t="str">
            <v>A</v>
          </cell>
          <cell r="D5689" t="str">
            <v>NO</v>
          </cell>
          <cell r="E5689" t="str">
            <v>BABY BEAR</v>
          </cell>
          <cell r="F5689" t="str">
            <v>LIBRO</v>
          </cell>
          <cell r="H5689" t="str">
            <v>H. MANCHA</v>
          </cell>
          <cell r="I5689">
            <v>6.444</v>
          </cell>
        </row>
        <row r="5690">
          <cell r="A5690" t="str">
            <v>19-05690</v>
          </cell>
          <cell r="B5690" t="str">
            <v>H. MANCHA</v>
          </cell>
          <cell r="C5690" t="str">
            <v>A</v>
          </cell>
          <cell r="D5690" t="str">
            <v>NO</v>
          </cell>
          <cell r="E5690" t="str">
            <v>BATMAN VOL 01 COURT OF OWLS</v>
          </cell>
          <cell r="F5690" t="str">
            <v>LIBRO</v>
          </cell>
          <cell r="H5690" t="str">
            <v>H. MANCHA</v>
          </cell>
          <cell r="I5690">
            <v>14.363</v>
          </cell>
        </row>
        <row r="5691">
          <cell r="A5691" t="str">
            <v>19-05691</v>
          </cell>
          <cell r="B5691" t="str">
            <v>H. MANCHA</v>
          </cell>
          <cell r="C5691" t="str">
            <v>A</v>
          </cell>
          <cell r="D5691" t="str">
            <v>NO</v>
          </cell>
          <cell r="E5691" t="str">
            <v>BATMAN VOL 02 CITY OF OWLS</v>
          </cell>
          <cell r="F5691" t="str">
            <v>LIBRO</v>
          </cell>
          <cell r="H5691" t="str">
            <v>H. MANCHA</v>
          </cell>
          <cell r="I5691">
            <v>14.363</v>
          </cell>
        </row>
        <row r="5692">
          <cell r="A5692" t="str">
            <v>19-05692</v>
          </cell>
          <cell r="B5692" t="str">
            <v>H. MANCHA</v>
          </cell>
          <cell r="C5692" t="str">
            <v>A</v>
          </cell>
          <cell r="D5692" t="str">
            <v>NO</v>
          </cell>
          <cell r="E5692" t="str">
            <v>BEST OF ME</v>
          </cell>
          <cell r="F5692" t="str">
            <v>LIBRO</v>
          </cell>
          <cell r="H5692" t="str">
            <v>H. MANCHA</v>
          </cell>
          <cell r="I5692">
            <v>7.1639999999999997</v>
          </cell>
        </row>
        <row r="5693">
          <cell r="A5693" t="str">
            <v>19-05693</v>
          </cell>
          <cell r="B5693" t="str">
            <v>H. MANCHA</v>
          </cell>
          <cell r="C5693" t="str">
            <v>A</v>
          </cell>
          <cell r="D5693" t="str">
            <v>NO</v>
          </cell>
          <cell r="E5693" t="str">
            <v>BIBLIA DE BARRO LA</v>
          </cell>
          <cell r="F5693" t="str">
            <v>LIBRO</v>
          </cell>
          <cell r="H5693" t="str">
            <v>H. MANCHA</v>
          </cell>
          <cell r="I5693">
            <v>9.3239999999999998</v>
          </cell>
        </row>
        <row r="5694">
          <cell r="A5694" t="str">
            <v>19-05694</v>
          </cell>
          <cell r="B5694" t="str">
            <v>H. MANCHA</v>
          </cell>
          <cell r="C5694" t="str">
            <v>A</v>
          </cell>
          <cell r="D5694" t="str">
            <v>NO</v>
          </cell>
          <cell r="E5694" t="str">
            <v>BLINK</v>
          </cell>
          <cell r="F5694" t="str">
            <v>LIBRO</v>
          </cell>
          <cell r="H5694" t="str">
            <v>H. MANCHA</v>
          </cell>
          <cell r="I5694">
            <v>7.1630000000000003</v>
          </cell>
        </row>
        <row r="5695">
          <cell r="A5695" t="str">
            <v>19-05695</v>
          </cell>
          <cell r="B5695" t="str">
            <v>H. MANCHA</v>
          </cell>
          <cell r="C5695" t="str">
            <v>A</v>
          </cell>
          <cell r="D5695" t="str">
            <v>NO</v>
          </cell>
          <cell r="E5695" t="str">
            <v>BOOK THIEF, THE</v>
          </cell>
          <cell r="F5695" t="str">
            <v>LIBRO</v>
          </cell>
          <cell r="H5695" t="str">
            <v>H. MANCHA</v>
          </cell>
          <cell r="I5695">
            <v>10.763</v>
          </cell>
        </row>
        <row r="5696">
          <cell r="A5696" t="str">
            <v>19-05696</v>
          </cell>
          <cell r="B5696" t="str">
            <v>H. MANCHA</v>
          </cell>
          <cell r="C5696" t="str">
            <v>A</v>
          </cell>
          <cell r="D5696" t="str">
            <v>NO</v>
          </cell>
          <cell r="E5696" t="str">
            <v>BOSSYPANTS</v>
          </cell>
          <cell r="F5696" t="str">
            <v>LIBRO</v>
          </cell>
          <cell r="H5696" t="str">
            <v>H. MANCHA</v>
          </cell>
          <cell r="I5696">
            <v>7.883</v>
          </cell>
        </row>
        <row r="5697">
          <cell r="A5697" t="str">
            <v>19-05697</v>
          </cell>
          <cell r="B5697" t="str">
            <v>H. MANCHA</v>
          </cell>
          <cell r="C5697" t="str">
            <v>A</v>
          </cell>
          <cell r="D5697" t="str">
            <v>NO</v>
          </cell>
          <cell r="E5697" t="str">
            <v>BOURNE ENIGMA</v>
          </cell>
          <cell r="F5697" t="str">
            <v>LIBRO</v>
          </cell>
          <cell r="H5697" t="str">
            <v>H. MANCHA</v>
          </cell>
          <cell r="I5697">
            <v>13.644</v>
          </cell>
        </row>
        <row r="5698">
          <cell r="A5698" t="str">
            <v>19-05698</v>
          </cell>
          <cell r="B5698" t="str">
            <v>H. MANCHA</v>
          </cell>
          <cell r="C5698" t="str">
            <v>A</v>
          </cell>
          <cell r="D5698" t="str">
            <v>NO</v>
          </cell>
          <cell r="E5698" t="str">
            <v>BRUJULAS QUE BUSCAN SONRISAS</v>
          </cell>
          <cell r="F5698" t="str">
            <v>LIBRO</v>
          </cell>
          <cell r="H5698" t="str">
            <v>H. MANCHA</v>
          </cell>
          <cell r="I5698">
            <v>8.6050000000000004</v>
          </cell>
        </row>
        <row r="5699">
          <cell r="A5699" t="str">
            <v>19-05699</v>
          </cell>
          <cell r="B5699" t="str">
            <v>H. MANCHA</v>
          </cell>
          <cell r="C5699" t="str">
            <v>A</v>
          </cell>
          <cell r="D5699" t="str">
            <v>NO</v>
          </cell>
          <cell r="E5699" t="str">
            <v>CAMPO DE BATALLA DE LA M</v>
          </cell>
          <cell r="F5699" t="str">
            <v>LIBRO</v>
          </cell>
          <cell r="H5699" t="str">
            <v>H. MANCHA</v>
          </cell>
          <cell r="I5699">
            <v>11.483000000000001</v>
          </cell>
        </row>
        <row r="5700">
          <cell r="A5700" t="str">
            <v>19-05700</v>
          </cell>
          <cell r="B5700" t="str">
            <v>H. MANCHA</v>
          </cell>
          <cell r="C5700" t="str">
            <v>A</v>
          </cell>
          <cell r="D5700" t="str">
            <v>NO</v>
          </cell>
          <cell r="E5700" t="str">
            <v>CASUAL VACANCY</v>
          </cell>
          <cell r="F5700" t="str">
            <v>LIBRO</v>
          </cell>
          <cell r="H5700" t="str">
            <v>H. MANCHA</v>
          </cell>
          <cell r="I5700">
            <v>8.6039999999999992</v>
          </cell>
        </row>
        <row r="5701">
          <cell r="A5701" t="str">
            <v>19-05701</v>
          </cell>
          <cell r="B5701" t="str">
            <v>H. MANCHA</v>
          </cell>
          <cell r="C5701" t="str">
            <v>A</v>
          </cell>
          <cell r="D5701" t="str">
            <v>NO</v>
          </cell>
          <cell r="E5701" t="str">
            <v>CATCHER IN THE RYE THE</v>
          </cell>
          <cell r="F5701" t="str">
            <v>LIBRO</v>
          </cell>
          <cell r="H5701" t="str">
            <v>H. MANCHA</v>
          </cell>
          <cell r="I5701">
            <v>8.6039999999999992</v>
          </cell>
        </row>
        <row r="5702">
          <cell r="A5702" t="str">
            <v>19-05702</v>
          </cell>
          <cell r="B5702" t="str">
            <v>H. MANCHA</v>
          </cell>
          <cell r="C5702" t="str">
            <v>A</v>
          </cell>
          <cell r="D5702" t="str">
            <v>NO</v>
          </cell>
          <cell r="E5702" t="str">
            <v>CEREBRO DE PAN</v>
          </cell>
          <cell r="F5702" t="str">
            <v>LIBRO</v>
          </cell>
          <cell r="H5702" t="str">
            <v>H. MANCHA</v>
          </cell>
          <cell r="I5702">
            <v>8.6039999999999992</v>
          </cell>
        </row>
        <row r="5703">
          <cell r="A5703" t="str">
            <v>19-05703</v>
          </cell>
          <cell r="B5703" t="str">
            <v>H. MANCHA</v>
          </cell>
          <cell r="C5703" t="str">
            <v>A</v>
          </cell>
          <cell r="D5703" t="str">
            <v>NO</v>
          </cell>
          <cell r="E5703" t="str">
            <v>CHILD 44</v>
          </cell>
          <cell r="F5703" t="str">
            <v>LIBRO</v>
          </cell>
          <cell r="H5703" t="str">
            <v>H. MANCHA</v>
          </cell>
          <cell r="I5703">
            <v>14.363</v>
          </cell>
        </row>
        <row r="5704">
          <cell r="A5704" t="str">
            <v>19-05704</v>
          </cell>
          <cell r="B5704" t="str">
            <v>H. MANCHA</v>
          </cell>
          <cell r="C5704" t="str">
            <v>A</v>
          </cell>
          <cell r="D5704" t="str">
            <v>NO</v>
          </cell>
          <cell r="E5704" t="str">
            <v>CHOICE (MOVIE)</v>
          </cell>
          <cell r="F5704" t="str">
            <v>LIBRO</v>
          </cell>
          <cell r="H5704" t="str">
            <v>H. MANCHA</v>
          </cell>
          <cell r="I5704">
            <v>7.1639999999999997</v>
          </cell>
        </row>
        <row r="5705">
          <cell r="A5705" t="str">
            <v>19-05705</v>
          </cell>
          <cell r="B5705" t="str">
            <v>H. MANCHA</v>
          </cell>
          <cell r="C5705" t="str">
            <v>A</v>
          </cell>
          <cell r="D5705" t="str">
            <v>NO</v>
          </cell>
          <cell r="E5705" t="str">
            <v>COMO DIRIGIR EQUIPOS DE VENTAS</v>
          </cell>
          <cell r="F5705" t="str">
            <v>LIBRO</v>
          </cell>
          <cell r="H5705" t="str">
            <v>H. MANCHA</v>
          </cell>
          <cell r="I5705">
            <v>7.883</v>
          </cell>
        </row>
        <row r="5706">
          <cell r="A5706" t="str">
            <v>19-05706</v>
          </cell>
          <cell r="B5706" t="str">
            <v>H. MANCHA</v>
          </cell>
          <cell r="C5706" t="str">
            <v>A</v>
          </cell>
          <cell r="D5706" t="str">
            <v>NO</v>
          </cell>
          <cell r="E5706" t="str">
            <v>CONFIDENT WOMAN DEVOTION</v>
          </cell>
          <cell r="F5706" t="str">
            <v>LIBRO</v>
          </cell>
          <cell r="H5706" t="str">
            <v>H. MANCHA</v>
          </cell>
          <cell r="I5706">
            <v>15.085000000000001</v>
          </cell>
        </row>
        <row r="5707">
          <cell r="A5707" t="str">
            <v>19-05707</v>
          </cell>
          <cell r="B5707" t="str">
            <v>H. MANCHA</v>
          </cell>
          <cell r="C5707" t="str">
            <v>A</v>
          </cell>
          <cell r="D5707" t="str">
            <v>NO</v>
          </cell>
          <cell r="E5707" t="str">
            <v>CROSS JUSTICE</v>
          </cell>
          <cell r="F5707" t="str">
            <v>LIBRO</v>
          </cell>
          <cell r="H5707" t="str">
            <v>H. MANCHA</v>
          </cell>
          <cell r="I5707">
            <v>7.1639999999999997</v>
          </cell>
        </row>
        <row r="5708">
          <cell r="A5708" t="str">
            <v>19-05708</v>
          </cell>
          <cell r="B5708" t="str">
            <v>H. MANCHA</v>
          </cell>
          <cell r="C5708" t="str">
            <v>A</v>
          </cell>
          <cell r="D5708" t="str">
            <v>NO</v>
          </cell>
          <cell r="E5708" t="str">
            <v>CUENTAME ESTA NOCHE</v>
          </cell>
          <cell r="F5708" t="str">
            <v>LIBRO</v>
          </cell>
          <cell r="H5708" t="str">
            <v>H. MANCHA</v>
          </cell>
          <cell r="I5708">
            <v>0</v>
          </cell>
        </row>
        <row r="5709">
          <cell r="A5709" t="str">
            <v>19-05709</v>
          </cell>
          <cell r="B5709" t="str">
            <v>H. MANCHA</v>
          </cell>
          <cell r="C5709" t="str">
            <v>A</v>
          </cell>
          <cell r="D5709" t="str">
            <v>NO</v>
          </cell>
          <cell r="E5709" t="str">
            <v>CUENTOS PARA LEER ANTES DE DORMIR</v>
          </cell>
          <cell r="F5709" t="str">
            <v>LIBRO</v>
          </cell>
          <cell r="H5709" t="str">
            <v>H. MANCHA</v>
          </cell>
          <cell r="I5709">
            <v>8.6050000000000004</v>
          </cell>
        </row>
        <row r="5710">
          <cell r="A5710" t="str">
            <v>19-05710</v>
          </cell>
          <cell r="B5710" t="str">
            <v>H. MANCHA</v>
          </cell>
          <cell r="C5710" t="str">
            <v>A</v>
          </cell>
          <cell r="D5710" t="str">
            <v>NO</v>
          </cell>
          <cell r="E5710" t="str">
            <v>DA VINCI CODE, THE (EXP)</v>
          </cell>
          <cell r="F5710" t="str">
            <v>LIBRO</v>
          </cell>
          <cell r="H5710" t="str">
            <v>H. MANCHA</v>
          </cell>
          <cell r="I5710">
            <v>7.883</v>
          </cell>
        </row>
        <row r="5711">
          <cell r="A5711" t="str">
            <v>19-05711</v>
          </cell>
          <cell r="B5711" t="str">
            <v>H. MANCHA</v>
          </cell>
          <cell r="C5711" t="str">
            <v>A</v>
          </cell>
          <cell r="D5711" t="str">
            <v>NO</v>
          </cell>
          <cell r="E5711" t="str">
            <v>DARK DISCIPLE: SW</v>
          </cell>
          <cell r="F5711" t="str">
            <v>LIBRO</v>
          </cell>
          <cell r="H5711" t="str">
            <v>H. MANCHA</v>
          </cell>
          <cell r="I5711">
            <v>8.6029999999999998</v>
          </cell>
        </row>
        <row r="5712">
          <cell r="A5712" t="str">
            <v>19-05712</v>
          </cell>
          <cell r="B5712" t="str">
            <v>H. MANCHA</v>
          </cell>
          <cell r="C5712" t="str">
            <v>A</v>
          </cell>
          <cell r="D5712" t="str">
            <v>NO</v>
          </cell>
          <cell r="E5712" t="str">
            <v>DARK KNIGHT RETURNS 30TH ANN</v>
          </cell>
          <cell r="F5712" t="str">
            <v>LIBRO</v>
          </cell>
          <cell r="H5712" t="str">
            <v>H. MANCHA</v>
          </cell>
          <cell r="I5712">
            <v>17.242999999999999</v>
          </cell>
        </row>
        <row r="5713">
          <cell r="A5713" t="str">
            <v>19-05713</v>
          </cell>
          <cell r="B5713" t="str">
            <v>H. MANCHA</v>
          </cell>
          <cell r="C5713" t="str">
            <v>A</v>
          </cell>
          <cell r="D5713" t="str">
            <v>NO</v>
          </cell>
          <cell r="E5713" t="str">
            <v>DARK MATTER</v>
          </cell>
          <cell r="F5713" t="str">
            <v>LIBRO</v>
          </cell>
          <cell r="H5713" t="str">
            <v>H. MANCHA</v>
          </cell>
          <cell r="I5713">
            <v>8.6029999999999998</v>
          </cell>
        </row>
        <row r="5714">
          <cell r="A5714" t="str">
            <v>19-05714</v>
          </cell>
          <cell r="B5714" t="str">
            <v>H. MANCHA</v>
          </cell>
          <cell r="C5714" t="str">
            <v>A</v>
          </cell>
          <cell r="D5714" t="str">
            <v>NO</v>
          </cell>
          <cell r="E5714" t="str">
            <v>DARK PLACES(EXP) MM</v>
          </cell>
          <cell r="F5714" t="str">
            <v>LIBRO</v>
          </cell>
          <cell r="H5714" t="str">
            <v>H. MANCHA</v>
          </cell>
          <cell r="I5714">
            <v>7.8849999999999998</v>
          </cell>
        </row>
        <row r="5715">
          <cell r="A5715" t="str">
            <v>19-05715</v>
          </cell>
          <cell r="B5715" t="str">
            <v>H. MANCHA</v>
          </cell>
          <cell r="C5715" t="str">
            <v>A</v>
          </cell>
          <cell r="D5715" t="str">
            <v>NO</v>
          </cell>
          <cell r="E5715" t="str">
            <v>DARKEST CORNERS, THE</v>
          </cell>
          <cell r="F5715" t="str">
            <v>LIBRO</v>
          </cell>
          <cell r="H5715" t="str">
            <v>H. MANCHA</v>
          </cell>
          <cell r="I5715">
            <v>8.6029999999999998</v>
          </cell>
        </row>
        <row r="5716">
          <cell r="A5716" t="str">
            <v>19-05716</v>
          </cell>
          <cell r="B5716" t="str">
            <v>H. MANCHA</v>
          </cell>
          <cell r="C5716" t="str">
            <v>A</v>
          </cell>
          <cell r="D5716" t="str">
            <v>NO</v>
          </cell>
          <cell r="E5716" t="str">
            <v>DAVID AND GOLIATH</v>
          </cell>
          <cell r="F5716" t="str">
            <v>LIBRO</v>
          </cell>
          <cell r="H5716" t="str">
            <v>H. MANCHA</v>
          </cell>
          <cell r="I5716">
            <v>7.8840000000000003</v>
          </cell>
        </row>
        <row r="5717">
          <cell r="A5717" t="str">
            <v>19-05717</v>
          </cell>
          <cell r="B5717" t="str">
            <v>H. MANCHA</v>
          </cell>
          <cell r="C5717" t="str">
            <v>A</v>
          </cell>
          <cell r="D5717" t="str">
            <v>NO</v>
          </cell>
          <cell r="E5717" t="str">
            <v>DEMIGODS &amp; MAGICIANS</v>
          </cell>
          <cell r="F5717" t="str">
            <v>LIBRO</v>
          </cell>
          <cell r="H5717" t="str">
            <v>H. MANCHA</v>
          </cell>
          <cell r="I5717">
            <v>8.6039999999999992</v>
          </cell>
        </row>
        <row r="5718">
          <cell r="A5718" t="str">
            <v>19-05718</v>
          </cell>
          <cell r="B5718" t="str">
            <v>H. MANCHA</v>
          </cell>
          <cell r="C5718" t="str">
            <v>A</v>
          </cell>
          <cell r="D5718" t="str">
            <v>NO</v>
          </cell>
          <cell r="E5718" t="str">
            <v>DIARY OF A WIMPY KID 10  OLD SCHOOL</v>
          </cell>
          <cell r="F5718" t="str">
            <v>LIBRO</v>
          </cell>
          <cell r="H5718" t="str">
            <v>H. MANCHA</v>
          </cell>
          <cell r="I5718">
            <v>7.1630000000000003</v>
          </cell>
        </row>
        <row r="5719">
          <cell r="A5719" t="str">
            <v>19-05719</v>
          </cell>
          <cell r="B5719" t="str">
            <v>H. MANCHA</v>
          </cell>
          <cell r="C5719" t="str">
            <v>A</v>
          </cell>
          <cell r="D5719" t="str">
            <v>NO</v>
          </cell>
          <cell r="E5719" t="str">
            <v>DIARY OF A WIMPY KID 2 RODRICK RULES</v>
          </cell>
          <cell r="F5719" t="str">
            <v>LIBRO</v>
          </cell>
          <cell r="H5719" t="str">
            <v>H. MANCHA</v>
          </cell>
          <cell r="I5719">
            <v>7.1630000000000003</v>
          </cell>
        </row>
        <row r="5720">
          <cell r="A5720" t="str">
            <v>19-05720</v>
          </cell>
          <cell r="B5720" t="str">
            <v>H. MANCHA</v>
          </cell>
          <cell r="C5720" t="str">
            <v>A</v>
          </cell>
          <cell r="D5720" t="str">
            <v>NO</v>
          </cell>
          <cell r="E5720" t="str">
            <v>DIARY OF A WIMPY KID 3 THE LAST STRAW</v>
          </cell>
          <cell r="F5720" t="str">
            <v>LIBRO</v>
          </cell>
          <cell r="H5720" t="str">
            <v>H. MANCHA</v>
          </cell>
          <cell r="I5720">
            <v>7.1630000000000003</v>
          </cell>
        </row>
        <row r="5721">
          <cell r="A5721" t="str">
            <v>19-05721</v>
          </cell>
          <cell r="B5721" t="str">
            <v>H. MANCHA</v>
          </cell>
          <cell r="C5721" t="str">
            <v>A</v>
          </cell>
          <cell r="D5721" t="str">
            <v>NO</v>
          </cell>
          <cell r="E5721" t="str">
            <v>DIARY OF A WIMPY KID 4 DOG DAYS</v>
          </cell>
          <cell r="F5721" t="str">
            <v>LIBRO</v>
          </cell>
          <cell r="H5721" t="str">
            <v>H. MANCHA</v>
          </cell>
          <cell r="I5721">
            <v>7.1630000000000003</v>
          </cell>
        </row>
        <row r="5722">
          <cell r="A5722" t="str">
            <v>19-05722</v>
          </cell>
          <cell r="B5722" t="str">
            <v>H. MANCHA</v>
          </cell>
          <cell r="C5722" t="str">
            <v>A</v>
          </cell>
          <cell r="D5722" t="str">
            <v>NO</v>
          </cell>
          <cell r="E5722" t="str">
            <v>DIARY OF A WIMPY KID 5 THE UGLY TRUTH</v>
          </cell>
          <cell r="F5722" t="str">
            <v>LIBRO</v>
          </cell>
          <cell r="H5722" t="str">
            <v>H. MANCHA</v>
          </cell>
          <cell r="I5722">
            <v>7.1630000000000003</v>
          </cell>
        </row>
        <row r="5723">
          <cell r="A5723" t="str">
            <v>19-05723</v>
          </cell>
          <cell r="B5723" t="str">
            <v>H. MANCHA</v>
          </cell>
          <cell r="C5723" t="str">
            <v>A</v>
          </cell>
          <cell r="D5723" t="str">
            <v>NO</v>
          </cell>
          <cell r="E5723" t="str">
            <v>DIARY OF A WIMPY KID 6 CABIN FEVER</v>
          </cell>
          <cell r="F5723" t="str">
            <v>LIBRO</v>
          </cell>
          <cell r="H5723" t="str">
            <v>H. MANCHA</v>
          </cell>
          <cell r="I5723">
            <v>7.1630000000000003</v>
          </cell>
        </row>
        <row r="5724">
          <cell r="A5724" t="str">
            <v>19-05724</v>
          </cell>
          <cell r="B5724" t="str">
            <v>H. MANCHA</v>
          </cell>
          <cell r="C5724" t="str">
            <v>A</v>
          </cell>
          <cell r="D5724" t="str">
            <v>NO</v>
          </cell>
          <cell r="E5724" t="str">
            <v>DIARY OF A WIMPY KID 7 THE THIRD WHEEL</v>
          </cell>
          <cell r="F5724" t="str">
            <v>LIBRO</v>
          </cell>
          <cell r="H5724" t="str">
            <v>H. MANCHA</v>
          </cell>
          <cell r="I5724">
            <v>7.1630000000000003</v>
          </cell>
        </row>
        <row r="5725">
          <cell r="A5725" t="str">
            <v>19-05725</v>
          </cell>
          <cell r="B5725" t="str">
            <v>H. MANCHA</v>
          </cell>
          <cell r="C5725" t="str">
            <v>A</v>
          </cell>
          <cell r="D5725" t="str">
            <v>NO</v>
          </cell>
          <cell r="E5725" t="str">
            <v>DIARY OF A WIMPY KID 8 HARD LUCK</v>
          </cell>
          <cell r="F5725" t="str">
            <v>LIBRO</v>
          </cell>
          <cell r="H5725" t="str">
            <v>H. MANCHA</v>
          </cell>
          <cell r="I5725">
            <v>7.1630000000000003</v>
          </cell>
        </row>
        <row r="5726">
          <cell r="A5726" t="str">
            <v>19-05726</v>
          </cell>
          <cell r="B5726" t="str">
            <v>H. MANCHA</v>
          </cell>
          <cell r="C5726" t="str">
            <v>A</v>
          </cell>
          <cell r="D5726" t="str">
            <v>NO</v>
          </cell>
          <cell r="E5726" t="str">
            <v>DIARY OF A WIMPY KID 9 THE LONG HAUL</v>
          </cell>
          <cell r="F5726" t="str">
            <v>LIBRO</v>
          </cell>
          <cell r="H5726" t="str">
            <v>H. MANCHA</v>
          </cell>
          <cell r="I5726">
            <v>7.1630000000000003</v>
          </cell>
        </row>
        <row r="5727">
          <cell r="A5727" t="str">
            <v>19-05727</v>
          </cell>
          <cell r="B5727" t="str">
            <v>H. MANCHA</v>
          </cell>
          <cell r="C5727" t="str">
            <v>A</v>
          </cell>
          <cell r="D5727" t="str">
            <v>NO</v>
          </cell>
          <cell r="E5727" t="str">
            <v>DIARY OF A YOUNG GIRL, THE</v>
          </cell>
          <cell r="F5727" t="str">
            <v>LIBRO</v>
          </cell>
          <cell r="H5727" t="str">
            <v>H. MANCHA</v>
          </cell>
          <cell r="I5727">
            <v>6.4429999999999996</v>
          </cell>
        </row>
        <row r="5728">
          <cell r="A5728" t="str">
            <v>19-05728</v>
          </cell>
          <cell r="B5728" t="str">
            <v>H. MANCHA</v>
          </cell>
          <cell r="C5728" t="str">
            <v>A</v>
          </cell>
          <cell r="D5728" t="str">
            <v>NO</v>
          </cell>
          <cell r="E5728" t="str">
            <v>DIARY OF WIMPY KID 11 DOUBLE DOWN</v>
          </cell>
          <cell r="F5728" t="str">
            <v>LIBRO</v>
          </cell>
          <cell r="H5728" t="str">
            <v>H. MANCHA</v>
          </cell>
          <cell r="I5728">
            <v>11.484</v>
          </cell>
        </row>
        <row r="5729">
          <cell r="A5729" t="str">
            <v>19-05729</v>
          </cell>
          <cell r="B5729" t="str">
            <v>H. MANCHA</v>
          </cell>
          <cell r="C5729" t="str">
            <v>A</v>
          </cell>
          <cell r="D5729" t="str">
            <v>NO</v>
          </cell>
          <cell r="E5729" t="str">
            <v>DISAPPEARING SPOON THE</v>
          </cell>
          <cell r="F5729" t="str">
            <v>LIBRO</v>
          </cell>
          <cell r="H5729" t="str">
            <v>H. MANCHA</v>
          </cell>
          <cell r="I5729">
            <v>15.083</v>
          </cell>
        </row>
        <row r="5730">
          <cell r="A5730" t="str">
            <v>19-05730</v>
          </cell>
          <cell r="B5730" t="str">
            <v>H. MANCHA</v>
          </cell>
          <cell r="C5730" t="str">
            <v>A</v>
          </cell>
          <cell r="D5730" t="str">
            <v>NO</v>
          </cell>
          <cell r="E5730" t="str">
            <v>DISCIPLINA SIN LAGRIMAS</v>
          </cell>
          <cell r="F5730" t="str">
            <v>LIBRO</v>
          </cell>
          <cell r="H5730" t="str">
            <v>H. MANCHA</v>
          </cell>
          <cell r="I5730">
            <v>15.084</v>
          </cell>
        </row>
        <row r="5731">
          <cell r="A5731" t="str">
            <v>19-05731</v>
          </cell>
          <cell r="B5731" t="str">
            <v>H. MANCHA</v>
          </cell>
          <cell r="C5731" t="str">
            <v>A</v>
          </cell>
          <cell r="D5731" t="str">
            <v>NO</v>
          </cell>
          <cell r="E5731" t="str">
            <v>DIVINERS THE</v>
          </cell>
          <cell r="F5731" t="str">
            <v>LIBRO</v>
          </cell>
          <cell r="H5731" t="str">
            <v>H. MANCHA</v>
          </cell>
          <cell r="I5731">
            <v>11.483000000000001</v>
          </cell>
        </row>
        <row r="5732">
          <cell r="A5732" t="str">
            <v>19-05732</v>
          </cell>
          <cell r="B5732" t="str">
            <v>H. MANCHA</v>
          </cell>
          <cell r="C5732" t="str">
            <v>A</v>
          </cell>
          <cell r="D5732" t="str">
            <v>NO</v>
          </cell>
          <cell r="E5732" t="str">
            <v>DORY READ ALONG</v>
          </cell>
          <cell r="F5732" t="str">
            <v>LIBRO</v>
          </cell>
          <cell r="H5732" t="str">
            <v>H. MANCHA</v>
          </cell>
          <cell r="I5732">
            <v>5.7240000000000002</v>
          </cell>
        </row>
        <row r="5733">
          <cell r="A5733" t="str">
            <v>19-05733</v>
          </cell>
          <cell r="B5733" t="str">
            <v>H. MANCHA</v>
          </cell>
          <cell r="C5733" t="str">
            <v>A</v>
          </cell>
          <cell r="D5733" t="str">
            <v>NO</v>
          </cell>
          <cell r="E5733" t="str">
            <v>DRAGON 10 HOW TO SIZE A</v>
          </cell>
          <cell r="F5733" t="str">
            <v>LIBRO</v>
          </cell>
          <cell r="H5733" t="str">
            <v>H. MANCHA</v>
          </cell>
          <cell r="I5733">
            <v>7.1630000000000003</v>
          </cell>
        </row>
        <row r="5734">
          <cell r="A5734" t="str">
            <v>19-05734</v>
          </cell>
          <cell r="B5734" t="str">
            <v>H. MANCHA</v>
          </cell>
          <cell r="C5734" t="str">
            <v>A</v>
          </cell>
          <cell r="D5734" t="str">
            <v>NO</v>
          </cell>
          <cell r="E5734" t="str">
            <v>DRAGON 11 HOW TO BETRAY</v>
          </cell>
          <cell r="F5734" t="str">
            <v>LIBRO</v>
          </cell>
          <cell r="H5734" t="str">
            <v>H. MANCHA</v>
          </cell>
          <cell r="I5734">
            <v>11.483000000000001</v>
          </cell>
        </row>
        <row r="5735">
          <cell r="A5735" t="str">
            <v>19-05735</v>
          </cell>
          <cell r="B5735" t="str">
            <v>H. MANCHA</v>
          </cell>
          <cell r="C5735" t="str">
            <v>A</v>
          </cell>
          <cell r="D5735" t="str">
            <v>NO</v>
          </cell>
          <cell r="E5735" t="str">
            <v>DRAGON SPECIAL EDITION</v>
          </cell>
          <cell r="F5735" t="str">
            <v>LIBRO</v>
          </cell>
          <cell r="H5735" t="str">
            <v>H. MANCHA</v>
          </cell>
          <cell r="I5735">
            <v>8.6039999999999992</v>
          </cell>
        </row>
        <row r="5736">
          <cell r="A5736" t="str">
            <v>19-05736</v>
          </cell>
          <cell r="B5736" t="str">
            <v>H. MANCHA</v>
          </cell>
          <cell r="C5736" t="str">
            <v>A</v>
          </cell>
          <cell r="D5736" t="str">
            <v>NO</v>
          </cell>
          <cell r="E5736" t="str">
            <v>EL PATITO QUE NUNCA LLEGO A SER CISNE</v>
          </cell>
          <cell r="F5736" t="str">
            <v>LIBRO</v>
          </cell>
          <cell r="H5736" t="str">
            <v>H. MANCHA</v>
          </cell>
          <cell r="I5736">
            <v>11.484</v>
          </cell>
        </row>
        <row r="5737">
          <cell r="A5737" t="str">
            <v>19-05737</v>
          </cell>
          <cell r="B5737" t="str">
            <v>H. MANCHA</v>
          </cell>
          <cell r="C5737" t="str">
            <v>A</v>
          </cell>
          <cell r="D5737" t="str">
            <v>NO</v>
          </cell>
          <cell r="E5737" t="str">
            <v>EL SECRETO DE LA MODELO EXTRAVIADA</v>
          </cell>
          <cell r="F5737" t="str">
            <v>LIBRO</v>
          </cell>
          <cell r="H5737" t="str">
            <v>H. MANCHA</v>
          </cell>
          <cell r="I5737">
            <v>11.484</v>
          </cell>
        </row>
        <row r="5738">
          <cell r="A5738" t="str">
            <v>19-05738</v>
          </cell>
          <cell r="B5738" t="str">
            <v>H. MANCHA</v>
          </cell>
          <cell r="C5738" t="str">
            <v>A</v>
          </cell>
          <cell r="D5738" t="str">
            <v>NO</v>
          </cell>
          <cell r="E5738" t="str">
            <v>EL TIEMPO, LA PNL Y LA INTELIGENCIA EMOCIONAL</v>
          </cell>
          <cell r="F5738" t="str">
            <v>LIBRO</v>
          </cell>
          <cell r="H5738" t="str">
            <v>H. MANCHA</v>
          </cell>
          <cell r="I5738">
            <v>18.684000000000001</v>
          </cell>
        </row>
        <row r="5739">
          <cell r="A5739" t="str">
            <v>19-05739</v>
          </cell>
          <cell r="B5739" t="str">
            <v>H. MANCHA</v>
          </cell>
          <cell r="C5739" t="str">
            <v>A</v>
          </cell>
          <cell r="D5739" t="str">
            <v>NO</v>
          </cell>
          <cell r="E5739" t="str">
            <v>EVERY DAY</v>
          </cell>
          <cell r="F5739" t="str">
            <v>LIBRO</v>
          </cell>
          <cell r="H5739" t="str">
            <v>H. MANCHA</v>
          </cell>
          <cell r="I5739">
            <v>8.6029999999999998</v>
          </cell>
        </row>
        <row r="5740">
          <cell r="A5740" t="str">
            <v>19-05740</v>
          </cell>
          <cell r="B5740" t="str">
            <v>H. MANCHA</v>
          </cell>
          <cell r="C5740" t="str">
            <v>A</v>
          </cell>
          <cell r="D5740" t="str">
            <v>NO</v>
          </cell>
          <cell r="E5740" t="str">
            <v>EVERYTHING, EVERYTHING</v>
          </cell>
          <cell r="F5740" t="str">
            <v>LIBRO</v>
          </cell>
          <cell r="H5740" t="str">
            <v>H. MANCHA</v>
          </cell>
          <cell r="I5740">
            <v>9.3230000000000004</v>
          </cell>
        </row>
        <row r="5741">
          <cell r="A5741" t="str">
            <v>19-05741</v>
          </cell>
          <cell r="B5741" t="str">
            <v>H. MANCHA</v>
          </cell>
          <cell r="C5741" t="str">
            <v>A</v>
          </cell>
          <cell r="D5741" t="str">
            <v>NO</v>
          </cell>
          <cell r="E5741" t="str">
            <v>EXTRANO VERANO DE TOM HA</v>
          </cell>
          <cell r="F5741" t="str">
            <v>LIBRO</v>
          </cell>
          <cell r="H5741" t="str">
            <v>H. MANCHA</v>
          </cell>
          <cell r="I5741">
            <v>14.364000000000001</v>
          </cell>
        </row>
        <row r="5742">
          <cell r="A5742" t="str">
            <v>19-05742</v>
          </cell>
          <cell r="B5742" t="str">
            <v>H. MANCHA</v>
          </cell>
          <cell r="C5742" t="str">
            <v>A</v>
          </cell>
          <cell r="D5742" t="str">
            <v>NO</v>
          </cell>
          <cell r="E5742" t="str">
            <v>FANTASTIC STRUCTURES</v>
          </cell>
          <cell r="F5742" t="str">
            <v>LIBRO</v>
          </cell>
          <cell r="H5742" t="str">
            <v>H. MANCHA</v>
          </cell>
          <cell r="I5742">
            <v>13.643000000000001</v>
          </cell>
        </row>
        <row r="5743">
          <cell r="A5743" t="str">
            <v>19-05743</v>
          </cell>
          <cell r="B5743" t="str">
            <v>H. MANCHA</v>
          </cell>
          <cell r="C5743" t="str">
            <v>A</v>
          </cell>
          <cell r="D5743" t="str">
            <v>NO</v>
          </cell>
          <cell r="E5743" t="str">
            <v>FAULT IN OUR STARS</v>
          </cell>
          <cell r="F5743" t="str">
            <v>LIBRO</v>
          </cell>
          <cell r="H5743" t="str">
            <v>H. MANCHA</v>
          </cell>
          <cell r="I5743">
            <v>8.6039999999999992</v>
          </cell>
        </row>
        <row r="5744">
          <cell r="A5744" t="str">
            <v>19-05744</v>
          </cell>
          <cell r="B5744" t="str">
            <v>H. MANCHA</v>
          </cell>
          <cell r="C5744" t="str">
            <v>A</v>
          </cell>
          <cell r="D5744" t="str">
            <v>NO</v>
          </cell>
          <cell r="E5744" t="str">
            <v>FEVER CODE, THE (EXP)</v>
          </cell>
          <cell r="F5744" t="str">
            <v>LIBRO</v>
          </cell>
          <cell r="H5744" t="str">
            <v>H. MANCHA</v>
          </cell>
          <cell r="I5744">
            <v>10.763</v>
          </cell>
        </row>
        <row r="5745">
          <cell r="A5745" t="str">
            <v>19-05745</v>
          </cell>
          <cell r="B5745" t="str">
            <v>H. MANCHA</v>
          </cell>
          <cell r="C5745" t="str">
            <v>A</v>
          </cell>
          <cell r="D5745" t="str">
            <v>NO</v>
          </cell>
          <cell r="E5745" t="str">
            <v>FINAL PERFECTO EL</v>
          </cell>
          <cell r="F5745" t="str">
            <v>LIBRO</v>
          </cell>
          <cell r="H5745" t="str">
            <v>H. MANCHA</v>
          </cell>
          <cell r="I5745">
            <v>12.923999999999999</v>
          </cell>
        </row>
        <row r="5746">
          <cell r="A5746" t="str">
            <v>19-05746</v>
          </cell>
          <cell r="B5746" t="str">
            <v>H. MANCHA</v>
          </cell>
          <cell r="C5746" t="str">
            <v>A</v>
          </cell>
          <cell r="D5746" t="str">
            <v>NO</v>
          </cell>
          <cell r="E5746" t="str">
            <v>FIVE PEOPLE YOU MEET IN</v>
          </cell>
          <cell r="F5746" t="str">
            <v>LIBRO</v>
          </cell>
          <cell r="H5746" t="str">
            <v>H. MANCHA</v>
          </cell>
          <cell r="I5746">
            <v>8.6050000000000004</v>
          </cell>
        </row>
        <row r="5747">
          <cell r="A5747" t="str">
            <v>19-05747</v>
          </cell>
          <cell r="B5747" t="str">
            <v>H. MANCHA</v>
          </cell>
          <cell r="C5747" t="str">
            <v>A</v>
          </cell>
          <cell r="D5747" t="str">
            <v>NO</v>
          </cell>
          <cell r="E5747" t="str">
            <v>FROZEN BOOK ROYAL SISTER</v>
          </cell>
          <cell r="F5747" t="str">
            <v>LIBRO</v>
          </cell>
          <cell r="H5747" t="str">
            <v>H. MANCHA</v>
          </cell>
          <cell r="I5747">
            <v>12.923</v>
          </cell>
        </row>
        <row r="5748">
          <cell r="A5748" t="str">
            <v>19-05748</v>
          </cell>
          <cell r="B5748" t="str">
            <v>H. MANCHA</v>
          </cell>
          <cell r="C5748" t="str">
            <v>A</v>
          </cell>
          <cell r="D5748" t="str">
            <v>NO</v>
          </cell>
          <cell r="E5748" t="str">
            <v>GAME OF LIVES THE</v>
          </cell>
          <cell r="F5748" t="str">
            <v>LIBRO</v>
          </cell>
          <cell r="H5748" t="str">
            <v>H. MANCHA</v>
          </cell>
          <cell r="I5748">
            <v>8.6029999999999998</v>
          </cell>
        </row>
        <row r="5749">
          <cell r="A5749" t="str">
            <v>19-05749</v>
          </cell>
          <cell r="B5749" t="str">
            <v>H. MANCHA</v>
          </cell>
          <cell r="C5749" t="str">
            <v>A</v>
          </cell>
          <cell r="D5749" t="str">
            <v>NO</v>
          </cell>
          <cell r="E5749" t="str">
            <v>GANE DINERO EN BOLSA</v>
          </cell>
          <cell r="F5749" t="str">
            <v>LIBRO</v>
          </cell>
          <cell r="H5749" t="str">
            <v>H. MANCHA</v>
          </cell>
          <cell r="I5749">
            <v>15.804</v>
          </cell>
        </row>
        <row r="5750">
          <cell r="A5750" t="str">
            <v>19-05750</v>
          </cell>
          <cell r="B5750" t="str">
            <v>H. MANCHA</v>
          </cell>
          <cell r="C5750" t="str">
            <v>A</v>
          </cell>
          <cell r="D5750" t="str">
            <v>NO</v>
          </cell>
          <cell r="E5750" t="str">
            <v>GIRL IN PIECES (EXP)</v>
          </cell>
          <cell r="F5750" t="str">
            <v>LIBRO</v>
          </cell>
          <cell r="H5750" t="str">
            <v>H. MANCHA</v>
          </cell>
          <cell r="I5750">
            <v>10.042999999999999</v>
          </cell>
        </row>
        <row r="5751">
          <cell r="A5751" t="str">
            <v>19-05751</v>
          </cell>
          <cell r="B5751" t="str">
            <v>H. MANCHA</v>
          </cell>
          <cell r="C5751" t="str">
            <v>A</v>
          </cell>
          <cell r="D5751" t="str">
            <v>NO</v>
          </cell>
          <cell r="E5751" t="str">
            <v>GIRL ON THE TRAIN</v>
          </cell>
          <cell r="F5751" t="str">
            <v>LIBRO</v>
          </cell>
          <cell r="H5751" t="str">
            <v>H. MANCHA</v>
          </cell>
          <cell r="I5751">
            <v>7.883</v>
          </cell>
        </row>
        <row r="5752">
          <cell r="A5752" t="str">
            <v>19-05752</v>
          </cell>
          <cell r="B5752" t="str">
            <v>H. MANCHA</v>
          </cell>
          <cell r="C5752" t="str">
            <v>A</v>
          </cell>
          <cell r="D5752" t="str">
            <v>NO</v>
          </cell>
          <cell r="E5752" t="str">
            <v>GIRL WHO KICKED HORNET(EXP)</v>
          </cell>
          <cell r="F5752" t="str">
            <v>LIBRO</v>
          </cell>
          <cell r="H5752" t="str">
            <v>H. MANCHA</v>
          </cell>
          <cell r="I5752">
            <v>7.1630000000000003</v>
          </cell>
        </row>
        <row r="5753">
          <cell r="A5753" t="str">
            <v>19-05753</v>
          </cell>
          <cell r="B5753" t="str">
            <v>H. MANCHA</v>
          </cell>
          <cell r="C5753" t="str">
            <v>A</v>
          </cell>
          <cell r="D5753" t="str">
            <v>NO</v>
          </cell>
          <cell r="E5753" t="str">
            <v>GIRL WHO PLAYED WITH FIRE(EXP)</v>
          </cell>
          <cell r="F5753" t="str">
            <v>LIBRO</v>
          </cell>
          <cell r="H5753" t="str">
            <v>H. MANCHA</v>
          </cell>
          <cell r="I5753">
            <v>7.1630000000000003</v>
          </cell>
        </row>
        <row r="5754">
          <cell r="A5754" t="str">
            <v>19-05754</v>
          </cell>
          <cell r="B5754" t="str">
            <v>H. MANCHA</v>
          </cell>
          <cell r="C5754" t="str">
            <v>A</v>
          </cell>
          <cell r="D5754" t="str">
            <v>NO</v>
          </cell>
          <cell r="E5754" t="str">
            <v>GIRL WITH THE DRAGON TAT (EXP)</v>
          </cell>
          <cell r="F5754" t="str">
            <v>LIBRO</v>
          </cell>
          <cell r="H5754" t="str">
            <v>H. MANCHA</v>
          </cell>
          <cell r="I5754">
            <v>7.1630000000000003</v>
          </cell>
        </row>
        <row r="5755">
          <cell r="A5755" t="str">
            <v>19-05755</v>
          </cell>
          <cell r="B5755" t="str">
            <v>H. MANCHA</v>
          </cell>
          <cell r="C5755" t="str">
            <v>A</v>
          </cell>
          <cell r="D5755" t="str">
            <v>NO</v>
          </cell>
          <cell r="E5755" t="str">
            <v>GONE GIRL(EXP) MM</v>
          </cell>
          <cell r="F5755" t="str">
            <v>LIBRO</v>
          </cell>
          <cell r="H5755" t="str">
            <v>H. MANCHA</v>
          </cell>
          <cell r="I5755">
            <v>7.1630000000000003</v>
          </cell>
        </row>
        <row r="5756">
          <cell r="A5756" t="str">
            <v>19-05756</v>
          </cell>
          <cell r="B5756" t="str">
            <v>H. MANCHA</v>
          </cell>
          <cell r="C5756" t="str">
            <v>A</v>
          </cell>
          <cell r="D5756" t="str">
            <v>NO</v>
          </cell>
          <cell r="E5756" t="str">
            <v>GOODNIGHT GOODNIGHT</v>
          </cell>
          <cell r="F5756" t="str">
            <v>LIBRO</v>
          </cell>
          <cell r="H5756" t="str">
            <v>H. MANCHA</v>
          </cell>
          <cell r="I5756">
            <v>14.363</v>
          </cell>
        </row>
        <row r="5757">
          <cell r="A5757" t="str">
            <v>19-05757</v>
          </cell>
          <cell r="B5757" t="str">
            <v>H. MANCHA</v>
          </cell>
          <cell r="C5757" t="str">
            <v>A</v>
          </cell>
          <cell r="D5757" t="str">
            <v>NO</v>
          </cell>
          <cell r="E5757" t="str">
            <v>GRAY MOUNTAIN (EXP)</v>
          </cell>
          <cell r="F5757" t="str">
            <v>LIBRO</v>
          </cell>
          <cell r="H5757" t="str">
            <v>H. MANCHA</v>
          </cell>
          <cell r="I5757">
            <v>7.883</v>
          </cell>
        </row>
        <row r="5758">
          <cell r="A5758" t="str">
            <v>19-05758</v>
          </cell>
          <cell r="B5758" t="str">
            <v>H. MANCHA</v>
          </cell>
          <cell r="C5758" t="str">
            <v>A</v>
          </cell>
          <cell r="D5758" t="str">
            <v>NO</v>
          </cell>
          <cell r="E5758" t="str">
            <v>GREFG: RESCATE EN WHITE</v>
          </cell>
          <cell r="F5758" t="str">
            <v>LIBRO</v>
          </cell>
          <cell r="H5758" t="str">
            <v>H. MANCHA</v>
          </cell>
          <cell r="I5758">
            <v>10.044</v>
          </cell>
        </row>
        <row r="5759">
          <cell r="A5759" t="str">
            <v>19-05759</v>
          </cell>
          <cell r="B5759" t="str">
            <v>H. MANCHA</v>
          </cell>
          <cell r="C5759" t="str">
            <v>A</v>
          </cell>
          <cell r="D5759" t="str">
            <v>NO</v>
          </cell>
          <cell r="E5759" t="str">
            <v>HAVE A LITTLE FAITH</v>
          </cell>
          <cell r="F5759" t="str">
            <v>LIBRO</v>
          </cell>
          <cell r="H5759" t="str">
            <v>H. MANCHA</v>
          </cell>
          <cell r="I5759">
            <v>7.1630000000000003</v>
          </cell>
        </row>
        <row r="5760">
          <cell r="A5760" t="str">
            <v>19-05760</v>
          </cell>
          <cell r="B5760" t="str">
            <v>H. MANCHA</v>
          </cell>
          <cell r="C5760" t="str">
            <v>A</v>
          </cell>
          <cell r="D5760" t="str">
            <v>NO</v>
          </cell>
          <cell r="E5760" t="str">
            <v>HEROES OF OLYMPUS 1 LOST</v>
          </cell>
          <cell r="F5760" t="str">
            <v>LIBRO</v>
          </cell>
          <cell r="H5760" t="str">
            <v>H. MANCHA</v>
          </cell>
          <cell r="I5760">
            <v>8.6039999999999992</v>
          </cell>
        </row>
        <row r="5761">
          <cell r="A5761" t="str">
            <v>19-05761</v>
          </cell>
          <cell r="B5761" t="str">
            <v>H. MANCHA</v>
          </cell>
          <cell r="C5761" t="str">
            <v>A</v>
          </cell>
          <cell r="D5761" t="str">
            <v>NO</v>
          </cell>
          <cell r="E5761" t="str">
            <v>HEROES OF OLYMPUS 3 MARK</v>
          </cell>
          <cell r="F5761" t="str">
            <v>LIBRO</v>
          </cell>
          <cell r="H5761" t="str">
            <v>H. MANCHA</v>
          </cell>
          <cell r="I5761">
            <v>8.6039999999999992</v>
          </cell>
        </row>
        <row r="5762">
          <cell r="A5762" t="str">
            <v>19-05762</v>
          </cell>
          <cell r="B5762" t="str">
            <v>H. MANCHA</v>
          </cell>
          <cell r="C5762" t="str">
            <v>A</v>
          </cell>
          <cell r="D5762" t="str">
            <v>NO</v>
          </cell>
          <cell r="E5762" t="str">
            <v>HOLA, TE ACUERDAS DE MI?</v>
          </cell>
          <cell r="F5762" t="str">
            <v>LIBRO</v>
          </cell>
          <cell r="H5762" t="str">
            <v>H. MANCHA</v>
          </cell>
          <cell r="I5762">
            <v>8.6039999999999992</v>
          </cell>
        </row>
        <row r="5763">
          <cell r="A5763" t="str">
            <v>19-05763</v>
          </cell>
          <cell r="B5763" t="str">
            <v>H. MANCHA</v>
          </cell>
          <cell r="C5763" t="str">
            <v>A</v>
          </cell>
          <cell r="D5763" t="str">
            <v>NO</v>
          </cell>
          <cell r="E5763" t="str">
            <v>HOLDING UP THE UNIVERSE</v>
          </cell>
          <cell r="F5763" t="str">
            <v>LIBRO</v>
          </cell>
          <cell r="H5763" t="str">
            <v>H. MANCHA</v>
          </cell>
          <cell r="I5763">
            <v>10.042999999999999</v>
          </cell>
        </row>
        <row r="5764">
          <cell r="A5764" t="str">
            <v>19-05764</v>
          </cell>
          <cell r="B5764" t="str">
            <v>H. MANCHA</v>
          </cell>
          <cell r="C5764" t="str">
            <v>A</v>
          </cell>
          <cell r="D5764" t="str">
            <v>NO</v>
          </cell>
          <cell r="E5764" t="str">
            <v>I AM GOING</v>
          </cell>
          <cell r="F5764" t="str">
            <v>LIBRO</v>
          </cell>
          <cell r="H5764" t="str">
            <v>H. MANCHA</v>
          </cell>
          <cell r="I5764">
            <v>9.3239999999999998</v>
          </cell>
        </row>
        <row r="5765">
          <cell r="A5765" t="str">
            <v>19-05765</v>
          </cell>
          <cell r="B5765" t="str">
            <v>H. MANCHA</v>
          </cell>
          <cell r="C5765" t="str">
            <v>A</v>
          </cell>
          <cell r="D5765" t="str">
            <v>NO</v>
          </cell>
          <cell r="E5765" t="str">
            <v>I AM MALALA</v>
          </cell>
          <cell r="F5765" t="str">
            <v>LIBRO</v>
          </cell>
          <cell r="H5765" t="str">
            <v>H. MANCHA</v>
          </cell>
          <cell r="I5765">
            <v>7.1639999999999997</v>
          </cell>
        </row>
        <row r="5766">
          <cell r="A5766" t="str">
            <v>19-05766</v>
          </cell>
          <cell r="B5766" t="str">
            <v>H. MANCHA</v>
          </cell>
          <cell r="C5766" t="str">
            <v>A</v>
          </cell>
          <cell r="D5766" t="str">
            <v>NO</v>
          </cell>
          <cell r="E5766" t="str">
            <v>I BROKE MY TRUNK</v>
          </cell>
          <cell r="F5766" t="str">
            <v>LIBRO</v>
          </cell>
          <cell r="H5766" t="str">
            <v>H. MANCHA</v>
          </cell>
          <cell r="I5766">
            <v>9.3230000000000004</v>
          </cell>
        </row>
        <row r="5767">
          <cell r="A5767" t="str">
            <v>19-05767</v>
          </cell>
          <cell r="B5767" t="str">
            <v>H. MANCHA</v>
          </cell>
          <cell r="C5767" t="str">
            <v>A</v>
          </cell>
          <cell r="D5767" t="str">
            <v>NO</v>
          </cell>
          <cell r="E5767" t="str">
            <v>I LOVE MY NEW TOY</v>
          </cell>
          <cell r="F5767" t="str">
            <v>LIBRO</v>
          </cell>
          <cell r="H5767" t="str">
            <v>H. MANCHA</v>
          </cell>
          <cell r="I5767">
            <v>9.3230000000000004</v>
          </cell>
        </row>
        <row r="5768">
          <cell r="A5768" t="str">
            <v>19-05768</v>
          </cell>
          <cell r="B5768" t="str">
            <v>H. MANCHA</v>
          </cell>
          <cell r="C5768" t="str">
            <v>A</v>
          </cell>
          <cell r="D5768" t="str">
            <v>NO</v>
          </cell>
          <cell r="E5768" t="str">
            <v>I REALLY LIKE SLOP</v>
          </cell>
          <cell r="F5768" t="str">
            <v>LIBRO</v>
          </cell>
          <cell r="H5768" t="str">
            <v>H. MANCHA</v>
          </cell>
          <cell r="I5768">
            <v>9.3230000000000004</v>
          </cell>
        </row>
        <row r="5769">
          <cell r="A5769" t="str">
            <v>19-05769</v>
          </cell>
          <cell r="B5769" t="str">
            <v>H. MANCHA</v>
          </cell>
          <cell r="C5769" t="str">
            <v>A</v>
          </cell>
          <cell r="D5769" t="str">
            <v>NO</v>
          </cell>
          <cell r="E5769" t="str">
            <v>I WILL TAKE A NAP</v>
          </cell>
          <cell r="F5769" t="str">
            <v>LIBRO</v>
          </cell>
          <cell r="H5769" t="str">
            <v>H. MANCHA</v>
          </cell>
          <cell r="I5769">
            <v>9.3230000000000004</v>
          </cell>
        </row>
        <row r="5770">
          <cell r="A5770" t="str">
            <v>19-05770</v>
          </cell>
          <cell r="B5770" t="str">
            <v>H. MANCHA</v>
          </cell>
          <cell r="C5770" t="str">
            <v>A</v>
          </cell>
          <cell r="D5770" t="str">
            <v>NO</v>
          </cell>
          <cell r="E5770" t="str">
            <v>ILLUMINAE</v>
          </cell>
          <cell r="F5770" t="str">
            <v>LIBRO</v>
          </cell>
          <cell r="H5770" t="str">
            <v>H. MANCHA</v>
          </cell>
          <cell r="I5770">
            <v>11.483000000000001</v>
          </cell>
        </row>
        <row r="5771">
          <cell r="A5771" t="str">
            <v>19-05771</v>
          </cell>
          <cell r="B5771" t="str">
            <v>H. MANCHA</v>
          </cell>
          <cell r="C5771" t="str">
            <v>A</v>
          </cell>
          <cell r="D5771" t="str">
            <v>NO</v>
          </cell>
          <cell r="E5771" t="str">
            <v>INTELIGENCIA EMOCIONAL EN UNA SEMANA</v>
          </cell>
          <cell r="F5771" t="str">
            <v>LIBRO</v>
          </cell>
          <cell r="H5771" t="str">
            <v>H. MANCHA</v>
          </cell>
          <cell r="I5771">
            <v>7.8840000000000003</v>
          </cell>
        </row>
        <row r="5772">
          <cell r="A5772" t="str">
            <v>19-05772</v>
          </cell>
          <cell r="B5772" t="str">
            <v>H. MANCHA</v>
          </cell>
          <cell r="C5772" t="str">
            <v>A</v>
          </cell>
          <cell r="D5772" t="str">
            <v>NO</v>
          </cell>
          <cell r="E5772" t="str">
            <v>ITS KIND OF A FUNNY STORY</v>
          </cell>
          <cell r="F5772" t="str">
            <v>LIBRO</v>
          </cell>
          <cell r="H5772" t="str">
            <v>H. MANCHA</v>
          </cell>
          <cell r="I5772">
            <v>8.6039999999999992</v>
          </cell>
        </row>
        <row r="5773">
          <cell r="A5773" t="str">
            <v>19-05773</v>
          </cell>
          <cell r="B5773" t="str">
            <v>H. MANCHA</v>
          </cell>
          <cell r="C5773" t="str">
            <v>A</v>
          </cell>
          <cell r="D5773" t="str">
            <v>NO</v>
          </cell>
          <cell r="E5773" t="str">
            <v>JUDY MOODY ADIVINA EL FUTURO</v>
          </cell>
          <cell r="F5773" t="str">
            <v>LIBRO</v>
          </cell>
          <cell r="H5773" t="str">
            <v>H. MANCHA</v>
          </cell>
          <cell r="I5773">
            <v>8.6050000000000004</v>
          </cell>
        </row>
        <row r="5774">
          <cell r="A5774" t="str">
            <v>19-05774</v>
          </cell>
          <cell r="B5774" t="str">
            <v>H. MANCHA</v>
          </cell>
          <cell r="C5774" t="str">
            <v>A</v>
          </cell>
          <cell r="D5774" t="str">
            <v>NO</v>
          </cell>
          <cell r="E5774" t="str">
            <v>JUDY MOODY SALVA EL PLANETA</v>
          </cell>
          <cell r="F5774" t="str">
            <v>LIBRO</v>
          </cell>
          <cell r="H5774" t="str">
            <v>H. MANCHA</v>
          </cell>
          <cell r="I5774">
            <v>8.6050000000000004</v>
          </cell>
        </row>
        <row r="5775">
          <cell r="A5775" t="str">
            <v>19-05775</v>
          </cell>
          <cell r="B5775" t="str">
            <v>H. MANCHA</v>
          </cell>
          <cell r="C5775" t="str">
            <v>A</v>
          </cell>
          <cell r="D5775" t="str">
            <v>NO</v>
          </cell>
          <cell r="E5775" t="str">
            <v>JUDY MOODY SE DECLARA INDEPENDIENTE</v>
          </cell>
          <cell r="F5775" t="str">
            <v>LIBRO</v>
          </cell>
          <cell r="H5775" t="str">
            <v>H. MANCHA</v>
          </cell>
          <cell r="I5775">
            <v>8.6039999999999992</v>
          </cell>
        </row>
        <row r="5776">
          <cell r="A5776" t="str">
            <v>19-05776</v>
          </cell>
          <cell r="B5776" t="str">
            <v>H. MANCHA</v>
          </cell>
          <cell r="C5776" t="str">
            <v>A</v>
          </cell>
          <cell r="D5776" t="str">
            <v>NO</v>
          </cell>
          <cell r="E5776" t="str">
            <v>JUDY Y STINK FELICES FIESTAS</v>
          </cell>
          <cell r="F5776" t="str">
            <v>LIBRO</v>
          </cell>
          <cell r="H5776" t="str">
            <v>H. MANCHA</v>
          </cell>
          <cell r="I5776">
            <v>9.3230000000000004</v>
          </cell>
        </row>
        <row r="5777">
          <cell r="A5777" t="str">
            <v>19-05777</v>
          </cell>
          <cell r="B5777" t="str">
            <v>H. MANCHA</v>
          </cell>
          <cell r="C5777" t="str">
            <v>A</v>
          </cell>
          <cell r="D5777" t="str">
            <v>NO</v>
          </cell>
          <cell r="E5777" t="str">
            <v>KANE 2 THRONE OF FIRE</v>
          </cell>
          <cell r="F5777" t="str">
            <v>LIBRO</v>
          </cell>
          <cell r="H5777" t="str">
            <v>H. MANCHA</v>
          </cell>
          <cell r="I5777">
            <v>8.6039999999999992</v>
          </cell>
        </row>
        <row r="5778">
          <cell r="A5778" t="str">
            <v>19-05778</v>
          </cell>
          <cell r="B5778" t="str">
            <v>H. MANCHA</v>
          </cell>
          <cell r="C5778" t="str">
            <v>A</v>
          </cell>
          <cell r="D5778" t="str">
            <v>NO</v>
          </cell>
          <cell r="E5778" t="str">
            <v>KANE 3 SERPENTS SHADOW</v>
          </cell>
          <cell r="F5778" t="str">
            <v>LIBRO</v>
          </cell>
          <cell r="H5778" t="str">
            <v>H. MANCHA</v>
          </cell>
          <cell r="I5778">
            <v>8.6039999999999992</v>
          </cell>
        </row>
        <row r="5779">
          <cell r="A5779" t="str">
            <v>19-05779</v>
          </cell>
          <cell r="B5779" t="str">
            <v>H. MANCHA</v>
          </cell>
          <cell r="C5779" t="str">
            <v>A</v>
          </cell>
          <cell r="D5779" t="str">
            <v>NO</v>
          </cell>
          <cell r="E5779" t="str">
            <v>KANE CHRONIC 1 RED PYRAM</v>
          </cell>
          <cell r="F5779" t="str">
            <v>LIBRO</v>
          </cell>
          <cell r="H5779" t="str">
            <v>H. MANCHA</v>
          </cell>
          <cell r="I5779">
            <v>8.6039999999999992</v>
          </cell>
        </row>
        <row r="5780">
          <cell r="A5780" t="str">
            <v>19-05780</v>
          </cell>
          <cell r="B5780" t="str">
            <v>H. MANCHA</v>
          </cell>
          <cell r="C5780" t="str">
            <v>A</v>
          </cell>
          <cell r="D5780" t="str">
            <v>NO</v>
          </cell>
          <cell r="E5780" t="str">
            <v>LAND OF STORIES 1 WISHIN</v>
          </cell>
          <cell r="F5780" t="str">
            <v>LIBRO</v>
          </cell>
          <cell r="H5780" t="str">
            <v>H. MANCHA</v>
          </cell>
          <cell r="I5780">
            <v>7.8840000000000003</v>
          </cell>
        </row>
        <row r="5781">
          <cell r="A5781" t="str">
            <v>19-05781</v>
          </cell>
          <cell r="B5781" t="str">
            <v>H. MANCHA</v>
          </cell>
          <cell r="C5781" t="str">
            <v>A</v>
          </cell>
          <cell r="D5781" t="str">
            <v>NO</v>
          </cell>
          <cell r="E5781" t="str">
            <v>LAND OF STORIES 2 ENCHAN</v>
          </cell>
          <cell r="F5781" t="str">
            <v>LIBRO</v>
          </cell>
          <cell r="H5781" t="str">
            <v>H. MANCHA</v>
          </cell>
          <cell r="I5781">
            <v>8.6039999999999992</v>
          </cell>
        </row>
        <row r="5782">
          <cell r="A5782" t="str">
            <v>19-05782</v>
          </cell>
          <cell r="B5782" t="str">
            <v>H. MANCHA</v>
          </cell>
          <cell r="C5782" t="str">
            <v>A</v>
          </cell>
          <cell r="D5782" t="str">
            <v>NO</v>
          </cell>
          <cell r="E5782" t="str">
            <v>LAND OF STORIES 4 BEYOND</v>
          </cell>
          <cell r="F5782" t="str">
            <v>LIBRO</v>
          </cell>
          <cell r="H5782" t="str">
            <v>H. MANCHA</v>
          </cell>
          <cell r="I5782">
            <v>7.8840000000000003</v>
          </cell>
        </row>
        <row r="5783">
          <cell r="A5783" t="str">
            <v>19-05783</v>
          </cell>
          <cell r="B5783" t="str">
            <v>H. MANCHA</v>
          </cell>
          <cell r="C5783" t="str">
            <v>A</v>
          </cell>
          <cell r="D5783" t="str">
            <v>NO</v>
          </cell>
          <cell r="E5783" t="str">
            <v>LAST SONG THE</v>
          </cell>
          <cell r="F5783" t="str">
            <v>LIBRO</v>
          </cell>
          <cell r="H5783" t="str">
            <v>H. MANCHA</v>
          </cell>
          <cell r="I5783">
            <v>7.1639999999999997</v>
          </cell>
        </row>
        <row r="5784">
          <cell r="A5784" t="str">
            <v>19-05784</v>
          </cell>
          <cell r="B5784" t="str">
            <v>H. MANCHA</v>
          </cell>
          <cell r="C5784" t="str">
            <v>A</v>
          </cell>
          <cell r="D5784" t="str">
            <v>NO</v>
          </cell>
          <cell r="E5784" t="str">
            <v>LAST STAR (5TH WAVE BOOK 3)EXP</v>
          </cell>
          <cell r="F5784" t="str">
            <v>LIBRO</v>
          </cell>
          <cell r="H5784" t="str">
            <v>H. MANCHA</v>
          </cell>
          <cell r="I5784">
            <v>10.042999999999999</v>
          </cell>
        </row>
        <row r="5785">
          <cell r="A5785" t="str">
            <v>19-05785</v>
          </cell>
          <cell r="B5785" t="str">
            <v>H. MANCHA</v>
          </cell>
          <cell r="C5785" t="str">
            <v>A</v>
          </cell>
          <cell r="D5785" t="str">
            <v>NO</v>
          </cell>
          <cell r="E5785" t="str">
            <v>LET GOD FIGHT YOUR BATTL</v>
          </cell>
          <cell r="F5785" t="str">
            <v>LIBRO</v>
          </cell>
          <cell r="H5785" t="str">
            <v>H. MANCHA</v>
          </cell>
          <cell r="I5785">
            <v>8.6039999999999992</v>
          </cell>
        </row>
        <row r="5786">
          <cell r="A5786" t="str">
            <v>19-05786</v>
          </cell>
          <cell r="B5786" t="str">
            <v>H. MANCHA</v>
          </cell>
          <cell r="C5786" t="str">
            <v>A</v>
          </cell>
          <cell r="D5786" t="str">
            <v>NO</v>
          </cell>
          <cell r="E5786" t="str">
            <v>LITTLE HORSE FINGER PUPP</v>
          </cell>
          <cell r="F5786" t="str">
            <v>LIBRO</v>
          </cell>
          <cell r="H5786" t="str">
            <v>H. MANCHA</v>
          </cell>
          <cell r="I5786">
            <v>6.444</v>
          </cell>
        </row>
        <row r="5787">
          <cell r="A5787" t="str">
            <v>19-05787</v>
          </cell>
          <cell r="B5787" t="str">
            <v>H. MANCHA</v>
          </cell>
          <cell r="C5787" t="str">
            <v>A</v>
          </cell>
          <cell r="D5787" t="str">
            <v>NO</v>
          </cell>
          <cell r="E5787" t="str">
            <v>LITTLE LAMB FINGER PUPPE</v>
          </cell>
          <cell r="F5787" t="str">
            <v>LIBRO</v>
          </cell>
          <cell r="H5787" t="str">
            <v>H. MANCHA</v>
          </cell>
          <cell r="I5787">
            <v>6.444</v>
          </cell>
        </row>
        <row r="5788">
          <cell r="A5788" t="str">
            <v>19-05788</v>
          </cell>
          <cell r="B5788" t="str">
            <v>H. MANCHA</v>
          </cell>
          <cell r="C5788" t="str">
            <v>A</v>
          </cell>
          <cell r="D5788" t="str">
            <v>NO</v>
          </cell>
          <cell r="E5788" t="str">
            <v>LITTLE MONKEY FINGER PUP</v>
          </cell>
          <cell r="F5788" t="str">
            <v>LIBRO</v>
          </cell>
          <cell r="H5788" t="str">
            <v>H. MANCHA</v>
          </cell>
          <cell r="I5788">
            <v>6.444</v>
          </cell>
        </row>
        <row r="5789">
          <cell r="A5789" t="str">
            <v>19-05789</v>
          </cell>
          <cell r="B5789" t="str">
            <v>H. MANCHA</v>
          </cell>
          <cell r="C5789" t="str">
            <v>A</v>
          </cell>
          <cell r="D5789" t="str">
            <v>NO</v>
          </cell>
          <cell r="E5789" t="str">
            <v>LOOKING FOR ALASKA</v>
          </cell>
          <cell r="F5789" t="str">
            <v>LIBRO</v>
          </cell>
          <cell r="H5789" t="str">
            <v>H. MANCHA</v>
          </cell>
          <cell r="I5789">
            <v>8.6039999999999992</v>
          </cell>
        </row>
        <row r="5790">
          <cell r="A5790" t="str">
            <v>19-05790</v>
          </cell>
          <cell r="B5790" t="str">
            <v>H. MANCHA</v>
          </cell>
          <cell r="C5790" t="str">
            <v>A</v>
          </cell>
          <cell r="D5790" t="str">
            <v>NO</v>
          </cell>
          <cell r="E5790" t="str">
            <v>LOST SYMBOL, THE (EXP)</v>
          </cell>
          <cell r="F5790" t="str">
            <v>LIBRO</v>
          </cell>
          <cell r="H5790" t="str">
            <v>H. MANCHA</v>
          </cell>
          <cell r="I5790">
            <v>7.1630000000000003</v>
          </cell>
        </row>
        <row r="5791">
          <cell r="A5791" t="str">
            <v>19-05791</v>
          </cell>
          <cell r="B5791" t="str">
            <v>H. MANCHA</v>
          </cell>
          <cell r="C5791" t="str">
            <v>A</v>
          </cell>
          <cell r="D5791" t="str">
            <v>NO</v>
          </cell>
          <cell r="E5791" t="str">
            <v>LUNCH IN PARIS A LOVE</v>
          </cell>
          <cell r="F5791" t="str">
            <v>LIBRO</v>
          </cell>
          <cell r="H5791" t="str">
            <v>H. MANCHA</v>
          </cell>
          <cell r="I5791">
            <v>13.643000000000001</v>
          </cell>
        </row>
        <row r="5792">
          <cell r="A5792" t="str">
            <v>19-05792</v>
          </cell>
          <cell r="B5792" t="str">
            <v>H. MANCHA</v>
          </cell>
          <cell r="C5792" t="str">
            <v>A</v>
          </cell>
          <cell r="D5792" t="str">
            <v>NO</v>
          </cell>
          <cell r="E5792" t="str">
            <v>MAGNUS CHASE AND THE GO</v>
          </cell>
          <cell r="F5792" t="str">
            <v>LIBRO</v>
          </cell>
          <cell r="H5792" t="str">
            <v>H. MANCHA</v>
          </cell>
          <cell r="I5792">
            <v>10.763999999999999</v>
          </cell>
        </row>
        <row r="5793">
          <cell r="A5793" t="str">
            <v>19-05793</v>
          </cell>
          <cell r="B5793" t="str">
            <v>H. MANCHA</v>
          </cell>
          <cell r="C5793" t="str">
            <v>A</v>
          </cell>
          <cell r="D5793" t="str">
            <v>NO</v>
          </cell>
          <cell r="E5793" t="str">
            <v>MAKE ME (EXP)</v>
          </cell>
          <cell r="F5793" t="str">
            <v>LIBRO</v>
          </cell>
          <cell r="H5793" t="str">
            <v>H. MANCHA</v>
          </cell>
          <cell r="I5793">
            <v>7.883</v>
          </cell>
        </row>
        <row r="5794">
          <cell r="A5794" t="str">
            <v>19-05794</v>
          </cell>
          <cell r="B5794" t="str">
            <v>H. MANCHA</v>
          </cell>
          <cell r="C5794" t="str">
            <v>A</v>
          </cell>
          <cell r="D5794" t="str">
            <v>NO</v>
          </cell>
          <cell r="E5794" t="str">
            <v>MAKE TODAY COUNT</v>
          </cell>
          <cell r="F5794" t="str">
            <v>LIBRO</v>
          </cell>
          <cell r="H5794" t="str">
            <v>H. MANCHA</v>
          </cell>
          <cell r="I5794">
            <v>8.6039999999999992</v>
          </cell>
        </row>
        <row r="5795">
          <cell r="A5795" t="str">
            <v>19-05795</v>
          </cell>
          <cell r="B5795" t="str">
            <v>H. MANCHA</v>
          </cell>
          <cell r="C5795" t="str">
            <v>A</v>
          </cell>
          <cell r="D5795" t="str">
            <v>NO</v>
          </cell>
          <cell r="E5795" t="str">
            <v>MASONES LOS</v>
          </cell>
          <cell r="F5795" t="str">
            <v>LIBRO</v>
          </cell>
          <cell r="H5795" t="str">
            <v>H. MANCHA</v>
          </cell>
          <cell r="I5795">
            <v>12.204000000000001</v>
          </cell>
        </row>
        <row r="5796">
          <cell r="A5796" t="str">
            <v>19-05796</v>
          </cell>
          <cell r="B5796" t="str">
            <v>H. MANCHA</v>
          </cell>
          <cell r="C5796" t="str">
            <v>A</v>
          </cell>
          <cell r="D5796" t="str">
            <v>NO</v>
          </cell>
          <cell r="E5796" t="str">
            <v>MAXIMUM RIDE 1 MANGA</v>
          </cell>
          <cell r="F5796" t="str">
            <v>LIBRO</v>
          </cell>
          <cell r="H5796" t="str">
            <v>H. MANCHA</v>
          </cell>
          <cell r="I5796">
            <v>11.483000000000001</v>
          </cell>
        </row>
        <row r="5797">
          <cell r="A5797" t="str">
            <v>19-05797</v>
          </cell>
          <cell r="B5797" t="str">
            <v>H. MANCHA</v>
          </cell>
          <cell r="C5797" t="str">
            <v>A</v>
          </cell>
          <cell r="D5797" t="str">
            <v>NO</v>
          </cell>
          <cell r="E5797" t="str">
            <v>MAZE RUNNER 1 - ENGLISH</v>
          </cell>
          <cell r="F5797" t="str">
            <v>LIBRO</v>
          </cell>
          <cell r="H5797" t="str">
            <v>H. MANCHA</v>
          </cell>
          <cell r="I5797">
            <v>8.6039999999999992</v>
          </cell>
        </row>
        <row r="5798">
          <cell r="A5798" t="str">
            <v>19-05798</v>
          </cell>
          <cell r="B5798" t="str">
            <v>H. MANCHA</v>
          </cell>
          <cell r="C5798" t="str">
            <v>A</v>
          </cell>
          <cell r="D5798" t="str">
            <v>NO</v>
          </cell>
          <cell r="E5798" t="str">
            <v>ME BEFORE YOU</v>
          </cell>
          <cell r="F5798" t="str">
            <v>LIBRO</v>
          </cell>
          <cell r="H5798" t="str">
            <v>H. MANCHA</v>
          </cell>
          <cell r="I5798">
            <v>10.042999999999999</v>
          </cell>
        </row>
        <row r="5799">
          <cell r="A5799" t="str">
            <v>19-05799</v>
          </cell>
          <cell r="B5799" t="str">
            <v>H. MANCHA</v>
          </cell>
          <cell r="C5799" t="str">
            <v>A</v>
          </cell>
          <cell r="D5799" t="str">
            <v>NO</v>
          </cell>
          <cell r="E5799" t="str">
            <v>MENSAJES DE LOS SABIOS</v>
          </cell>
          <cell r="F5799" t="str">
            <v>LIBRO</v>
          </cell>
          <cell r="H5799" t="str">
            <v>H. MANCHA</v>
          </cell>
          <cell r="I5799">
            <v>12.204000000000001</v>
          </cell>
        </row>
        <row r="5800">
          <cell r="A5800" t="str">
            <v>19-05800</v>
          </cell>
          <cell r="B5800" t="str">
            <v>H. MANCHA</v>
          </cell>
          <cell r="C5800" t="str">
            <v>A</v>
          </cell>
          <cell r="D5800" t="str">
            <v>NO</v>
          </cell>
          <cell r="E5800" t="str">
            <v>MICHAEL JORDAN LIFE</v>
          </cell>
          <cell r="F5800" t="str">
            <v>LIBRO</v>
          </cell>
          <cell r="H5800" t="str">
            <v>H. MANCHA</v>
          </cell>
          <cell r="I5800">
            <v>17.242999999999999</v>
          </cell>
        </row>
        <row r="5801">
          <cell r="A5801" t="str">
            <v>19-05801</v>
          </cell>
          <cell r="B5801" t="str">
            <v>H. MANCHA</v>
          </cell>
          <cell r="C5801" t="str">
            <v>A</v>
          </cell>
          <cell r="D5801" t="str">
            <v>NO</v>
          </cell>
          <cell r="E5801" t="str">
            <v>MIDDLE SCHOOL BROTHER IS</v>
          </cell>
          <cell r="F5801" t="str">
            <v>LIBRO</v>
          </cell>
          <cell r="H5801" t="str">
            <v>H. MANCHA</v>
          </cell>
          <cell r="I5801">
            <v>8.6039999999999992</v>
          </cell>
        </row>
        <row r="5802">
          <cell r="A5802" t="str">
            <v>19-05802</v>
          </cell>
          <cell r="B5802" t="str">
            <v>H. MANCHA</v>
          </cell>
          <cell r="C5802" t="str">
            <v>A</v>
          </cell>
          <cell r="D5802" t="str">
            <v>NO</v>
          </cell>
          <cell r="E5802" t="str">
            <v>MIDDLE SCHOOL WORST YEAR</v>
          </cell>
          <cell r="F5802" t="str">
            <v>LIBRO</v>
          </cell>
          <cell r="H5802" t="str">
            <v>H. MANCHA</v>
          </cell>
          <cell r="I5802">
            <v>12.205</v>
          </cell>
        </row>
        <row r="5803">
          <cell r="A5803" t="str">
            <v>19-05803</v>
          </cell>
          <cell r="B5803" t="str">
            <v>H. MANCHA</v>
          </cell>
          <cell r="C5803" t="str">
            <v>A</v>
          </cell>
          <cell r="D5803" t="str">
            <v>NO</v>
          </cell>
          <cell r="E5803" t="str">
            <v>MISERY</v>
          </cell>
          <cell r="F5803" t="str">
            <v>LIBRO</v>
          </cell>
          <cell r="H5803" t="str">
            <v>H. MANCHA</v>
          </cell>
          <cell r="I5803">
            <v>9.3249999999999993</v>
          </cell>
        </row>
        <row r="5804">
          <cell r="A5804" t="str">
            <v>19-05804</v>
          </cell>
          <cell r="B5804" t="str">
            <v>H. MANCHA</v>
          </cell>
          <cell r="C5804" t="str">
            <v>A</v>
          </cell>
          <cell r="D5804" t="str">
            <v>NO</v>
          </cell>
          <cell r="E5804" t="str">
            <v>MISS PEREGRINE MTI</v>
          </cell>
          <cell r="F5804" t="str">
            <v>LIBRO</v>
          </cell>
          <cell r="H5804" t="str">
            <v>H. MANCHA</v>
          </cell>
          <cell r="I5804">
            <v>10.042999999999999</v>
          </cell>
        </row>
        <row r="5805">
          <cell r="A5805" t="str">
            <v>19-05805</v>
          </cell>
          <cell r="B5805" t="str">
            <v>H. MANCHA</v>
          </cell>
          <cell r="C5805" t="str">
            <v>A</v>
          </cell>
          <cell r="D5805" t="str">
            <v>NO</v>
          </cell>
          <cell r="E5805" t="str">
            <v>MOMA STACKING BLOCKS</v>
          </cell>
          <cell r="F5805" t="str">
            <v>LIBRO</v>
          </cell>
          <cell r="H5805" t="str">
            <v>H. MANCHA</v>
          </cell>
          <cell r="I5805">
            <v>18.684999999999999</v>
          </cell>
        </row>
        <row r="5806">
          <cell r="A5806" t="str">
            <v>19-05806</v>
          </cell>
          <cell r="B5806" t="str">
            <v>H. MANCHA</v>
          </cell>
          <cell r="C5806" t="str">
            <v>A</v>
          </cell>
          <cell r="D5806" t="str">
            <v>NO</v>
          </cell>
          <cell r="E5806" t="str">
            <v>MY FRIEND IS SAD</v>
          </cell>
          <cell r="F5806" t="str">
            <v>LIBRO</v>
          </cell>
          <cell r="H5806" t="str">
            <v>H. MANCHA</v>
          </cell>
          <cell r="I5806">
            <v>9.3230000000000004</v>
          </cell>
        </row>
        <row r="5807">
          <cell r="A5807" t="str">
            <v>19-05807</v>
          </cell>
          <cell r="B5807" t="str">
            <v>H. MANCHA</v>
          </cell>
          <cell r="C5807" t="str">
            <v>A</v>
          </cell>
          <cell r="D5807" t="str">
            <v>NO</v>
          </cell>
          <cell r="E5807" t="str">
            <v>NELSON MANDELA AUTOBIOGR</v>
          </cell>
          <cell r="F5807" t="str">
            <v>LIBRO</v>
          </cell>
          <cell r="H5807" t="str">
            <v>H. MANCHA</v>
          </cell>
          <cell r="I5807">
            <v>7.8849999999999998</v>
          </cell>
        </row>
        <row r="5808">
          <cell r="A5808" t="str">
            <v>19-05808</v>
          </cell>
          <cell r="B5808" t="str">
            <v>H. MANCHA</v>
          </cell>
          <cell r="C5808" t="str">
            <v>A</v>
          </cell>
          <cell r="D5808" t="str">
            <v>NO</v>
          </cell>
          <cell r="E5808" t="str">
            <v>NEUROMARKETING</v>
          </cell>
          <cell r="F5808" t="str">
            <v>LIBRO</v>
          </cell>
          <cell r="H5808" t="str">
            <v>H. MANCHA</v>
          </cell>
          <cell r="I5808">
            <v>17.244</v>
          </cell>
        </row>
        <row r="5809">
          <cell r="A5809" t="str">
            <v>19-05809</v>
          </cell>
          <cell r="B5809" t="str">
            <v>H. MANCHA</v>
          </cell>
          <cell r="C5809" t="str">
            <v>A</v>
          </cell>
          <cell r="D5809" t="str">
            <v>NO</v>
          </cell>
          <cell r="E5809" t="str">
            <v>NICE GIRLS DONT GET CORN</v>
          </cell>
          <cell r="F5809" t="str">
            <v>LIBRO</v>
          </cell>
          <cell r="H5809" t="str">
            <v>H. MANCHA</v>
          </cell>
          <cell r="I5809">
            <v>7.165</v>
          </cell>
        </row>
        <row r="5810">
          <cell r="A5810" t="str">
            <v>19-05810</v>
          </cell>
          <cell r="B5810" t="str">
            <v>H. MANCHA</v>
          </cell>
          <cell r="C5810" t="str">
            <v>A</v>
          </cell>
          <cell r="D5810" t="str">
            <v>NO</v>
          </cell>
          <cell r="E5810" t="str">
            <v>NOTEBOOK (MOVIE)</v>
          </cell>
          <cell r="F5810" t="str">
            <v>LIBRO</v>
          </cell>
          <cell r="H5810" t="str">
            <v>H. MANCHA</v>
          </cell>
          <cell r="I5810">
            <v>7.1639999999999997</v>
          </cell>
        </row>
        <row r="5811">
          <cell r="A5811" t="str">
            <v>19-05811</v>
          </cell>
          <cell r="B5811" t="str">
            <v>H. MANCHA</v>
          </cell>
          <cell r="C5811" t="str">
            <v>A</v>
          </cell>
          <cell r="D5811" t="str">
            <v>NO</v>
          </cell>
          <cell r="E5811" t="str">
            <v>NOW I RISE (EXP)</v>
          </cell>
          <cell r="F5811" t="str">
            <v>LIBRO</v>
          </cell>
          <cell r="H5811" t="str">
            <v>H. MANCHA</v>
          </cell>
          <cell r="I5811">
            <v>8.6039999999999992</v>
          </cell>
        </row>
        <row r="5812">
          <cell r="A5812" t="str">
            <v>19-05812</v>
          </cell>
          <cell r="B5812" t="str">
            <v>H. MANCHA</v>
          </cell>
          <cell r="C5812" t="str">
            <v>A</v>
          </cell>
          <cell r="D5812" t="str">
            <v>NO</v>
          </cell>
          <cell r="E5812" t="str">
            <v>NUTELLA 30 BEST RECIPES</v>
          </cell>
          <cell r="F5812" t="str">
            <v>LIBRO</v>
          </cell>
          <cell r="H5812" t="str">
            <v>H. MANCHA</v>
          </cell>
          <cell r="I5812">
            <v>11.484999999999999</v>
          </cell>
        </row>
        <row r="5813">
          <cell r="A5813" t="str">
            <v>19-05813</v>
          </cell>
          <cell r="B5813" t="str">
            <v>H. MANCHA</v>
          </cell>
          <cell r="C5813" t="str">
            <v>A</v>
          </cell>
          <cell r="D5813" t="str">
            <v>NO</v>
          </cell>
          <cell r="E5813" t="str">
            <v>OBTENGA EL SI</v>
          </cell>
          <cell r="F5813" t="str">
            <v>LIBRO</v>
          </cell>
          <cell r="H5813" t="str">
            <v>H. MANCHA</v>
          </cell>
          <cell r="I5813">
            <v>16.524000000000001</v>
          </cell>
        </row>
        <row r="5814">
          <cell r="A5814" t="str">
            <v>19-05814</v>
          </cell>
          <cell r="B5814" t="str">
            <v>H. MANCHA</v>
          </cell>
          <cell r="C5814" t="str">
            <v>A</v>
          </cell>
          <cell r="D5814" t="str">
            <v>NO</v>
          </cell>
          <cell r="E5814" t="str">
            <v>OLYMPUS 2 SON OF NEPTUNE</v>
          </cell>
          <cell r="F5814" t="str">
            <v>LIBRO</v>
          </cell>
          <cell r="H5814" t="str">
            <v>H. MANCHA</v>
          </cell>
          <cell r="I5814">
            <v>9.3239999999999998</v>
          </cell>
        </row>
        <row r="5815">
          <cell r="A5815" t="str">
            <v>19-05815</v>
          </cell>
          <cell r="B5815" t="str">
            <v>H. MANCHA</v>
          </cell>
          <cell r="C5815" t="str">
            <v>A</v>
          </cell>
          <cell r="D5815" t="str">
            <v>NO</v>
          </cell>
          <cell r="E5815" t="str">
            <v>OSHO ANTES DEL AMANECER</v>
          </cell>
          <cell r="F5815" t="str">
            <v>LIBRO</v>
          </cell>
          <cell r="H5815" t="str">
            <v>H. MANCHA</v>
          </cell>
          <cell r="I5815">
            <v>10.044</v>
          </cell>
        </row>
        <row r="5816">
          <cell r="A5816" t="str">
            <v>19-05816</v>
          </cell>
          <cell r="B5816" t="str">
            <v>H. MANCHA</v>
          </cell>
          <cell r="C5816" t="str">
            <v>A</v>
          </cell>
          <cell r="D5816" t="str">
            <v>NO</v>
          </cell>
          <cell r="E5816" t="str">
            <v>OUTLIERS</v>
          </cell>
          <cell r="F5816" t="str">
            <v>LIBRO</v>
          </cell>
          <cell r="H5816" t="str">
            <v>H. MANCHA</v>
          </cell>
          <cell r="I5816">
            <v>7.1929999999999996</v>
          </cell>
        </row>
        <row r="5817">
          <cell r="A5817" t="str">
            <v>19-05817</v>
          </cell>
          <cell r="B5817" t="str">
            <v>H. MANCHA</v>
          </cell>
          <cell r="C5817" t="str">
            <v>A</v>
          </cell>
          <cell r="D5817" t="str">
            <v>NO</v>
          </cell>
          <cell r="E5817" t="str">
            <v>OYE, MORENA, TU QUE MIRAS?</v>
          </cell>
          <cell r="F5817" t="str">
            <v>LIBRO</v>
          </cell>
          <cell r="H5817" t="str">
            <v>H. MANCHA</v>
          </cell>
          <cell r="I5817">
            <v>13.644</v>
          </cell>
        </row>
        <row r="5818">
          <cell r="A5818" t="str">
            <v>19-05818</v>
          </cell>
          <cell r="B5818" t="str">
            <v>H. MANCHA</v>
          </cell>
          <cell r="C5818" t="str">
            <v>A</v>
          </cell>
          <cell r="D5818" t="str">
            <v>NO</v>
          </cell>
          <cell r="E5818" t="str">
            <v>PASA LA NOCHE CONMIGO</v>
          </cell>
          <cell r="F5818" t="str">
            <v>LIBRO</v>
          </cell>
          <cell r="H5818" t="str">
            <v>H. MANCHA</v>
          </cell>
          <cell r="I5818">
            <v>14.364000000000001</v>
          </cell>
        </row>
        <row r="5819">
          <cell r="A5819" t="str">
            <v>19-05819</v>
          </cell>
          <cell r="B5819" t="str">
            <v>H. MANCHA</v>
          </cell>
          <cell r="C5819" t="str">
            <v>A</v>
          </cell>
          <cell r="D5819" t="str">
            <v>NO</v>
          </cell>
          <cell r="E5819" t="str">
            <v>PENSAMIENTOS DE PODER</v>
          </cell>
          <cell r="F5819" t="str">
            <v>LIBRO</v>
          </cell>
          <cell r="H5819" t="str">
            <v>H. MANCHA</v>
          </cell>
          <cell r="I5819">
            <v>11.483000000000001</v>
          </cell>
        </row>
        <row r="5820">
          <cell r="A5820" t="str">
            <v>19-05820</v>
          </cell>
          <cell r="B5820" t="str">
            <v>H. MANCHA</v>
          </cell>
          <cell r="C5820" t="str">
            <v>A</v>
          </cell>
          <cell r="D5820" t="str">
            <v>NO</v>
          </cell>
          <cell r="E5820" t="str">
            <v>PERCY JACKSON 1 THE LIGH</v>
          </cell>
          <cell r="F5820" t="str">
            <v>LIBRO</v>
          </cell>
          <cell r="H5820" t="str">
            <v>H. MANCHA</v>
          </cell>
          <cell r="I5820">
            <v>7.1639999999999997</v>
          </cell>
        </row>
        <row r="5821">
          <cell r="A5821" t="str">
            <v>19-05821</v>
          </cell>
          <cell r="B5821" t="str">
            <v>H. MANCHA</v>
          </cell>
          <cell r="C5821" t="str">
            <v>A</v>
          </cell>
          <cell r="D5821" t="str">
            <v>NO</v>
          </cell>
          <cell r="E5821" t="str">
            <v>PERCY JACKSON 2 SEA OF M</v>
          </cell>
          <cell r="F5821" t="str">
            <v>LIBRO</v>
          </cell>
          <cell r="H5821" t="str">
            <v>H. MANCHA</v>
          </cell>
          <cell r="I5821">
            <v>7.1639999999999997</v>
          </cell>
        </row>
        <row r="5822">
          <cell r="A5822" t="str">
            <v>19-05822</v>
          </cell>
          <cell r="B5822" t="str">
            <v>H. MANCHA</v>
          </cell>
          <cell r="C5822" t="str">
            <v>A</v>
          </cell>
          <cell r="D5822" t="str">
            <v>NO</v>
          </cell>
          <cell r="E5822" t="str">
            <v>PERCY JACKSON 3 THE TITA</v>
          </cell>
          <cell r="F5822" t="str">
            <v>LIBRO</v>
          </cell>
          <cell r="H5822" t="str">
            <v>H. MANCHA</v>
          </cell>
          <cell r="I5822">
            <v>7.1639999999999997</v>
          </cell>
        </row>
        <row r="5823">
          <cell r="A5823" t="str">
            <v>19-05823</v>
          </cell>
          <cell r="B5823" t="str">
            <v>H. MANCHA</v>
          </cell>
          <cell r="C5823" t="str">
            <v>A</v>
          </cell>
          <cell r="D5823" t="str">
            <v>NO</v>
          </cell>
          <cell r="E5823" t="str">
            <v>PERCY JACKSON 4 THE BATT</v>
          </cell>
          <cell r="F5823" t="str">
            <v>LIBRO</v>
          </cell>
          <cell r="H5823" t="str">
            <v>H. MANCHA</v>
          </cell>
          <cell r="I5823">
            <v>7.1639999999999997</v>
          </cell>
        </row>
        <row r="5824">
          <cell r="A5824" t="str">
            <v>19-05824</v>
          </cell>
          <cell r="B5824" t="str">
            <v>H. MANCHA</v>
          </cell>
          <cell r="C5824" t="str">
            <v>A</v>
          </cell>
          <cell r="D5824" t="str">
            <v>NO</v>
          </cell>
          <cell r="E5824" t="str">
            <v>PERCY JACKSON 5 THE LAST</v>
          </cell>
          <cell r="F5824" t="str">
            <v>LIBRO</v>
          </cell>
          <cell r="H5824" t="str">
            <v>H. MANCHA</v>
          </cell>
          <cell r="I5824">
            <v>7.1639999999999997</v>
          </cell>
        </row>
        <row r="5825">
          <cell r="A5825" t="str">
            <v>19-05825</v>
          </cell>
          <cell r="B5825" t="str">
            <v>H. MANCHA</v>
          </cell>
          <cell r="C5825" t="str">
            <v>A</v>
          </cell>
          <cell r="D5825" t="str">
            <v>NO</v>
          </cell>
          <cell r="E5825" t="str">
            <v>PERCY JACKSON AND OLYMPI</v>
          </cell>
          <cell r="F5825" t="str">
            <v>LIBRO</v>
          </cell>
          <cell r="H5825" t="str">
            <v>H. MANCHA</v>
          </cell>
          <cell r="I5825">
            <v>11.484</v>
          </cell>
        </row>
        <row r="5826">
          <cell r="A5826" t="str">
            <v>19-05826</v>
          </cell>
          <cell r="B5826" t="str">
            <v>H. MANCHA</v>
          </cell>
          <cell r="C5826" t="str">
            <v>A</v>
          </cell>
          <cell r="D5826" t="str">
            <v>NO</v>
          </cell>
          <cell r="E5826" t="str">
            <v>PERCY JACKSON AND THE O</v>
          </cell>
          <cell r="F5826" t="str">
            <v>LIBRO</v>
          </cell>
          <cell r="H5826" t="str">
            <v>H. MANCHA</v>
          </cell>
          <cell r="I5826">
            <v>11.484</v>
          </cell>
        </row>
        <row r="5827">
          <cell r="A5827" t="str">
            <v>19-05827</v>
          </cell>
          <cell r="B5827" t="str">
            <v>H. MANCHA</v>
          </cell>
          <cell r="C5827" t="str">
            <v>A</v>
          </cell>
          <cell r="D5827" t="str">
            <v>NO</v>
          </cell>
          <cell r="E5827" t="str">
            <v>PERCY JACKSON'S GREEK G</v>
          </cell>
          <cell r="F5827" t="str">
            <v>LIBRO</v>
          </cell>
          <cell r="H5827" t="str">
            <v>H. MANCHA</v>
          </cell>
          <cell r="I5827">
            <v>11.484</v>
          </cell>
        </row>
        <row r="5828">
          <cell r="A5828" t="str">
            <v>19-05828</v>
          </cell>
          <cell r="B5828" t="str">
            <v>H. MANCHA</v>
          </cell>
          <cell r="C5828" t="str">
            <v>A</v>
          </cell>
          <cell r="D5828" t="str">
            <v>NO</v>
          </cell>
          <cell r="E5828" t="str">
            <v>PERCY JACKSON'S GREEK H</v>
          </cell>
          <cell r="F5828" t="str">
            <v>LIBRO</v>
          </cell>
          <cell r="H5828" t="str">
            <v>H. MANCHA</v>
          </cell>
          <cell r="I5828">
            <v>11.484</v>
          </cell>
        </row>
        <row r="5829">
          <cell r="A5829" t="str">
            <v>19-05829</v>
          </cell>
          <cell r="B5829" t="str">
            <v>H. MANCHA</v>
          </cell>
          <cell r="C5829" t="str">
            <v>A</v>
          </cell>
          <cell r="D5829" t="str">
            <v>NO</v>
          </cell>
          <cell r="E5829" t="str">
            <v>PERFETTO PENCILS</v>
          </cell>
          <cell r="F5829" t="str">
            <v>LIBRO</v>
          </cell>
          <cell r="H5829" t="str">
            <v>H. MANCHA</v>
          </cell>
          <cell r="I5829">
            <v>0</v>
          </cell>
        </row>
        <row r="5830">
          <cell r="A5830" t="str">
            <v>19-05830</v>
          </cell>
          <cell r="B5830" t="str">
            <v>H. MANCHA</v>
          </cell>
          <cell r="C5830" t="str">
            <v>A</v>
          </cell>
          <cell r="D5830" t="str">
            <v>NO</v>
          </cell>
          <cell r="E5830" t="str">
            <v>PIDEME LO QUE QUIERAS</v>
          </cell>
          <cell r="F5830" t="str">
            <v>LIBRO</v>
          </cell>
          <cell r="H5830" t="str">
            <v>H. MANCHA</v>
          </cell>
          <cell r="I5830">
            <v>6.444</v>
          </cell>
        </row>
        <row r="5831">
          <cell r="A5831" t="str">
            <v>19-05831</v>
          </cell>
          <cell r="B5831" t="str">
            <v>H. MANCHA</v>
          </cell>
          <cell r="C5831" t="str">
            <v>A</v>
          </cell>
          <cell r="D5831" t="str">
            <v>NO</v>
          </cell>
          <cell r="E5831" t="str">
            <v>PIDEME LO QUE QUIERAS O DEJAME</v>
          </cell>
          <cell r="F5831" t="str">
            <v>LIBRO</v>
          </cell>
          <cell r="H5831" t="str">
            <v>H. MANCHA</v>
          </cell>
          <cell r="I5831">
            <v>6.444</v>
          </cell>
        </row>
        <row r="5832">
          <cell r="A5832" t="str">
            <v>19-05832</v>
          </cell>
          <cell r="B5832" t="str">
            <v>H. MANCHA</v>
          </cell>
          <cell r="C5832" t="str">
            <v>A</v>
          </cell>
          <cell r="D5832" t="str">
            <v>NO</v>
          </cell>
          <cell r="E5832" t="str">
            <v>PIDEME LO QUE QUIERAS, AHORA Y</v>
          </cell>
          <cell r="F5832" t="str">
            <v>LIBRO</v>
          </cell>
          <cell r="H5832" t="str">
            <v>H. MANCHA</v>
          </cell>
          <cell r="I5832">
            <v>6.444</v>
          </cell>
        </row>
        <row r="5833">
          <cell r="A5833" t="str">
            <v>19-05833</v>
          </cell>
          <cell r="B5833" t="str">
            <v>H. MANCHA</v>
          </cell>
          <cell r="C5833" t="str">
            <v>A</v>
          </cell>
          <cell r="D5833" t="str">
            <v>NO</v>
          </cell>
          <cell r="E5833" t="str">
            <v>PNL EN UNA SEMANA</v>
          </cell>
          <cell r="F5833" t="str">
            <v>LIBRO</v>
          </cell>
          <cell r="H5833" t="str">
            <v>H. MANCHA</v>
          </cell>
          <cell r="I5833">
            <v>8.6039999999999992</v>
          </cell>
        </row>
        <row r="5834">
          <cell r="A5834" t="str">
            <v>19-05834</v>
          </cell>
          <cell r="B5834" t="str">
            <v>H. MANCHA</v>
          </cell>
          <cell r="C5834" t="str">
            <v>A</v>
          </cell>
          <cell r="D5834" t="str">
            <v>NO</v>
          </cell>
          <cell r="E5834" t="str">
            <v>POWER WORDS WHAT YOU SAY</v>
          </cell>
          <cell r="F5834" t="str">
            <v>LIBRO</v>
          </cell>
          <cell r="H5834" t="str">
            <v>H. MANCHA</v>
          </cell>
          <cell r="I5834">
            <v>8.6029999999999998</v>
          </cell>
        </row>
        <row r="5835">
          <cell r="A5835" t="str">
            <v>19-05835</v>
          </cell>
          <cell r="B5835" t="str">
            <v>H. MANCHA</v>
          </cell>
          <cell r="C5835" t="str">
            <v>A</v>
          </cell>
          <cell r="D5835" t="str">
            <v>NO</v>
          </cell>
          <cell r="E5835" t="str">
            <v>PRIDE AND PREJUDICE</v>
          </cell>
          <cell r="F5835" t="str">
            <v>LIBRO</v>
          </cell>
          <cell r="H5835" t="str">
            <v>H. MANCHA</v>
          </cell>
          <cell r="I5835">
            <v>5.0030000000000001</v>
          </cell>
        </row>
        <row r="5836">
          <cell r="A5836" t="str">
            <v>19-05836</v>
          </cell>
          <cell r="B5836" t="str">
            <v>H. MANCHA</v>
          </cell>
          <cell r="C5836" t="str">
            <v>A</v>
          </cell>
          <cell r="D5836" t="str">
            <v>NO</v>
          </cell>
          <cell r="E5836" t="str">
            <v>PRINCIPE EL</v>
          </cell>
          <cell r="F5836" t="str">
            <v>LIBRO</v>
          </cell>
          <cell r="H5836" t="str">
            <v>H. MANCHA</v>
          </cell>
          <cell r="I5836">
            <v>12.923999999999999</v>
          </cell>
        </row>
        <row r="5837">
          <cell r="A5837" t="str">
            <v>19-05837</v>
          </cell>
          <cell r="B5837" t="str">
            <v>H. MANCHA</v>
          </cell>
          <cell r="C5837" t="str">
            <v>A</v>
          </cell>
          <cell r="D5837" t="str">
            <v>NO</v>
          </cell>
          <cell r="E5837" t="str">
            <v>PROGRAMACION NEUROLINGÜISTICA EN UNA SEMANA</v>
          </cell>
          <cell r="F5837" t="str">
            <v>LIBRO</v>
          </cell>
          <cell r="H5837" t="str">
            <v>H. MANCHA</v>
          </cell>
          <cell r="I5837">
            <v>7.8840000000000003</v>
          </cell>
        </row>
        <row r="5838">
          <cell r="A5838" t="str">
            <v>19-05838</v>
          </cell>
          <cell r="B5838" t="str">
            <v>H. MANCHA</v>
          </cell>
          <cell r="C5838" t="str">
            <v>A</v>
          </cell>
          <cell r="D5838" t="str">
            <v>NO</v>
          </cell>
          <cell r="E5838" t="str">
            <v>PUPPET BK BABY TIGER</v>
          </cell>
          <cell r="F5838" t="str">
            <v>LIBRO</v>
          </cell>
          <cell r="H5838" t="str">
            <v>H. MANCHA</v>
          </cell>
          <cell r="I5838">
            <v>6.4429999999999996</v>
          </cell>
        </row>
        <row r="5839">
          <cell r="A5839" t="str">
            <v>19-05839</v>
          </cell>
          <cell r="B5839" t="str">
            <v>H. MANCHA</v>
          </cell>
          <cell r="C5839" t="str">
            <v>A</v>
          </cell>
          <cell r="D5839" t="str">
            <v>NO</v>
          </cell>
          <cell r="E5839" t="str">
            <v>RACKETEER, THE (EXP)</v>
          </cell>
          <cell r="F5839" t="str">
            <v>LIBRO</v>
          </cell>
          <cell r="H5839" t="str">
            <v>H. MANCHA</v>
          </cell>
          <cell r="I5839">
            <v>7.1630000000000003</v>
          </cell>
        </row>
        <row r="5840">
          <cell r="A5840" t="str">
            <v>19-05840</v>
          </cell>
          <cell r="B5840" t="str">
            <v>H. MANCHA</v>
          </cell>
          <cell r="C5840" t="str">
            <v>A</v>
          </cell>
          <cell r="D5840" t="str">
            <v>NO</v>
          </cell>
          <cell r="E5840" t="str">
            <v>RETIRATE JOVEN Y RICO</v>
          </cell>
          <cell r="F5840" t="str">
            <v>LIBRO</v>
          </cell>
          <cell r="H5840" t="str">
            <v>H. MANCHA</v>
          </cell>
          <cell r="I5840">
            <v>10.042999999999999</v>
          </cell>
        </row>
        <row r="5841">
          <cell r="A5841" t="str">
            <v>19-05841</v>
          </cell>
          <cell r="B5841" t="str">
            <v>H. MANCHA</v>
          </cell>
          <cell r="C5841" t="str">
            <v>A</v>
          </cell>
          <cell r="D5841" t="str">
            <v>NO</v>
          </cell>
          <cell r="E5841" t="str">
            <v>ROGUE LAWYER (EXP)</v>
          </cell>
          <cell r="F5841" t="str">
            <v>LIBRO</v>
          </cell>
          <cell r="H5841" t="str">
            <v>H. MANCHA</v>
          </cell>
          <cell r="I5841">
            <v>7.883</v>
          </cell>
        </row>
        <row r="5842">
          <cell r="A5842" t="str">
            <v>19-05842</v>
          </cell>
          <cell r="B5842" t="str">
            <v>H. MANCHA</v>
          </cell>
          <cell r="C5842" t="str">
            <v>A</v>
          </cell>
          <cell r="D5842" t="str">
            <v>NO</v>
          </cell>
          <cell r="E5842" t="str">
            <v>ROOM A NOVEL</v>
          </cell>
          <cell r="F5842" t="str">
            <v>LIBRO</v>
          </cell>
          <cell r="H5842" t="str">
            <v>H. MANCHA</v>
          </cell>
          <cell r="I5842">
            <v>7.1639999999999997</v>
          </cell>
        </row>
        <row r="5843">
          <cell r="A5843" t="str">
            <v>19-05843</v>
          </cell>
          <cell r="B5843" t="str">
            <v>H. MANCHA</v>
          </cell>
          <cell r="C5843" t="str">
            <v>A</v>
          </cell>
          <cell r="D5843" t="str">
            <v>NO</v>
          </cell>
          <cell r="E5843" t="str">
            <v>RORY DINOSAUR WANTS PET</v>
          </cell>
          <cell r="F5843" t="str">
            <v>LIBRO</v>
          </cell>
          <cell r="H5843" t="str">
            <v>H. MANCHA</v>
          </cell>
          <cell r="I5843">
            <v>7.165</v>
          </cell>
        </row>
        <row r="5844">
          <cell r="A5844" t="str">
            <v>19-05844</v>
          </cell>
          <cell r="B5844" t="str">
            <v>H. MANCHA</v>
          </cell>
          <cell r="C5844" t="str">
            <v>A</v>
          </cell>
          <cell r="D5844" t="str">
            <v>NO</v>
          </cell>
          <cell r="E5844" t="str">
            <v>RORY THE DINOSAUR: ME A</v>
          </cell>
          <cell r="F5844" t="str">
            <v>LIBRO</v>
          </cell>
          <cell r="H5844" t="str">
            <v>H. MANCHA</v>
          </cell>
          <cell r="I5844">
            <v>14.365</v>
          </cell>
        </row>
        <row r="5845">
          <cell r="A5845" t="str">
            <v>19-05845</v>
          </cell>
          <cell r="B5845" t="str">
            <v>H. MANCHA</v>
          </cell>
          <cell r="C5845" t="str">
            <v>A</v>
          </cell>
          <cell r="D5845" t="str">
            <v>NO</v>
          </cell>
          <cell r="E5845" t="str">
            <v>RUISENOR, EL</v>
          </cell>
          <cell r="F5845" t="str">
            <v>LIBRO</v>
          </cell>
          <cell r="H5845" t="str">
            <v>H. MANCHA</v>
          </cell>
          <cell r="I5845">
            <v>11.484999999999999</v>
          </cell>
        </row>
        <row r="5846">
          <cell r="A5846" t="str">
            <v>19-05846</v>
          </cell>
          <cell r="B5846" t="str">
            <v>H. MANCHA</v>
          </cell>
          <cell r="C5846" t="str">
            <v>A</v>
          </cell>
          <cell r="D5846" t="str">
            <v>NO</v>
          </cell>
          <cell r="E5846" t="str">
            <v>SERIOUSL...I'M KIDDING</v>
          </cell>
          <cell r="F5846" t="str">
            <v>LIBRO</v>
          </cell>
          <cell r="H5846" t="str">
            <v>H. MANCHA</v>
          </cell>
          <cell r="I5846">
            <v>7.1630000000000003</v>
          </cell>
        </row>
        <row r="5847">
          <cell r="A5847" t="str">
            <v>19-05847</v>
          </cell>
          <cell r="B5847" t="str">
            <v>H. MANCHA</v>
          </cell>
          <cell r="C5847" t="str">
            <v>A</v>
          </cell>
          <cell r="D5847" t="str">
            <v>NO</v>
          </cell>
          <cell r="E5847" t="str">
            <v>SERPENT KING, THE</v>
          </cell>
          <cell r="F5847" t="str">
            <v>LIBRO</v>
          </cell>
          <cell r="H5847" t="str">
            <v>H. MANCHA</v>
          </cell>
          <cell r="I5847">
            <v>8.6029999999999998</v>
          </cell>
        </row>
        <row r="5848">
          <cell r="A5848" t="str">
            <v>19-05848</v>
          </cell>
          <cell r="B5848" t="str">
            <v>H. MANCHA</v>
          </cell>
          <cell r="C5848" t="str">
            <v>A</v>
          </cell>
          <cell r="D5848" t="str">
            <v>NO</v>
          </cell>
          <cell r="E5848" t="str">
            <v>SHACK THE</v>
          </cell>
          <cell r="F5848" t="str">
            <v>LIBRO</v>
          </cell>
          <cell r="H5848" t="str">
            <v>H. MANCHA</v>
          </cell>
          <cell r="I5848">
            <v>8.6039999999999992</v>
          </cell>
        </row>
        <row r="5849">
          <cell r="A5849" t="str">
            <v>19-05849</v>
          </cell>
          <cell r="B5849" t="str">
            <v>H. MANCHA</v>
          </cell>
          <cell r="C5849" t="str">
            <v>A</v>
          </cell>
          <cell r="D5849" t="str">
            <v>NO</v>
          </cell>
          <cell r="E5849" t="str">
            <v>SIGUEME LA CORRIENTE</v>
          </cell>
          <cell r="F5849" t="str">
            <v>LIBRO</v>
          </cell>
          <cell r="H5849" t="str">
            <v>H. MANCHA</v>
          </cell>
          <cell r="I5849">
            <v>8.6039999999999992</v>
          </cell>
        </row>
        <row r="5850">
          <cell r="A5850" t="str">
            <v>19-05850</v>
          </cell>
          <cell r="B5850" t="str">
            <v>H. MANCHA</v>
          </cell>
          <cell r="C5850" t="str">
            <v>A</v>
          </cell>
          <cell r="D5850" t="str">
            <v>NO</v>
          </cell>
          <cell r="E5850" t="str">
            <v>SO GOOD THEY CAN'T IGNOR</v>
          </cell>
          <cell r="F5850" t="str">
            <v>LIBRO</v>
          </cell>
          <cell r="H5850" t="str">
            <v>H. MANCHA</v>
          </cell>
          <cell r="I5850">
            <v>21.565000000000001</v>
          </cell>
        </row>
        <row r="5851">
          <cell r="A5851" t="str">
            <v>19-05851</v>
          </cell>
          <cell r="B5851" t="str">
            <v>H. MANCHA</v>
          </cell>
          <cell r="C5851" t="str">
            <v>A</v>
          </cell>
          <cell r="D5851" t="str">
            <v>NO</v>
          </cell>
          <cell r="E5851" t="str">
            <v>SOLITUDE CREEK</v>
          </cell>
          <cell r="F5851" t="str">
            <v>LIBRO</v>
          </cell>
          <cell r="H5851" t="str">
            <v>H. MANCHA</v>
          </cell>
          <cell r="I5851">
            <v>7.1630000000000003</v>
          </cell>
        </row>
        <row r="5852">
          <cell r="A5852" t="str">
            <v>19-05852</v>
          </cell>
          <cell r="B5852" t="str">
            <v>H. MANCHA</v>
          </cell>
          <cell r="C5852" t="str">
            <v>A</v>
          </cell>
          <cell r="D5852" t="str">
            <v>NO</v>
          </cell>
          <cell r="E5852" t="str">
            <v>STAR WARS BOX DARTH VADE</v>
          </cell>
          <cell r="F5852" t="str">
            <v>LIBRO</v>
          </cell>
          <cell r="H5852" t="str">
            <v>H. MANCHA</v>
          </cell>
          <cell r="I5852">
            <v>18.684000000000001</v>
          </cell>
        </row>
        <row r="5853">
          <cell r="A5853" t="str">
            <v>19-05853</v>
          </cell>
          <cell r="B5853" t="str">
            <v>H. MANCHA</v>
          </cell>
          <cell r="C5853" t="str">
            <v>A</v>
          </cell>
          <cell r="D5853" t="str">
            <v>NO</v>
          </cell>
          <cell r="E5853" t="str">
            <v>STAR WARS DARTH VADER</v>
          </cell>
          <cell r="F5853" t="str">
            <v>LIBRO</v>
          </cell>
          <cell r="H5853" t="str">
            <v>H. MANCHA</v>
          </cell>
          <cell r="I5853">
            <v>17.244</v>
          </cell>
        </row>
        <row r="5854">
          <cell r="A5854" t="str">
            <v>19-05854</v>
          </cell>
          <cell r="B5854" t="str">
            <v>H. MANCHA</v>
          </cell>
          <cell r="C5854" t="str">
            <v>A</v>
          </cell>
          <cell r="D5854" t="str">
            <v>NO</v>
          </cell>
          <cell r="E5854" t="str">
            <v>STAR WARS FORCE AWAKENS</v>
          </cell>
          <cell r="F5854" t="str">
            <v>LIBRO</v>
          </cell>
          <cell r="H5854" t="str">
            <v>H. MANCHA</v>
          </cell>
          <cell r="I5854">
            <v>6.444</v>
          </cell>
        </row>
        <row r="5855">
          <cell r="A5855" t="str">
            <v>19-05855</v>
          </cell>
          <cell r="B5855" t="str">
            <v>H. MANCHA</v>
          </cell>
          <cell r="C5855" t="str">
            <v>A</v>
          </cell>
          <cell r="D5855" t="str">
            <v>NO</v>
          </cell>
          <cell r="E5855" t="str">
            <v>STAR WARS SHATTERED EMPI</v>
          </cell>
          <cell r="F5855" t="str">
            <v>LIBRO</v>
          </cell>
          <cell r="H5855" t="str">
            <v>H. MANCHA</v>
          </cell>
          <cell r="I5855">
            <v>15.084</v>
          </cell>
        </row>
        <row r="5856">
          <cell r="A5856" t="str">
            <v>19-05856</v>
          </cell>
          <cell r="B5856" t="str">
            <v>H. MANCHA</v>
          </cell>
          <cell r="C5856" t="str">
            <v>A</v>
          </cell>
          <cell r="D5856" t="str">
            <v>NO</v>
          </cell>
          <cell r="E5856" t="str">
            <v>STAR WARS SKYWALKER STRI</v>
          </cell>
          <cell r="F5856" t="str">
            <v>LIBRO</v>
          </cell>
          <cell r="H5856" t="str">
            <v>H. MANCHA</v>
          </cell>
          <cell r="I5856">
            <v>17.244</v>
          </cell>
        </row>
        <row r="5857">
          <cell r="A5857" t="str">
            <v>19-05857</v>
          </cell>
          <cell r="B5857" t="str">
            <v>H. MANCHA</v>
          </cell>
          <cell r="C5857" t="str">
            <v>A</v>
          </cell>
          <cell r="D5857" t="str">
            <v>NO</v>
          </cell>
          <cell r="E5857" t="str">
            <v>STRANGENESS IN MY MIND, A (EXP</v>
          </cell>
          <cell r="F5857" t="str">
            <v>LIBRO</v>
          </cell>
          <cell r="H5857" t="str">
            <v>H. MANCHA</v>
          </cell>
          <cell r="I5857">
            <v>7.883</v>
          </cell>
        </row>
        <row r="5858">
          <cell r="A5858" t="str">
            <v>19-05858</v>
          </cell>
          <cell r="B5858" t="str">
            <v>H. MANCHA</v>
          </cell>
          <cell r="C5858" t="str">
            <v>A</v>
          </cell>
          <cell r="D5858" t="str">
            <v>NO</v>
          </cell>
          <cell r="E5858" t="str">
            <v>SUICIDE SQUAD VOL 01</v>
          </cell>
          <cell r="F5858" t="str">
            <v>LIBRO</v>
          </cell>
          <cell r="H5858" t="str">
            <v>H. MANCHA</v>
          </cell>
          <cell r="I5858">
            <v>12.923</v>
          </cell>
        </row>
        <row r="5859">
          <cell r="A5859" t="str">
            <v>19-05859</v>
          </cell>
          <cell r="B5859" t="str">
            <v>H. MANCHA</v>
          </cell>
          <cell r="C5859" t="str">
            <v>A</v>
          </cell>
          <cell r="D5859" t="str">
            <v>NO</v>
          </cell>
          <cell r="E5859" t="str">
            <v>SUN IS ALSO A STAR, THE (EXP)</v>
          </cell>
          <cell r="F5859" t="str">
            <v>LIBRO</v>
          </cell>
          <cell r="H5859" t="str">
            <v>H. MANCHA</v>
          </cell>
          <cell r="I5859">
            <v>10.042999999999999</v>
          </cell>
        </row>
        <row r="5860">
          <cell r="A5860" t="str">
            <v>19-05860</v>
          </cell>
          <cell r="B5860" t="str">
            <v>H. MANCHA</v>
          </cell>
          <cell r="C5860" t="str">
            <v>A</v>
          </cell>
          <cell r="D5860" t="str">
            <v>NO</v>
          </cell>
          <cell r="E5860" t="str">
            <v>SUPERATE ENSENA A TUS HI</v>
          </cell>
          <cell r="F5860" t="str">
            <v>LIBRO</v>
          </cell>
          <cell r="H5860" t="str">
            <v>H. MANCHA</v>
          </cell>
          <cell r="I5860">
            <v>5.7240000000000002</v>
          </cell>
        </row>
        <row r="5861">
          <cell r="A5861" t="str">
            <v>19-05861</v>
          </cell>
          <cell r="B5861" t="str">
            <v>H. MANCHA</v>
          </cell>
          <cell r="C5861" t="str">
            <v>A</v>
          </cell>
          <cell r="D5861" t="str">
            <v>NO</v>
          </cell>
          <cell r="E5861" t="str">
            <v>SUPERATE FORMULA MILLONA</v>
          </cell>
          <cell r="F5861" t="str">
            <v>LIBRO</v>
          </cell>
          <cell r="H5861" t="str">
            <v>H. MANCHA</v>
          </cell>
          <cell r="I5861">
            <v>5.7240000000000002</v>
          </cell>
        </row>
        <row r="5862">
          <cell r="A5862" t="str">
            <v>19-05862</v>
          </cell>
          <cell r="B5862" t="str">
            <v>H. MANCHA</v>
          </cell>
          <cell r="C5862" t="str">
            <v>A</v>
          </cell>
          <cell r="D5862" t="str">
            <v>NO</v>
          </cell>
          <cell r="E5862" t="str">
            <v>SUPERATE NUEVO COACHING</v>
          </cell>
          <cell r="F5862" t="str">
            <v>LIBRO</v>
          </cell>
          <cell r="H5862" t="str">
            <v>H. MANCHA</v>
          </cell>
          <cell r="I5862">
            <v>5.7240000000000002</v>
          </cell>
        </row>
        <row r="5863">
          <cell r="A5863" t="str">
            <v>19-05863</v>
          </cell>
          <cell r="B5863" t="str">
            <v>H. MANCHA</v>
          </cell>
          <cell r="C5863" t="str">
            <v>A</v>
          </cell>
          <cell r="D5863" t="str">
            <v>NO</v>
          </cell>
          <cell r="E5863" t="str">
            <v>SW: LORDS OF THE SITH</v>
          </cell>
          <cell r="F5863" t="str">
            <v>LIBRO</v>
          </cell>
          <cell r="H5863" t="str">
            <v>H. MANCHA</v>
          </cell>
          <cell r="I5863">
            <v>8.6029999999999998</v>
          </cell>
        </row>
        <row r="5864">
          <cell r="A5864" t="str">
            <v>19-05864</v>
          </cell>
          <cell r="B5864" t="str">
            <v>H. MANCHA</v>
          </cell>
          <cell r="C5864" t="str">
            <v>A</v>
          </cell>
          <cell r="D5864" t="str">
            <v>NO</v>
          </cell>
          <cell r="E5864" t="str">
            <v>THE ART OF WAR</v>
          </cell>
          <cell r="F5864" t="str">
            <v>LIBRO</v>
          </cell>
          <cell r="H5864" t="str">
            <v>H. MANCHA</v>
          </cell>
          <cell r="I5864">
            <v>15.084</v>
          </cell>
        </row>
        <row r="5865">
          <cell r="A5865" t="str">
            <v>19-05865</v>
          </cell>
          <cell r="B5865" t="str">
            <v>H. MANCHA</v>
          </cell>
          <cell r="C5865" t="str">
            <v>A</v>
          </cell>
          <cell r="D5865" t="str">
            <v>NO</v>
          </cell>
          <cell r="E5865" t="str">
            <v>THE HOUSE OF HADES</v>
          </cell>
          <cell r="F5865" t="str">
            <v>LIBRO</v>
          </cell>
          <cell r="H5865" t="str">
            <v>H. MANCHA</v>
          </cell>
          <cell r="I5865">
            <v>8.6039999999999992</v>
          </cell>
        </row>
        <row r="5866">
          <cell r="A5866" t="str">
            <v>19-05866</v>
          </cell>
          <cell r="B5866" t="str">
            <v>H. MANCHA</v>
          </cell>
          <cell r="C5866" t="str">
            <v>A</v>
          </cell>
          <cell r="D5866" t="str">
            <v>NO</v>
          </cell>
          <cell r="E5866" t="str">
            <v>THE TIPPING POINT</v>
          </cell>
          <cell r="F5866" t="str">
            <v>LIBRO</v>
          </cell>
          <cell r="H5866" t="str">
            <v>H. MANCHA</v>
          </cell>
          <cell r="I5866">
            <v>7.1630000000000003</v>
          </cell>
        </row>
        <row r="5867">
          <cell r="A5867" t="str">
            <v>19-05867</v>
          </cell>
          <cell r="B5867" t="str">
            <v>H. MANCHA</v>
          </cell>
          <cell r="C5867" t="str">
            <v>A</v>
          </cell>
          <cell r="D5867" t="str">
            <v>NO</v>
          </cell>
          <cell r="E5867" t="str">
            <v>TO KILL A MOCKINGBIRD</v>
          </cell>
          <cell r="F5867" t="str">
            <v>LIBRO</v>
          </cell>
          <cell r="H5867" t="str">
            <v>H. MANCHA</v>
          </cell>
          <cell r="I5867">
            <v>7.8840000000000003</v>
          </cell>
        </row>
        <row r="5868">
          <cell r="A5868" t="str">
            <v>19-05868</v>
          </cell>
          <cell r="B5868" t="str">
            <v>H. MANCHA</v>
          </cell>
          <cell r="C5868" t="str">
            <v>A</v>
          </cell>
          <cell r="D5868" t="str">
            <v>NO</v>
          </cell>
          <cell r="E5868" t="str">
            <v>TOUCH AND EXP FARM</v>
          </cell>
          <cell r="F5868" t="str">
            <v>LIBRO</v>
          </cell>
          <cell r="H5868" t="str">
            <v>H. MANCHA</v>
          </cell>
          <cell r="I5868">
            <v>13.643000000000001</v>
          </cell>
        </row>
        <row r="5869">
          <cell r="A5869" t="str">
            <v>19-05869</v>
          </cell>
          <cell r="B5869" t="str">
            <v>H. MANCHA</v>
          </cell>
          <cell r="C5869" t="str">
            <v>A</v>
          </cell>
          <cell r="D5869" t="str">
            <v>NO</v>
          </cell>
          <cell r="E5869" t="str">
            <v>TRAVESURAS DE LA NINA MALA</v>
          </cell>
          <cell r="F5869" t="str">
            <v>LIBRO</v>
          </cell>
          <cell r="H5869" t="str">
            <v>H. MANCHA</v>
          </cell>
          <cell r="I5869">
            <v>9.3249999999999993</v>
          </cell>
        </row>
        <row r="5870">
          <cell r="A5870" t="str">
            <v>19-05870</v>
          </cell>
          <cell r="B5870" t="str">
            <v>H. MANCHA</v>
          </cell>
          <cell r="C5870" t="str">
            <v>A</v>
          </cell>
          <cell r="D5870" t="str">
            <v>NO</v>
          </cell>
          <cell r="E5870" t="str">
            <v>TRIALS OF APOLLO</v>
          </cell>
          <cell r="F5870" t="str">
            <v>LIBRO</v>
          </cell>
          <cell r="H5870" t="str">
            <v>H. MANCHA</v>
          </cell>
          <cell r="I5870">
            <v>10.044</v>
          </cell>
        </row>
        <row r="5871">
          <cell r="A5871" t="str">
            <v>19-05871</v>
          </cell>
          <cell r="B5871" t="str">
            <v>H. MANCHA</v>
          </cell>
          <cell r="C5871" t="str">
            <v>A</v>
          </cell>
          <cell r="D5871" t="str">
            <v>NO</v>
          </cell>
          <cell r="E5871" t="str">
            <v>TUS ZONAS ERRONEAS</v>
          </cell>
          <cell r="F5871" t="str">
            <v>LIBRO</v>
          </cell>
          <cell r="H5871" t="str">
            <v>H. MANCHA</v>
          </cell>
          <cell r="I5871">
            <v>9.3230000000000004</v>
          </cell>
        </row>
        <row r="5872">
          <cell r="A5872" t="str">
            <v>19-05872</v>
          </cell>
          <cell r="B5872" t="str">
            <v>H. MANCHA</v>
          </cell>
          <cell r="C5872" t="str">
            <v>A</v>
          </cell>
          <cell r="D5872" t="str">
            <v>NO</v>
          </cell>
          <cell r="E5872" t="str">
            <v>TWILIGHT LIFE AND DEATH</v>
          </cell>
          <cell r="F5872" t="str">
            <v>LIBRO</v>
          </cell>
          <cell r="H5872" t="str">
            <v>H. MANCHA</v>
          </cell>
          <cell r="I5872">
            <v>19.402999999999999</v>
          </cell>
        </row>
        <row r="5873">
          <cell r="A5873" t="str">
            <v>19-05873</v>
          </cell>
          <cell r="B5873" t="str">
            <v>H. MANCHA</v>
          </cell>
          <cell r="C5873" t="str">
            <v>A</v>
          </cell>
          <cell r="D5873" t="str">
            <v>NO</v>
          </cell>
          <cell r="E5873" t="str">
            <v>UMBRAL DE LA ETERNIDAD, EL</v>
          </cell>
          <cell r="F5873" t="str">
            <v>LIBRO</v>
          </cell>
          <cell r="H5873" t="str">
            <v>H. MANCHA</v>
          </cell>
          <cell r="I5873">
            <v>9.3249999999999993</v>
          </cell>
        </row>
        <row r="5874">
          <cell r="A5874" t="str">
            <v>19-05874</v>
          </cell>
          <cell r="B5874" t="str">
            <v>H. MANCHA</v>
          </cell>
          <cell r="C5874" t="str">
            <v>A</v>
          </cell>
          <cell r="D5874" t="str">
            <v>NO</v>
          </cell>
          <cell r="E5874" t="str">
            <v>UN MONSTRUO VIENE A VERM</v>
          </cell>
          <cell r="F5874" t="str">
            <v>LIBRO</v>
          </cell>
          <cell r="H5874" t="str">
            <v>H. MANCHA</v>
          </cell>
          <cell r="I5874">
            <v>12.925000000000001</v>
          </cell>
        </row>
        <row r="5875">
          <cell r="A5875" t="str">
            <v>19-05875</v>
          </cell>
          <cell r="B5875" t="str">
            <v>H. MANCHA</v>
          </cell>
          <cell r="C5875" t="str">
            <v>A</v>
          </cell>
          <cell r="D5875" t="str">
            <v>NO</v>
          </cell>
          <cell r="E5875" t="str">
            <v>UNA PASION RUSA</v>
          </cell>
          <cell r="F5875" t="str">
            <v>LIBRO</v>
          </cell>
          <cell r="H5875" t="str">
            <v>H. MANCHA</v>
          </cell>
          <cell r="I5875">
            <v>18.684000000000001</v>
          </cell>
        </row>
        <row r="5876">
          <cell r="A5876" t="str">
            <v>19-05876</v>
          </cell>
          <cell r="B5876" t="str">
            <v>H. MANCHA</v>
          </cell>
          <cell r="C5876" t="str">
            <v>A</v>
          </cell>
          <cell r="D5876" t="str">
            <v>NO</v>
          </cell>
          <cell r="E5876" t="str">
            <v>UNIVERSAL PRINCIPLES OF</v>
          </cell>
          <cell r="F5876" t="str">
            <v>LIBRO</v>
          </cell>
          <cell r="H5876" t="str">
            <v>H. MANCHA</v>
          </cell>
          <cell r="I5876">
            <v>33.085000000000001</v>
          </cell>
        </row>
        <row r="5877">
          <cell r="A5877" t="str">
            <v>19-05877</v>
          </cell>
          <cell r="B5877" t="str">
            <v>H. MANCHA</v>
          </cell>
          <cell r="C5877" t="str">
            <v>A</v>
          </cell>
          <cell r="D5877" t="str">
            <v>NO</v>
          </cell>
          <cell r="E5877" t="str">
            <v>UNO MAS UNO</v>
          </cell>
          <cell r="F5877" t="str">
            <v>LIBRO</v>
          </cell>
          <cell r="H5877" t="str">
            <v>H. MANCHA</v>
          </cell>
          <cell r="I5877">
            <v>8.6039999999999992</v>
          </cell>
        </row>
        <row r="5878">
          <cell r="A5878" t="str">
            <v>19-05878</v>
          </cell>
          <cell r="B5878" t="str">
            <v>H. MANCHA</v>
          </cell>
          <cell r="C5878" t="str">
            <v>A</v>
          </cell>
          <cell r="D5878" t="str">
            <v>NO</v>
          </cell>
          <cell r="E5878" t="str">
            <v>VERY GOOD LIVES</v>
          </cell>
          <cell r="F5878" t="str">
            <v>LIBRO</v>
          </cell>
          <cell r="H5878" t="str">
            <v>H. MANCHA</v>
          </cell>
          <cell r="I5878">
            <v>12.923</v>
          </cell>
        </row>
        <row r="5879">
          <cell r="A5879" t="str">
            <v>19-05879</v>
          </cell>
          <cell r="B5879" t="str">
            <v>H. MANCHA</v>
          </cell>
          <cell r="C5879" t="str">
            <v>A</v>
          </cell>
          <cell r="D5879" t="str">
            <v>NO</v>
          </cell>
          <cell r="E5879" t="str">
            <v>WE'RE ALL WONDERS (EXP)</v>
          </cell>
          <cell r="F5879" t="str">
            <v>LIBRO</v>
          </cell>
          <cell r="H5879" t="str">
            <v>H. MANCHA</v>
          </cell>
          <cell r="I5879">
            <v>7.883</v>
          </cell>
        </row>
        <row r="5880">
          <cell r="A5880" t="str">
            <v>19-05880</v>
          </cell>
          <cell r="B5880" t="str">
            <v>H. MANCHA</v>
          </cell>
          <cell r="C5880" t="str">
            <v>A</v>
          </cell>
          <cell r="D5880" t="str">
            <v>NO</v>
          </cell>
          <cell r="E5880" t="str">
            <v>WHAT GOT YOU HERE</v>
          </cell>
          <cell r="F5880" t="str">
            <v>LIBRO</v>
          </cell>
          <cell r="H5880" t="str">
            <v>H. MANCHA</v>
          </cell>
          <cell r="I5880">
            <v>9.3249999999999993</v>
          </cell>
        </row>
        <row r="5881">
          <cell r="A5881" t="str">
            <v>19-05881</v>
          </cell>
          <cell r="B5881" t="str">
            <v>H. MANCHA</v>
          </cell>
          <cell r="C5881" t="str">
            <v>A</v>
          </cell>
          <cell r="D5881" t="str">
            <v>NO</v>
          </cell>
          <cell r="E5881" t="str">
            <v>WHOS HIDING</v>
          </cell>
          <cell r="F5881" t="str">
            <v>LIBRO</v>
          </cell>
          <cell r="H5881" t="str">
            <v>H. MANCHA</v>
          </cell>
          <cell r="I5881">
            <v>8.6039999999999992</v>
          </cell>
        </row>
        <row r="5882">
          <cell r="A5882" t="str">
            <v>19-05882</v>
          </cell>
          <cell r="B5882" t="str">
            <v>WEFORT LATAM</v>
          </cell>
          <cell r="C5882" t="str">
            <v>A</v>
          </cell>
          <cell r="D5882" t="str">
            <v>NO</v>
          </cell>
          <cell r="E5882" t="str">
            <v>WBBT68 MATTEL FISHER PRICE LEON DE ACTIVIDADES</v>
          </cell>
          <cell r="F5882" t="str">
            <v>JUGUETES</v>
          </cell>
          <cell r="G5882" t="str">
            <v>WBBT68</v>
          </cell>
          <cell r="H5882" t="str">
            <v>MATTEL</v>
          </cell>
          <cell r="I5882">
            <v>11.24</v>
          </cell>
        </row>
        <row r="5883">
          <cell r="A5883" t="str">
            <v>19-05883</v>
          </cell>
          <cell r="B5883" t="str">
            <v>WEFORT LATAM</v>
          </cell>
          <cell r="C5883" t="str">
            <v>A</v>
          </cell>
          <cell r="D5883" t="str">
            <v>SI</v>
          </cell>
          <cell r="E5883" t="str">
            <v>WCBH81 MATTEL FISHER PRICE AMIGUITOS DE ACTIVIDADES</v>
          </cell>
          <cell r="F5883" t="str">
            <v>JUGUETES</v>
          </cell>
          <cell r="G5883" t="str">
            <v>WCBH81</v>
          </cell>
          <cell r="H5883" t="str">
            <v>MATTEL</v>
          </cell>
          <cell r="I5883">
            <v>7.49</v>
          </cell>
        </row>
        <row r="5884">
          <cell r="A5884" t="str">
            <v>19-05884</v>
          </cell>
          <cell r="B5884" t="str">
            <v>WEFORT LATAM</v>
          </cell>
          <cell r="C5884" t="str">
            <v>A</v>
          </cell>
          <cell r="D5884" t="str">
            <v>SI</v>
          </cell>
          <cell r="E5884" t="str">
            <v>WCDR53 MATTEL FISHER PRICE BUHO DE ACTIVIDADES</v>
          </cell>
          <cell r="F5884" t="str">
            <v>JUGUETES</v>
          </cell>
          <cell r="G5884" t="str">
            <v>WCDR53</v>
          </cell>
          <cell r="H5884" t="str">
            <v>MATTEL</v>
          </cell>
          <cell r="I5884">
            <v>9.99</v>
          </cell>
        </row>
        <row r="5885">
          <cell r="A5885" t="str">
            <v>19-05885</v>
          </cell>
          <cell r="B5885" t="str">
            <v>WEFORT LATAM</v>
          </cell>
          <cell r="C5885" t="str">
            <v>A</v>
          </cell>
          <cell r="D5885" t="str">
            <v>NO</v>
          </cell>
          <cell r="E5885" t="str">
            <v>WCGR38 MATTEL FISHER PRICE HIPPO HORA DE DORMIR</v>
          </cell>
          <cell r="F5885" t="str">
            <v>JUGUETES</v>
          </cell>
          <cell r="G5885" t="str">
            <v>WCGR38</v>
          </cell>
          <cell r="H5885" t="str">
            <v>MATTEL</v>
          </cell>
          <cell r="I5885">
            <v>14.99</v>
          </cell>
        </row>
        <row r="5886">
          <cell r="A5886" t="str">
            <v>19-05886</v>
          </cell>
          <cell r="B5886" t="str">
            <v>WEFORT LATAM</v>
          </cell>
          <cell r="C5886" t="str">
            <v>A</v>
          </cell>
          <cell r="D5886" t="str">
            <v>NO</v>
          </cell>
          <cell r="E5886" t="str">
            <v>WCGR56 MATTEL FISHER PRICE KNIT TURTLE</v>
          </cell>
          <cell r="F5886" t="str">
            <v>JUGUETES</v>
          </cell>
          <cell r="G5886" t="str">
            <v>WCGR56</v>
          </cell>
          <cell r="H5886" t="str">
            <v>MATTEL</v>
          </cell>
          <cell r="I5886">
            <v>12.49</v>
          </cell>
        </row>
        <row r="5887">
          <cell r="A5887" t="str">
            <v>19-05887</v>
          </cell>
          <cell r="B5887" t="str">
            <v>WEFORT LATAM</v>
          </cell>
          <cell r="C5887" t="str">
            <v>A</v>
          </cell>
          <cell r="D5887" t="str">
            <v>SI</v>
          </cell>
          <cell r="E5887" t="str">
            <v>WDHW14 MATTEL FISHER PRICE CATERPILLAR</v>
          </cell>
          <cell r="F5887" t="str">
            <v>JUGUETES</v>
          </cell>
          <cell r="G5887" t="str">
            <v>WDHW14</v>
          </cell>
          <cell r="H5887" t="str">
            <v>MATTEL</v>
          </cell>
          <cell r="I5887">
            <v>8.74</v>
          </cell>
        </row>
        <row r="5888">
          <cell r="A5888" t="str">
            <v>19-05888</v>
          </cell>
          <cell r="B5888" t="str">
            <v>WEFORT LATAM</v>
          </cell>
          <cell r="C5888" t="str">
            <v>A</v>
          </cell>
          <cell r="D5888" t="str">
            <v>NO</v>
          </cell>
          <cell r="E5888" t="str">
            <v>WDJR54 MATTEL BARBIE BICYCLE</v>
          </cell>
          <cell r="F5888" t="str">
            <v>JUGUETES</v>
          </cell>
          <cell r="G5888" t="str">
            <v>WDJR54</v>
          </cell>
          <cell r="H5888" t="str">
            <v>MATTEL</v>
          </cell>
          <cell r="I5888">
            <v>17.489999999999998</v>
          </cell>
        </row>
        <row r="5889">
          <cell r="A5889" t="str">
            <v>19-05889</v>
          </cell>
          <cell r="B5889" t="str">
            <v>WEFORT LATAM</v>
          </cell>
          <cell r="C5889" t="str">
            <v>A</v>
          </cell>
          <cell r="D5889" t="str">
            <v>SI</v>
          </cell>
          <cell r="E5889" t="str">
            <v>WDKL20 MATTEL HOT WHEELS BATMAN 1:50 PREMIUM ASSORTED</v>
          </cell>
          <cell r="F5889" t="str">
            <v>JUGUETES</v>
          </cell>
          <cell r="G5889" t="str">
            <v>WDKL20</v>
          </cell>
          <cell r="H5889" t="str">
            <v>MATTEL</v>
          </cell>
          <cell r="I5889">
            <v>6.86</v>
          </cell>
        </row>
        <row r="5890">
          <cell r="A5890" t="str">
            <v>19-05890</v>
          </cell>
          <cell r="B5890" t="str">
            <v>WEFORT LATAM</v>
          </cell>
          <cell r="C5890" t="str">
            <v>A</v>
          </cell>
          <cell r="D5890" t="str">
            <v>SI</v>
          </cell>
          <cell r="E5890" t="str">
            <v>WDKV38 MATTEL CARS 1:55 AUTO</v>
          </cell>
          <cell r="F5890" t="str">
            <v>JUGUETES</v>
          </cell>
          <cell r="G5890" t="str">
            <v>WDKV38</v>
          </cell>
          <cell r="H5890" t="str">
            <v>MATTEL</v>
          </cell>
          <cell r="I5890">
            <v>5.74</v>
          </cell>
        </row>
        <row r="5891">
          <cell r="A5891" t="str">
            <v>19-05891</v>
          </cell>
          <cell r="B5891" t="str">
            <v>WEFORT LATAM</v>
          </cell>
          <cell r="C5891" t="str">
            <v>A</v>
          </cell>
          <cell r="D5891" t="str">
            <v>SI</v>
          </cell>
          <cell r="E5891" t="str">
            <v>WDLB45 MATTEL HOT WHEELS POP CULTURE - ASSORTED</v>
          </cell>
          <cell r="F5891" t="str">
            <v>JUGUETES</v>
          </cell>
          <cell r="G5891" t="str">
            <v>WDLB45</v>
          </cell>
          <cell r="H5891" t="str">
            <v>MATTEL</v>
          </cell>
          <cell r="I5891">
            <v>4.99</v>
          </cell>
        </row>
        <row r="5892">
          <cell r="A5892" t="str">
            <v>19-05892</v>
          </cell>
          <cell r="B5892" t="str">
            <v>WEFORT LATAM</v>
          </cell>
          <cell r="C5892" t="str">
            <v>A</v>
          </cell>
          <cell r="D5892" t="str">
            <v>SI</v>
          </cell>
          <cell r="E5892" t="str">
            <v>WDMH73 MATTEL HOT WHEELS ENTERTAINMENT - ASSORTED</v>
          </cell>
          <cell r="F5892" t="str">
            <v>JUGUETES</v>
          </cell>
          <cell r="G5892" t="str">
            <v>WDMH73</v>
          </cell>
          <cell r="H5892" t="str">
            <v>MATTEL</v>
          </cell>
          <cell r="I5892">
            <v>4.99</v>
          </cell>
        </row>
        <row r="5893">
          <cell r="A5893" t="str">
            <v>19-05893</v>
          </cell>
          <cell r="B5893" t="str">
            <v>WEFORT LATAM</v>
          </cell>
          <cell r="C5893" t="str">
            <v>A</v>
          </cell>
          <cell r="D5893" t="str">
            <v>SI</v>
          </cell>
          <cell r="E5893" t="str">
            <v>WDPK29 MATTEL SONAJAS - ASSORTED</v>
          </cell>
          <cell r="F5893" t="str">
            <v>JUGUETES</v>
          </cell>
          <cell r="G5893" t="str">
            <v>WDPK29</v>
          </cell>
          <cell r="H5893" t="str">
            <v>MATTEL</v>
          </cell>
          <cell r="I5893">
            <v>2.4900000000000002</v>
          </cell>
        </row>
        <row r="5894">
          <cell r="A5894" t="str">
            <v>19-05894</v>
          </cell>
          <cell r="B5894" t="str">
            <v>WEFORT LATAM</v>
          </cell>
          <cell r="C5894" t="str">
            <v>A</v>
          </cell>
          <cell r="D5894" t="str">
            <v>SI</v>
          </cell>
          <cell r="E5894" t="str">
            <v>WDPN24 MATTEL SONAJAS ANIMALITOS - ASSORTED</v>
          </cell>
          <cell r="F5894" t="str">
            <v>JUGUETES</v>
          </cell>
          <cell r="G5894" t="str">
            <v>WDPN24</v>
          </cell>
          <cell r="H5894" t="str">
            <v>MATTEL</v>
          </cell>
          <cell r="I5894">
            <v>8.39</v>
          </cell>
        </row>
        <row r="5895">
          <cell r="A5895" t="str">
            <v>19-05895</v>
          </cell>
          <cell r="B5895" t="str">
            <v>WEFORT LATAM</v>
          </cell>
          <cell r="C5895" t="str">
            <v>A</v>
          </cell>
          <cell r="D5895" t="str">
            <v>SI</v>
          </cell>
          <cell r="E5895" t="str">
            <v>WDPV24 MATTEL HOT WHEELS STAR WARS CARSHIPS - ASSORTED</v>
          </cell>
          <cell r="F5895" t="str">
            <v>JUGUETES</v>
          </cell>
          <cell r="G5895" t="str">
            <v>WDPV24</v>
          </cell>
          <cell r="H5895" t="str">
            <v>MATTEL</v>
          </cell>
          <cell r="I5895">
            <v>4.99</v>
          </cell>
        </row>
        <row r="5896">
          <cell r="A5896" t="str">
            <v>19-05896</v>
          </cell>
          <cell r="B5896" t="str">
            <v>WEFORT LATAM</v>
          </cell>
          <cell r="C5896" t="str">
            <v>A</v>
          </cell>
          <cell r="D5896" t="str">
            <v>SI</v>
          </cell>
          <cell r="E5896" t="str">
            <v>WDVD28 MATTEL CARS ACTION DRIVERS</v>
          </cell>
          <cell r="F5896" t="str">
            <v>JUGUETES</v>
          </cell>
          <cell r="G5896" t="str">
            <v>WDVD28</v>
          </cell>
          <cell r="H5896" t="str">
            <v>MATTEL</v>
          </cell>
          <cell r="I5896">
            <v>8.74</v>
          </cell>
        </row>
        <row r="5897">
          <cell r="A5897" t="str">
            <v>19-05897</v>
          </cell>
          <cell r="B5897" t="str">
            <v>WEFORT LATAM</v>
          </cell>
          <cell r="C5897" t="str">
            <v>A</v>
          </cell>
          <cell r="D5897" t="str">
            <v>NO</v>
          </cell>
          <cell r="E5897" t="str">
            <v>WDVF50 MATTEL BARBIE CAREER DOLL - ASSORTED</v>
          </cell>
          <cell r="F5897" t="str">
            <v>JUGUETES</v>
          </cell>
          <cell r="G5897" t="str">
            <v>WDVF50</v>
          </cell>
          <cell r="H5897" t="str">
            <v>MATTEL</v>
          </cell>
          <cell r="I5897">
            <v>10.75</v>
          </cell>
        </row>
        <row r="5898">
          <cell r="A5898" t="str">
            <v>19-05898</v>
          </cell>
          <cell r="B5898" t="str">
            <v>WEFORT LATAM</v>
          </cell>
          <cell r="C5898" t="str">
            <v>A</v>
          </cell>
          <cell r="D5898" t="str">
            <v>NO</v>
          </cell>
          <cell r="E5898" t="str">
            <v>WDVF68 MATTEL BARBIE MOVIMIENTOS DEPORTIVOS - ASSORTED</v>
          </cell>
          <cell r="F5898" t="str">
            <v>JUGUETES</v>
          </cell>
          <cell r="G5898" t="str">
            <v>WDVF68</v>
          </cell>
          <cell r="H5898" t="str">
            <v>MATTEL</v>
          </cell>
          <cell r="I5898">
            <v>17.489999999999998</v>
          </cell>
        </row>
        <row r="5899">
          <cell r="A5899" t="str">
            <v>19-05899</v>
          </cell>
          <cell r="B5899" t="str">
            <v>WEFORT LATAM</v>
          </cell>
          <cell r="C5899" t="str">
            <v>A</v>
          </cell>
          <cell r="D5899" t="str">
            <v>SI</v>
          </cell>
          <cell r="E5899" t="str">
            <v>WDVM97 MATTEL BARBIE MINI MERMAID - ASSORTED</v>
          </cell>
          <cell r="F5899" t="str">
            <v>JUGUETES</v>
          </cell>
          <cell r="G5899" t="str">
            <v>WDVM97</v>
          </cell>
          <cell r="H5899" t="str">
            <v>MATTEL</v>
          </cell>
          <cell r="I5899">
            <v>7.49</v>
          </cell>
        </row>
        <row r="5900">
          <cell r="A5900" t="str">
            <v>19-05900</v>
          </cell>
          <cell r="B5900" t="str">
            <v>WEFORT LATAM</v>
          </cell>
          <cell r="C5900" t="str">
            <v>A</v>
          </cell>
          <cell r="D5900" t="str">
            <v>NO</v>
          </cell>
          <cell r="E5900" t="str">
            <v>WDVX59 MATTEL BARBIE GLAM CONVERTIBLE</v>
          </cell>
          <cell r="F5900" t="str">
            <v>JUGUETES</v>
          </cell>
          <cell r="G5900" t="str">
            <v>WDVX59</v>
          </cell>
          <cell r="H5900" t="str">
            <v>MATTEL</v>
          </cell>
          <cell r="I5900">
            <v>14.29</v>
          </cell>
        </row>
        <row r="5901">
          <cell r="A5901" t="str">
            <v>19-05901</v>
          </cell>
          <cell r="B5901" t="str">
            <v>WEFORT LATAM</v>
          </cell>
          <cell r="C5901" t="str">
            <v>A</v>
          </cell>
          <cell r="D5901" t="str">
            <v>SI</v>
          </cell>
          <cell r="E5901" t="str">
            <v>WDWF68 MATTEL HOT WHEELS FAST &amp; FURIOUS - ASSORTED</v>
          </cell>
          <cell r="F5901" t="str">
            <v>JUGUETES</v>
          </cell>
          <cell r="G5901" t="str">
            <v>WDWF68</v>
          </cell>
          <cell r="H5901" t="str">
            <v>MATTEL</v>
          </cell>
          <cell r="I5901">
            <v>2.4900000000000002</v>
          </cell>
        </row>
        <row r="5902">
          <cell r="A5902" t="str">
            <v>19-05902</v>
          </cell>
          <cell r="B5902" t="str">
            <v>WEFORT LATAM</v>
          </cell>
          <cell r="C5902" t="str">
            <v>A</v>
          </cell>
          <cell r="D5902" t="str">
            <v>NO</v>
          </cell>
          <cell r="E5902" t="str">
            <v>WDWK44 MATTEL KEN FASHIONISTA DOLL / ASSORTED</v>
          </cell>
          <cell r="F5902" t="str">
            <v>JUGUETES</v>
          </cell>
          <cell r="G5902" t="str">
            <v>WDWK44</v>
          </cell>
          <cell r="H5902" t="str">
            <v>MATTEL</v>
          </cell>
          <cell r="I5902">
            <v>11.86</v>
          </cell>
        </row>
        <row r="5903">
          <cell r="A5903" t="str">
            <v>19-05903</v>
          </cell>
          <cell r="B5903" t="str">
            <v>WEFORT LATAM</v>
          </cell>
          <cell r="C5903" t="str">
            <v>A</v>
          </cell>
          <cell r="D5903" t="str">
            <v>N/A</v>
          </cell>
          <cell r="E5903" t="str">
            <v>WDWN83 MATTEL CODEAPILLAR</v>
          </cell>
          <cell r="F5903" t="str">
            <v>JUGUETES</v>
          </cell>
          <cell r="G5903" t="str">
            <v>WDWN83</v>
          </cell>
          <cell r="H5903" t="str">
            <v>MATTEL</v>
          </cell>
          <cell r="I5903">
            <v>0</v>
          </cell>
        </row>
        <row r="5904">
          <cell r="A5904" t="str">
            <v>19-05904</v>
          </cell>
          <cell r="B5904" t="str">
            <v>WEFORT LATAM</v>
          </cell>
          <cell r="C5904" t="str">
            <v>A</v>
          </cell>
          <cell r="D5904" t="str">
            <v>SI</v>
          </cell>
          <cell r="E5904" t="str">
            <v>WDXD96 MATTEL HOT WHEELS STAR WARS STARSHIPS - ASSORTED</v>
          </cell>
          <cell r="F5904" t="str">
            <v>JUGUETES</v>
          </cell>
          <cell r="G5904" t="str">
            <v>WDXD96</v>
          </cell>
          <cell r="H5904" t="str">
            <v>MATTEL</v>
          </cell>
          <cell r="I5904">
            <v>6.24</v>
          </cell>
        </row>
        <row r="5905">
          <cell r="A5905" t="str">
            <v>19-05905</v>
          </cell>
          <cell r="B5905" t="str">
            <v>WEFORT LATAM</v>
          </cell>
          <cell r="C5905" t="str">
            <v>A</v>
          </cell>
          <cell r="D5905" t="str">
            <v>SI</v>
          </cell>
          <cell r="E5905" t="str">
            <v>WDXN83 MATTEL HOT WHEELS STAR WARS CHARACTERS CAR - ASSORTED</v>
          </cell>
          <cell r="F5905" t="str">
            <v>JUGUETES</v>
          </cell>
          <cell r="G5905" t="str">
            <v>WDXN83</v>
          </cell>
          <cell r="H5905" t="str">
            <v>MATTEL</v>
          </cell>
          <cell r="I5905">
            <v>4.99</v>
          </cell>
        </row>
        <row r="5906">
          <cell r="A5906" t="str">
            <v>19-05906</v>
          </cell>
          <cell r="B5906" t="str">
            <v>WEFORT LATAM</v>
          </cell>
          <cell r="C5906" t="str">
            <v>A</v>
          </cell>
          <cell r="D5906" t="str">
            <v>NO</v>
          </cell>
          <cell r="E5906" t="str">
            <v>WFBD13 MATTEL CHAMELEON</v>
          </cell>
          <cell r="F5906" t="str">
            <v>JUGUETES</v>
          </cell>
          <cell r="G5906" t="str">
            <v>WFBD13</v>
          </cell>
          <cell r="H5906" t="str">
            <v>MATTEL</v>
          </cell>
          <cell r="I5906">
            <v>16.239999999999998</v>
          </cell>
        </row>
        <row r="5907">
          <cell r="A5907" t="str">
            <v>19-05907</v>
          </cell>
          <cell r="B5907" t="str">
            <v>WEFORT LATAM</v>
          </cell>
          <cell r="C5907" t="str">
            <v>A</v>
          </cell>
          <cell r="D5907" t="str">
            <v>SI</v>
          </cell>
          <cell r="E5907" t="str">
            <v>WFBG44 MATTEL HERO 8.5"</v>
          </cell>
          <cell r="F5907" t="str">
            <v>JUGUETES</v>
          </cell>
          <cell r="G5907" t="str">
            <v>WFBG44</v>
          </cell>
          <cell r="H5907" t="str">
            <v>MATTEL</v>
          </cell>
          <cell r="I5907">
            <v>8.74</v>
          </cell>
        </row>
        <row r="5908">
          <cell r="A5908" t="str">
            <v>19-05908</v>
          </cell>
          <cell r="B5908" t="str">
            <v>WEFORT LATAM</v>
          </cell>
          <cell r="C5908" t="str">
            <v>A</v>
          </cell>
          <cell r="D5908" t="str">
            <v>NO</v>
          </cell>
          <cell r="E5908" t="str">
            <v>WFBR37 MATTEL BARBIE FASHIONISTA</v>
          </cell>
          <cell r="F5908" t="str">
            <v>JUGUETES</v>
          </cell>
          <cell r="G5908" t="str">
            <v>WFBR37</v>
          </cell>
          <cell r="H5908" t="str">
            <v>MATTEL</v>
          </cell>
          <cell r="I5908">
            <v>11.86</v>
          </cell>
        </row>
        <row r="5909">
          <cell r="A5909" t="str">
            <v>19-05909</v>
          </cell>
          <cell r="B5909" t="str">
            <v>WEFORT LATAM</v>
          </cell>
          <cell r="C5909" t="str">
            <v>A</v>
          </cell>
          <cell r="D5909" t="str">
            <v>NO</v>
          </cell>
          <cell r="E5909" t="str">
            <v>WFCG28 MATTEL FAST AND FURIOUS STUNT STARS - ASSORTED</v>
          </cell>
          <cell r="F5909" t="str">
            <v>JUGUETES</v>
          </cell>
          <cell r="G5909" t="str">
            <v>WFCG28</v>
          </cell>
          <cell r="H5909" t="str">
            <v>MATTEL</v>
          </cell>
          <cell r="I5909">
            <v>12.38</v>
          </cell>
        </row>
        <row r="5910">
          <cell r="A5910" t="str">
            <v>19-05910</v>
          </cell>
          <cell r="B5910" t="str">
            <v>WEFORT LATAM</v>
          </cell>
          <cell r="C5910" t="str">
            <v>A</v>
          </cell>
          <cell r="D5910" t="str">
            <v>NO</v>
          </cell>
          <cell r="E5910" t="str">
            <v>WFDD12 MATTEL CARS TALKERS</v>
          </cell>
          <cell r="F5910" t="str">
            <v>JUGUETES</v>
          </cell>
          <cell r="G5910" t="str">
            <v>WFDD12</v>
          </cell>
          <cell r="H5910" t="str">
            <v>MATTEL</v>
          </cell>
          <cell r="I5910">
            <v>14.99</v>
          </cell>
        </row>
        <row r="5911">
          <cell r="A5911" t="str">
            <v>19-05911</v>
          </cell>
          <cell r="B5911" t="str">
            <v>WEFORT LATAM</v>
          </cell>
          <cell r="C5911" t="str">
            <v>A</v>
          </cell>
          <cell r="D5911" t="str">
            <v>SI</v>
          </cell>
          <cell r="E5911" t="str">
            <v>WFFB68 MATTEL MUSIC - ASSORTED</v>
          </cell>
          <cell r="F5911" t="str">
            <v>JUGUETES</v>
          </cell>
          <cell r="G5911" t="str">
            <v>WFFB68</v>
          </cell>
          <cell r="H5911" t="str">
            <v>MATTEL</v>
          </cell>
          <cell r="I5911">
            <v>3.74</v>
          </cell>
        </row>
        <row r="5912">
          <cell r="A5912" t="str">
            <v>19-05912</v>
          </cell>
          <cell r="B5912" t="str">
            <v>WEFORT LATAM</v>
          </cell>
          <cell r="C5912" t="str">
            <v>A</v>
          </cell>
          <cell r="D5912" t="str">
            <v>SI</v>
          </cell>
          <cell r="E5912" t="str">
            <v>WFFJ52 MATTEL CARS DIECAST KEY CHARACTER</v>
          </cell>
          <cell r="F5912" t="str">
            <v>JUGUETES</v>
          </cell>
          <cell r="G5912" t="str">
            <v>WFFJ52</v>
          </cell>
          <cell r="H5912" t="str">
            <v>MATTEL</v>
          </cell>
          <cell r="I5912">
            <v>4.49</v>
          </cell>
        </row>
        <row r="5913">
          <cell r="A5913" t="str">
            <v>19-05913</v>
          </cell>
          <cell r="B5913" t="str">
            <v>WEFORT LATAM</v>
          </cell>
          <cell r="C5913" t="str">
            <v>A</v>
          </cell>
          <cell r="D5913" t="str">
            <v>SI</v>
          </cell>
          <cell r="E5913" t="str">
            <v>WFNB91 MATTEL UNO CARTAS DESPICABLE ME</v>
          </cell>
          <cell r="F5913" t="str">
            <v>JUGUETES</v>
          </cell>
          <cell r="G5913" t="str">
            <v>WFNB91</v>
          </cell>
          <cell r="H5913" t="str">
            <v>MATTEL</v>
          </cell>
          <cell r="I5913">
            <v>4.99</v>
          </cell>
        </row>
        <row r="5914">
          <cell r="A5914" t="str">
            <v>19-05914</v>
          </cell>
          <cell r="B5914" t="str">
            <v>WEFORT LATAM</v>
          </cell>
          <cell r="C5914" t="str">
            <v>A</v>
          </cell>
          <cell r="D5914" t="str">
            <v>SI</v>
          </cell>
          <cell r="E5914" t="str">
            <v>WW3151 MATTEL FISHER PRICE ORUGA DE ACTIVIDADES</v>
          </cell>
          <cell r="F5914" t="str">
            <v>JUGUETES</v>
          </cell>
          <cell r="G5914" t="str">
            <v>WW3151</v>
          </cell>
          <cell r="H5914" t="str">
            <v>MATTEL</v>
          </cell>
          <cell r="I5914">
            <v>9.99</v>
          </cell>
        </row>
        <row r="5915">
          <cell r="A5915" t="str">
            <v>19-05915</v>
          </cell>
          <cell r="B5915" t="str">
            <v>DIST. LEWIS</v>
          </cell>
          <cell r="C5915" t="str">
            <v>A</v>
          </cell>
          <cell r="D5915" t="str">
            <v>SI</v>
          </cell>
          <cell r="E5915" t="str">
            <v>COSAS DE CASA</v>
          </cell>
          <cell r="F5915" t="str">
            <v>MAGAZINE</v>
          </cell>
          <cell r="G5915">
            <v>195386</v>
          </cell>
          <cell r="H5915" t="str">
            <v>DIST. LEWIS</v>
          </cell>
          <cell r="I5915">
            <v>2.4</v>
          </cell>
        </row>
        <row r="5916">
          <cell r="A5916" t="str">
            <v>19-05916</v>
          </cell>
          <cell r="B5916" t="str">
            <v>DESIGN GO</v>
          </cell>
          <cell r="C5916" t="str">
            <v>A</v>
          </cell>
          <cell r="D5916" t="str">
            <v>NO</v>
          </cell>
          <cell r="E5916" t="str">
            <v>2006 GO TRAVEL DIGITAL SCALE</v>
          </cell>
          <cell r="F5916" t="str">
            <v>TRAVEL ACCESSORIES</v>
          </cell>
          <cell r="G5916">
            <v>2006</v>
          </cell>
          <cell r="H5916" t="str">
            <v>GO TRAVEL</v>
          </cell>
          <cell r="I5916">
            <v>4.8529999999999998</v>
          </cell>
        </row>
        <row r="5917">
          <cell r="A5917" t="str">
            <v>19-05917</v>
          </cell>
          <cell r="B5917" t="str">
            <v>WEFORT LATAM</v>
          </cell>
          <cell r="C5917" t="str">
            <v>A</v>
          </cell>
          <cell r="D5917" t="str">
            <v>NO</v>
          </cell>
          <cell r="E5917" t="str">
            <v>W10603 LEGO DUPLO MY FIRST BUS U/C 2</v>
          </cell>
          <cell r="F5917" t="str">
            <v>JUGUETES</v>
          </cell>
          <cell r="G5917" t="str">
            <v>W10603</v>
          </cell>
          <cell r="H5917" t="str">
            <v>LEGO</v>
          </cell>
          <cell r="I5917">
            <v>16.239999999999998</v>
          </cell>
        </row>
        <row r="5918">
          <cell r="A5918" t="str">
            <v>19-05918</v>
          </cell>
          <cell r="B5918" t="str">
            <v>WEFORT LATAM</v>
          </cell>
          <cell r="C5918" t="str">
            <v>A</v>
          </cell>
          <cell r="D5918" t="str">
            <v>NO</v>
          </cell>
          <cell r="E5918" t="str">
            <v>W75131 LEGO STAR WARS RESISTANCE TROOPER BATTLE PACK V39 U/C 8</v>
          </cell>
          <cell r="F5918" t="str">
            <v>JUGUETES</v>
          </cell>
          <cell r="G5918" t="str">
            <v>W75131</v>
          </cell>
          <cell r="H5918" t="str">
            <v>LEGO</v>
          </cell>
          <cell r="I5918">
            <v>13.58</v>
          </cell>
        </row>
        <row r="5919">
          <cell r="A5919" t="str">
            <v>19-05919</v>
          </cell>
          <cell r="B5919" t="str">
            <v>WEFORT LATAM</v>
          </cell>
          <cell r="C5919" t="str">
            <v>A</v>
          </cell>
          <cell r="D5919" t="str">
            <v>NO</v>
          </cell>
          <cell r="E5919" t="str">
            <v>W41065 LEGO DISNEY RAPUNZEL'S BEST DAY EVER E/C 6</v>
          </cell>
          <cell r="F5919" t="str">
            <v>JUGUETES</v>
          </cell>
          <cell r="G5919" t="str">
            <v>W41065</v>
          </cell>
          <cell r="H5919" t="str">
            <v>LEGO</v>
          </cell>
          <cell r="I5919">
            <v>21.45</v>
          </cell>
        </row>
        <row r="5920">
          <cell r="A5920" t="str">
            <v>19-05920</v>
          </cell>
          <cell r="B5920" t="str">
            <v>WEFORT LATAM</v>
          </cell>
          <cell r="C5920" t="str">
            <v>A</v>
          </cell>
          <cell r="D5920" t="str">
            <v>SI</v>
          </cell>
          <cell r="E5920" t="str">
            <v>W31057 LEGO CREATOR AIR BLAZER</v>
          </cell>
          <cell r="F5920" t="str">
            <v>JUGUETES</v>
          </cell>
          <cell r="G5920" t="str">
            <v>W31057</v>
          </cell>
          <cell r="H5920" t="str">
            <v>LEGO</v>
          </cell>
          <cell r="I5920">
            <v>9.9499999999999993</v>
          </cell>
        </row>
        <row r="5921">
          <cell r="A5921" t="str">
            <v>19-05921</v>
          </cell>
          <cell r="B5921" t="str">
            <v>WEFORT LATAM</v>
          </cell>
          <cell r="C5921" t="str">
            <v>A</v>
          </cell>
          <cell r="D5921" t="str">
            <v>NO</v>
          </cell>
          <cell r="E5921" t="str">
            <v>W41147 LEGO DISNEY ANNA'S SNOW ADVENTURE</v>
          </cell>
          <cell r="F5921" t="str">
            <v>JUGUETES</v>
          </cell>
          <cell r="G5921" t="str">
            <v>W41147</v>
          </cell>
          <cell r="H5921" t="str">
            <v>LEGO</v>
          </cell>
          <cell r="I5921">
            <v>20.91</v>
          </cell>
        </row>
        <row r="5922">
          <cell r="A5922" t="str">
            <v>19-05922</v>
          </cell>
          <cell r="B5922" t="str">
            <v>WEFORT LATAM</v>
          </cell>
          <cell r="C5922" t="str">
            <v>A</v>
          </cell>
          <cell r="D5922" t="str">
            <v>NO</v>
          </cell>
          <cell r="E5922" t="str">
            <v>W42057 LEGO TECHNIC ULTRALIGHT HELICOPTER</v>
          </cell>
          <cell r="F5922" t="str">
            <v>JUGUETES</v>
          </cell>
          <cell r="G5922" t="str">
            <v>W42057</v>
          </cell>
          <cell r="H5922" t="str">
            <v>LEGO</v>
          </cell>
          <cell r="I5922">
            <v>20.91</v>
          </cell>
        </row>
        <row r="5923">
          <cell r="A5923" t="str">
            <v>19-05923</v>
          </cell>
          <cell r="B5923" t="str">
            <v>WEFORT LATAM</v>
          </cell>
          <cell r="C5923" t="str">
            <v>A</v>
          </cell>
          <cell r="D5923" t="str">
            <v>NO</v>
          </cell>
          <cell r="E5923" t="str">
            <v>W21129 LEGO MINECRAFT THE MUSHROOM ISLAND</v>
          </cell>
          <cell r="F5923" t="str">
            <v>JUGUETES</v>
          </cell>
          <cell r="G5923" t="str">
            <v>W21129</v>
          </cell>
          <cell r="H5923" t="str">
            <v>LEGO</v>
          </cell>
          <cell r="I5923">
            <v>20.91</v>
          </cell>
        </row>
        <row r="5924">
          <cell r="A5924" t="str">
            <v>19-05924</v>
          </cell>
          <cell r="B5924" t="str">
            <v>WEFORT LATAM</v>
          </cell>
          <cell r="C5924" t="str">
            <v>A</v>
          </cell>
          <cell r="D5924" t="str">
            <v>SI</v>
          </cell>
          <cell r="E5924" t="str">
            <v>W75160 LEGO STAR WARS U-WING MICROFIGHTER</v>
          </cell>
          <cell r="F5924" t="str">
            <v>JUGUETES</v>
          </cell>
          <cell r="G5924" t="str">
            <v>W75160</v>
          </cell>
          <cell r="H5924" t="str">
            <v>LEGO</v>
          </cell>
          <cell r="I5924">
            <v>9.9499999999999993</v>
          </cell>
        </row>
        <row r="5925">
          <cell r="A5925" t="str">
            <v>19-05925</v>
          </cell>
          <cell r="B5925" t="str">
            <v>WEFORT LATAM</v>
          </cell>
          <cell r="C5925" t="str">
            <v>A</v>
          </cell>
          <cell r="D5925" t="str">
            <v>NO</v>
          </cell>
          <cell r="E5925" t="str">
            <v>W75168 LEGO STAR WARS YODA'S JEDI STARFIGHTER</v>
          </cell>
          <cell r="F5925" t="str">
            <v>JUGUETES</v>
          </cell>
          <cell r="G5925" t="str">
            <v>W75168</v>
          </cell>
          <cell r="H5925" t="str">
            <v>LEGO</v>
          </cell>
          <cell r="I5925">
            <v>26.58</v>
          </cell>
        </row>
        <row r="5926">
          <cell r="A5926" t="str">
            <v>19-05926</v>
          </cell>
          <cell r="B5926" t="str">
            <v>WEFORT LATAM</v>
          </cell>
          <cell r="C5926" t="str">
            <v>A</v>
          </cell>
          <cell r="D5926" t="str">
            <v>NO</v>
          </cell>
          <cell r="E5926" t="str">
            <v>W76076 LEGO SUPER HEROES CAPTAIN AMERICA JET PURSUIT</v>
          </cell>
          <cell r="F5926" t="str">
            <v>JUGUETES</v>
          </cell>
          <cell r="G5926" t="str">
            <v>W76076</v>
          </cell>
          <cell r="H5926" t="str">
            <v>LEGO</v>
          </cell>
          <cell r="I5926">
            <v>20.91</v>
          </cell>
        </row>
        <row r="5927">
          <cell r="A5927" t="str">
            <v>19-05927</v>
          </cell>
          <cell r="B5927" t="str">
            <v>WEFORT LATAM</v>
          </cell>
          <cell r="C5927" t="str">
            <v>A</v>
          </cell>
          <cell r="D5927" t="str">
            <v>SI</v>
          </cell>
          <cell r="E5927" t="str">
            <v>W71018 LEGO MINI FIGURES SERIES 17</v>
          </cell>
          <cell r="F5927" t="str">
            <v>JUGUETES</v>
          </cell>
          <cell r="G5927" t="str">
            <v>W71018</v>
          </cell>
          <cell r="H5927" t="str">
            <v>LEGO</v>
          </cell>
          <cell r="I5927">
            <v>2.75</v>
          </cell>
        </row>
        <row r="5928">
          <cell r="A5928" t="str">
            <v>19-05928</v>
          </cell>
          <cell r="B5928" t="str">
            <v>WEFORT LATAM</v>
          </cell>
          <cell r="C5928" t="str">
            <v>A</v>
          </cell>
          <cell r="D5928" t="str">
            <v>NO</v>
          </cell>
          <cell r="E5928" t="str">
            <v>W70913 LEGO BATMAN MOVIE SCARECROW FEARFUL FACE OFF</v>
          </cell>
          <cell r="F5928" t="str">
            <v>JUGUETES</v>
          </cell>
          <cell r="G5928" t="str">
            <v>W70913</v>
          </cell>
          <cell r="H5928" t="str">
            <v>LEGO</v>
          </cell>
          <cell r="I5928">
            <v>13.48</v>
          </cell>
        </row>
        <row r="5929">
          <cell r="A5929" t="str">
            <v>19-05929</v>
          </cell>
          <cell r="B5929" t="str">
            <v>WEFORT LATAM</v>
          </cell>
          <cell r="C5929" t="str">
            <v>A</v>
          </cell>
          <cell r="D5929" t="str">
            <v>NO</v>
          </cell>
          <cell r="E5929" t="str">
            <v>W76085 LEGO SUPER HEROES BATTLE OF ATLANTIS</v>
          </cell>
          <cell r="F5929" t="str">
            <v>JUGUETES</v>
          </cell>
          <cell r="G5929" t="str">
            <v>W76085</v>
          </cell>
          <cell r="H5929" t="str">
            <v>LEGO</v>
          </cell>
          <cell r="I5929">
            <v>22.32</v>
          </cell>
        </row>
        <row r="5930">
          <cell r="A5930" t="str">
            <v>19-05930</v>
          </cell>
          <cell r="B5930" t="str">
            <v>WEFORT LATAM</v>
          </cell>
          <cell r="C5930" t="str">
            <v>A</v>
          </cell>
          <cell r="D5930" t="str">
            <v>NO</v>
          </cell>
          <cell r="E5930" t="str">
            <v>W10597 LEGO MICKEY &amp; MINNIE BIRTHDAY PARADE</v>
          </cell>
          <cell r="F5930" t="str">
            <v>JUGUETES</v>
          </cell>
          <cell r="G5930" t="str">
            <v>W10597</v>
          </cell>
          <cell r="H5930" t="str">
            <v>LEGO</v>
          </cell>
          <cell r="I5930">
            <v>28.41</v>
          </cell>
        </row>
        <row r="5931">
          <cell r="A5931" t="str">
            <v>19-05931</v>
          </cell>
          <cell r="B5931" t="str">
            <v>WEFORT LATAM</v>
          </cell>
          <cell r="C5931" t="str">
            <v>A</v>
          </cell>
          <cell r="D5931" t="str">
            <v>NO</v>
          </cell>
          <cell r="E5931" t="str">
            <v>W60147 LEGO CITY FISHING BOAT</v>
          </cell>
          <cell r="F5931" t="str">
            <v>JUGUETES</v>
          </cell>
          <cell r="G5931" t="str">
            <v>W60147</v>
          </cell>
          <cell r="H5931" t="str">
            <v>LEGO</v>
          </cell>
          <cell r="I5931">
            <v>20.91</v>
          </cell>
        </row>
        <row r="5932">
          <cell r="A5932" t="str">
            <v>19-05932</v>
          </cell>
          <cell r="B5932" t="str">
            <v>WEFORT LATAM</v>
          </cell>
          <cell r="C5932" t="str">
            <v>A</v>
          </cell>
          <cell r="D5932" t="str">
            <v>SI</v>
          </cell>
          <cell r="E5932" t="str">
            <v>W70365 LEGO NEXO KNIGHTS BATTLE SUIT</v>
          </cell>
          <cell r="F5932" t="str">
            <v>JUGUETES</v>
          </cell>
          <cell r="G5932" t="str">
            <v>W70365</v>
          </cell>
          <cell r="H5932" t="str">
            <v>LEGO</v>
          </cell>
          <cell r="I5932">
            <v>9.43</v>
          </cell>
        </row>
        <row r="5933">
          <cell r="A5933" t="str">
            <v>19-05933</v>
          </cell>
          <cell r="B5933" t="str">
            <v>WEFORT LATAM</v>
          </cell>
          <cell r="C5933" t="str">
            <v>A</v>
          </cell>
          <cell r="D5933" t="str">
            <v>SI</v>
          </cell>
          <cell r="E5933" t="str">
            <v>W70336 LEGO NEXO KNIGHTS ULTIMATE</v>
          </cell>
          <cell r="F5933" t="str">
            <v>JUGUETES</v>
          </cell>
          <cell r="G5933" t="str">
            <v>W70336</v>
          </cell>
          <cell r="H5933" t="str">
            <v>LEGO</v>
          </cell>
          <cell r="I5933">
            <v>9.43</v>
          </cell>
        </row>
        <row r="5934">
          <cell r="A5934" t="str">
            <v>19-05934</v>
          </cell>
          <cell r="B5934" t="str">
            <v>WEFORT LATAM</v>
          </cell>
          <cell r="C5934" t="str">
            <v>A</v>
          </cell>
          <cell r="D5934" t="str">
            <v>SI</v>
          </cell>
          <cell r="E5934" t="str">
            <v>W70606 LEGO SPINJITZU TRAINING</v>
          </cell>
          <cell r="F5934" t="str">
            <v>JUGUETES</v>
          </cell>
          <cell r="G5934" t="str">
            <v>W70606</v>
          </cell>
          <cell r="H5934" t="str">
            <v>LEGO</v>
          </cell>
          <cell r="I5934">
            <v>9.9499999999999993</v>
          </cell>
        </row>
        <row r="5935">
          <cell r="A5935" t="str">
            <v>19-05935</v>
          </cell>
          <cell r="B5935" t="str">
            <v>WEFORT LATAM</v>
          </cell>
          <cell r="C5935" t="str">
            <v>A</v>
          </cell>
          <cell r="D5935" t="str">
            <v>NO</v>
          </cell>
          <cell r="E5935" t="str">
            <v>W70607 LEGO NINJAGO CITY CHASE</v>
          </cell>
          <cell r="F5935" t="str">
            <v>JUGUETES</v>
          </cell>
          <cell r="G5935" t="str">
            <v>W70607</v>
          </cell>
          <cell r="H5935" t="str">
            <v>LEGO</v>
          </cell>
          <cell r="I5935">
            <v>20.91</v>
          </cell>
        </row>
        <row r="5936">
          <cell r="A5936" t="str">
            <v>19-05936</v>
          </cell>
          <cell r="B5936" t="str">
            <v>WEFORT LATAM</v>
          </cell>
          <cell r="C5936" t="str">
            <v>A</v>
          </cell>
          <cell r="D5936" t="str">
            <v>NO</v>
          </cell>
          <cell r="E5936" t="str">
            <v>W70902 LEGO BATMAN MOVIE CATWOMAN CATCYCLE CHASE</v>
          </cell>
          <cell r="F5936" t="str">
            <v>JUGUETES</v>
          </cell>
          <cell r="G5936" t="str">
            <v>W70902</v>
          </cell>
          <cell r="H5936" t="str">
            <v>LEGO</v>
          </cell>
          <cell r="I5936">
            <v>20.91</v>
          </cell>
        </row>
        <row r="5937">
          <cell r="A5937" t="str">
            <v>19-05937</v>
          </cell>
          <cell r="B5937" t="str">
            <v>WEFORT LATAM</v>
          </cell>
          <cell r="C5937" t="str">
            <v>A</v>
          </cell>
          <cell r="D5937" t="str">
            <v>NO</v>
          </cell>
          <cell r="E5937" t="str">
            <v>W75166 LEGO STAR WARS FIRST ORDER TRANSPORT SPEEDER BATTLE PACK</v>
          </cell>
          <cell r="F5937" t="str">
            <v>JUGUETES</v>
          </cell>
          <cell r="G5937" t="str">
            <v>W75166</v>
          </cell>
          <cell r="H5937" t="str">
            <v>LEGO</v>
          </cell>
          <cell r="I5937">
            <v>17.72</v>
          </cell>
        </row>
        <row r="5938">
          <cell r="A5938" t="str">
            <v>19-05938</v>
          </cell>
          <cell r="B5938" t="str">
            <v>WEFORT LATAM</v>
          </cell>
          <cell r="C5938" t="str">
            <v>A</v>
          </cell>
          <cell r="D5938" t="str">
            <v>NO</v>
          </cell>
          <cell r="E5938" t="str">
            <v>W75877 LEGO SPEED CHAMPIONS MERCEDES AMG GT3</v>
          </cell>
          <cell r="F5938" t="str">
            <v>JUGUETES</v>
          </cell>
          <cell r="G5938" t="str">
            <v>W75877</v>
          </cell>
          <cell r="H5938" t="str">
            <v>LEGO</v>
          </cell>
          <cell r="I5938">
            <v>17.72</v>
          </cell>
        </row>
        <row r="5939">
          <cell r="A5939" t="str">
            <v>19-05939</v>
          </cell>
          <cell r="B5939" t="str">
            <v>WEFORT LATAM</v>
          </cell>
          <cell r="C5939" t="str">
            <v>A</v>
          </cell>
          <cell r="D5939" t="str">
            <v>NO</v>
          </cell>
          <cell r="E5939" t="str">
            <v>W75878 LEGO SPEED CHAMPIONS BUGATTI CHIRON</v>
          </cell>
          <cell r="F5939" t="str">
            <v>JUGUETES</v>
          </cell>
          <cell r="G5939" t="str">
            <v>W75878</v>
          </cell>
          <cell r="H5939" t="str">
            <v>LEGO</v>
          </cell>
          <cell r="I5939">
            <v>17.72</v>
          </cell>
        </row>
        <row r="5940">
          <cell r="A5940" t="str">
            <v>19-05940</v>
          </cell>
          <cell r="B5940" t="str">
            <v>WEFORT LATAM</v>
          </cell>
          <cell r="C5940" t="str">
            <v>A</v>
          </cell>
          <cell r="D5940" t="str">
            <v>NO</v>
          </cell>
          <cell r="E5940" t="str">
            <v>W75880 LEGO SPEED CHAMPIONS MCLAREN</v>
          </cell>
          <cell r="F5940" t="str">
            <v>JUGUETES</v>
          </cell>
          <cell r="G5940" t="str">
            <v>W75880</v>
          </cell>
          <cell r="H5940" t="str">
            <v>LEGO</v>
          </cell>
          <cell r="I5940">
            <v>17.72</v>
          </cell>
        </row>
        <row r="5941">
          <cell r="A5941" t="str">
            <v>19-05941</v>
          </cell>
          <cell r="B5941" t="str">
            <v>WEFORT LATAM</v>
          </cell>
          <cell r="C5941" t="str">
            <v>A</v>
          </cell>
          <cell r="D5941" t="str">
            <v>N/A</v>
          </cell>
          <cell r="E5941" t="str">
            <v>B3691 HASBRO STAR WARS KYLO REN LIGHTSABER</v>
          </cell>
          <cell r="F5941" t="str">
            <v>JUGUETES</v>
          </cell>
          <cell r="G5941" t="str">
            <v>B3691</v>
          </cell>
          <cell r="H5941" t="str">
            <v>HASBRO</v>
          </cell>
          <cell r="I5941">
            <v>0</v>
          </cell>
        </row>
        <row r="5942">
          <cell r="A5942" t="str">
            <v>19-05942</v>
          </cell>
          <cell r="B5942" t="str">
            <v>WEFORT LATAM</v>
          </cell>
          <cell r="C5942" t="str">
            <v>A</v>
          </cell>
          <cell r="D5942" t="str">
            <v>SI</v>
          </cell>
          <cell r="E5942" t="str">
            <v>WA8330 HASBRO MY LITTLE PONY BLIND BAG 24 PACK</v>
          </cell>
          <cell r="F5942" t="str">
            <v>JUGUETES</v>
          </cell>
          <cell r="G5942" t="str">
            <v>WA8330</v>
          </cell>
          <cell r="H5942" t="str">
            <v>HASBRO</v>
          </cell>
          <cell r="I5942">
            <v>1.68</v>
          </cell>
        </row>
        <row r="5943">
          <cell r="A5943" t="str">
            <v>19-05943</v>
          </cell>
          <cell r="B5943" t="str">
            <v>WEFORT LATAM</v>
          </cell>
          <cell r="C5943" t="str">
            <v>A</v>
          </cell>
          <cell r="D5943" t="str">
            <v>SI</v>
          </cell>
          <cell r="E5943" t="str">
            <v>WB2044 HASBRO MARVEL HEROES FEATURED FIGURE ASSORTED PACK</v>
          </cell>
          <cell r="F5943" t="str">
            <v>JUGUETES</v>
          </cell>
          <cell r="G5943" t="str">
            <v>WB2044</v>
          </cell>
          <cell r="H5943" t="str">
            <v>HASBRO</v>
          </cell>
          <cell r="I5943">
            <v>4.79</v>
          </cell>
        </row>
        <row r="5944">
          <cell r="A5944" t="str">
            <v>19-05944</v>
          </cell>
          <cell r="B5944" t="str">
            <v>WEFORT LATAM</v>
          </cell>
          <cell r="C5944" t="str">
            <v>A</v>
          </cell>
          <cell r="D5944" t="str">
            <v>SI</v>
          </cell>
          <cell r="E5944" t="str">
            <v>WB4697 HASBRO TRANSFORMERS TITAN MASTERS 1.5"</v>
          </cell>
          <cell r="F5944" t="str">
            <v>JUGUETES</v>
          </cell>
          <cell r="G5944" t="str">
            <v>WB4697</v>
          </cell>
          <cell r="H5944" t="str">
            <v>HASBRO</v>
          </cell>
          <cell r="I5944">
            <v>5.12</v>
          </cell>
        </row>
        <row r="5945">
          <cell r="A5945" t="str">
            <v>19-05945</v>
          </cell>
          <cell r="B5945" t="str">
            <v>WEFORT LATAM</v>
          </cell>
          <cell r="C5945" t="str">
            <v>A</v>
          </cell>
          <cell r="D5945" t="str">
            <v>SI</v>
          </cell>
          <cell r="E5945" t="str">
            <v>WB4909 HASBRO MY LITTLE PONY MINI CHARACTER ACCESSORY PACK</v>
          </cell>
          <cell r="F5945" t="str">
            <v>JUGUETES</v>
          </cell>
          <cell r="G5945" t="str">
            <v>WB4909</v>
          </cell>
          <cell r="H5945" t="str">
            <v>HASBRO</v>
          </cell>
          <cell r="I5945">
            <v>9.07</v>
          </cell>
        </row>
        <row r="5946">
          <cell r="A5946" t="str">
            <v>19-05946</v>
          </cell>
          <cell r="B5946" t="str">
            <v>WEFORT LATAM</v>
          </cell>
          <cell r="C5946" t="str">
            <v>A</v>
          </cell>
          <cell r="D5946" t="str">
            <v>SI</v>
          </cell>
          <cell r="E5946" t="str">
            <v>WB4954 HASBRO TRANSFORMERS RESCUE BOTS FRIENDS ASSORTED PACK</v>
          </cell>
          <cell r="F5946" t="str">
            <v>JUGUETES</v>
          </cell>
          <cell r="G5946" t="str">
            <v>WB4954</v>
          </cell>
          <cell r="H5946" t="str">
            <v>HASBRO</v>
          </cell>
          <cell r="I5946">
            <v>4.79</v>
          </cell>
        </row>
        <row r="5947">
          <cell r="A5947" t="str">
            <v>19-05947</v>
          </cell>
          <cell r="B5947" t="str">
            <v>WEFORT LATAM</v>
          </cell>
          <cell r="C5947" t="str">
            <v>A</v>
          </cell>
          <cell r="D5947" t="str">
            <v>NO</v>
          </cell>
          <cell r="E5947" t="str">
            <v>WB4963 HASBRO TRANSFORMERS RESCUE BOTS ADVENTURE ASSORTED PACK</v>
          </cell>
          <cell r="F5947" t="str">
            <v>JUGUETES</v>
          </cell>
          <cell r="G5947" t="str">
            <v>WB4963</v>
          </cell>
          <cell r="H5947" t="str">
            <v>HASBRO</v>
          </cell>
          <cell r="I5947">
            <v>14.44</v>
          </cell>
        </row>
        <row r="5948">
          <cell r="A5948" t="str">
            <v>19-05948</v>
          </cell>
          <cell r="B5948" t="str">
            <v>WEFORT LATAM</v>
          </cell>
          <cell r="C5948" t="str">
            <v>A</v>
          </cell>
          <cell r="D5948" t="str">
            <v>NO</v>
          </cell>
          <cell r="E5948" t="str">
            <v>WB5020 HASBRO SUPER HEROES CAPTAIN AMERICA FIGURE PACK</v>
          </cell>
          <cell r="F5948" t="str">
            <v>JUGUETES</v>
          </cell>
          <cell r="G5948" t="str">
            <v>WB5020</v>
          </cell>
          <cell r="H5948" t="str">
            <v>HASBRO</v>
          </cell>
          <cell r="I5948">
            <v>19.04</v>
          </cell>
        </row>
        <row r="5949">
          <cell r="A5949" t="str">
            <v>19-05949</v>
          </cell>
          <cell r="B5949" t="str">
            <v>WEFORT LATAM</v>
          </cell>
          <cell r="C5949" t="str">
            <v>A</v>
          </cell>
          <cell r="D5949" t="str">
            <v>NO</v>
          </cell>
          <cell r="E5949" t="str">
            <v>WB7370 HASBRO DISNEY PRINCESS ELENA ROYAL GOWN FASHIION DOLL</v>
          </cell>
          <cell r="F5949" t="str">
            <v>JUGUETES</v>
          </cell>
          <cell r="G5949" t="str">
            <v>WB7370</v>
          </cell>
          <cell r="H5949" t="str">
            <v>HASBRO</v>
          </cell>
          <cell r="I5949">
            <v>21.37</v>
          </cell>
        </row>
        <row r="5950">
          <cell r="A5950" t="str">
            <v>19-05950</v>
          </cell>
          <cell r="B5950" t="str">
            <v>WEFORT LATAM</v>
          </cell>
          <cell r="C5950" t="str">
            <v>A</v>
          </cell>
          <cell r="D5950" t="str">
            <v>NO</v>
          </cell>
          <cell r="E5950" t="str">
            <v>WB7762 HASBRO TRANSFORMERS TITAN WARS GENERATIONS DELUXE</v>
          </cell>
          <cell r="F5950" t="str">
            <v>JUGUETES</v>
          </cell>
          <cell r="G5950" t="str">
            <v>WB7762</v>
          </cell>
          <cell r="H5950" t="str">
            <v>HASBRO</v>
          </cell>
          <cell r="I5950">
            <v>16.13</v>
          </cell>
        </row>
        <row r="5951">
          <cell r="A5951" t="str">
            <v>19-05951</v>
          </cell>
          <cell r="B5951" t="str">
            <v>WEFORT LATAM</v>
          </cell>
          <cell r="C5951" t="str">
            <v>A</v>
          </cell>
          <cell r="D5951" t="str">
            <v>NO</v>
          </cell>
          <cell r="E5951" t="str">
            <v>WB8295 HASBRO MOANA FASHION DOLL W/BASIC FEATURE</v>
          </cell>
          <cell r="F5951" t="str">
            <v>JUGUETES</v>
          </cell>
          <cell r="G5951" t="str">
            <v>WB8295</v>
          </cell>
          <cell r="H5951" t="str">
            <v>HASBRO</v>
          </cell>
          <cell r="I5951">
            <v>20.079999999999998</v>
          </cell>
        </row>
        <row r="5952">
          <cell r="A5952" t="str">
            <v>19-05952</v>
          </cell>
          <cell r="B5952" t="str">
            <v>WEFORT LATAM</v>
          </cell>
          <cell r="C5952" t="str">
            <v>A</v>
          </cell>
          <cell r="D5952" t="str">
            <v>SI</v>
          </cell>
          <cell r="E5952" t="str">
            <v>WB9159 HASBRO MY LITTLE PONY ARRIVING AT THE GALA PACK</v>
          </cell>
          <cell r="F5952" t="str">
            <v>JUGUETES</v>
          </cell>
          <cell r="G5952" t="str">
            <v>WB9159</v>
          </cell>
          <cell r="H5952" t="str">
            <v>HASBRO</v>
          </cell>
          <cell r="I5952">
            <v>9.52</v>
          </cell>
        </row>
        <row r="5953">
          <cell r="A5953" t="str">
            <v>19-05953</v>
          </cell>
          <cell r="B5953" t="str">
            <v>WEFORT LATAM</v>
          </cell>
          <cell r="C5953" t="str">
            <v>A</v>
          </cell>
          <cell r="D5953" t="str">
            <v>NO</v>
          </cell>
          <cell r="E5953" t="str">
            <v>WB9345 HASBRO LITTLEST TEST SHOP TEENSIES PETS</v>
          </cell>
          <cell r="F5953" t="str">
            <v>JUGUETES</v>
          </cell>
          <cell r="G5953" t="str">
            <v>WB9345</v>
          </cell>
          <cell r="H5953" t="str">
            <v>HASBRO</v>
          </cell>
          <cell r="I5953">
            <v>12.24</v>
          </cell>
        </row>
        <row r="5954">
          <cell r="A5954" t="str">
            <v>19-05954</v>
          </cell>
          <cell r="B5954" t="str">
            <v>WEFORT LATAM</v>
          </cell>
          <cell r="C5954" t="str">
            <v>A</v>
          </cell>
          <cell r="D5954" t="str">
            <v>SI</v>
          </cell>
          <cell r="E5954" t="str">
            <v>WB9710 HASBRO TITAN HERO SERIES WEB WARRIORS PACK</v>
          </cell>
          <cell r="F5954" t="str">
            <v>JUGUETES</v>
          </cell>
          <cell r="G5954" t="str">
            <v>WB9710</v>
          </cell>
          <cell r="H5954" t="str">
            <v>HASBRO</v>
          </cell>
          <cell r="I5954">
            <v>8.68</v>
          </cell>
        </row>
        <row r="5955">
          <cell r="A5955" t="str">
            <v>19-05955</v>
          </cell>
          <cell r="B5955" t="str">
            <v>WEFORT LATAM</v>
          </cell>
          <cell r="C5955" t="str">
            <v>A</v>
          </cell>
          <cell r="D5955" t="str">
            <v>SI</v>
          </cell>
          <cell r="E5955" t="str">
            <v>WB9913 HASBRO TROLLS MINI PLUSH ASSORTED PACK</v>
          </cell>
          <cell r="F5955" t="str">
            <v>JUGUETES</v>
          </cell>
          <cell r="G5955" t="str">
            <v>WB9913</v>
          </cell>
          <cell r="H5955" t="str">
            <v>HASBRO</v>
          </cell>
          <cell r="I5955">
            <v>4.08</v>
          </cell>
        </row>
        <row r="5956">
          <cell r="A5956" t="str">
            <v>19-05956</v>
          </cell>
          <cell r="B5956" t="str">
            <v>WEFORT LATAM</v>
          </cell>
          <cell r="C5956" t="str">
            <v>A</v>
          </cell>
          <cell r="D5956" t="str">
            <v>NO</v>
          </cell>
          <cell r="E5956" t="str">
            <v>WC0211 HASBRO TRANSFORMERS ROBOT FLIP RACERS MULTIPACK</v>
          </cell>
          <cell r="F5956" t="str">
            <v>JUGUETES</v>
          </cell>
          <cell r="G5956" t="str">
            <v>WC0211</v>
          </cell>
          <cell r="H5956" t="str">
            <v>HASBRO</v>
          </cell>
          <cell r="I5956">
            <v>15.16</v>
          </cell>
        </row>
        <row r="5957">
          <cell r="A5957" t="str">
            <v>19-05957</v>
          </cell>
          <cell r="B5957" t="str">
            <v>WEFORT LATAM</v>
          </cell>
          <cell r="C5957" t="str">
            <v>A</v>
          </cell>
          <cell r="D5957" t="str">
            <v>SI</v>
          </cell>
          <cell r="E5957" t="str">
            <v>WC0680 HASBRO MY LITTLE PONY PROJECT TWINKLE 3" FIGURES PACK</v>
          </cell>
          <cell r="F5957" t="str">
            <v>JUGUETES</v>
          </cell>
          <cell r="G5957" t="str">
            <v>WC0680</v>
          </cell>
          <cell r="H5957" t="str">
            <v>HASBRO</v>
          </cell>
          <cell r="I5957">
            <v>7.84</v>
          </cell>
        </row>
        <row r="5958">
          <cell r="A5958" t="str">
            <v>19-05958</v>
          </cell>
          <cell r="B5958" t="str">
            <v>WEFORT LATAM</v>
          </cell>
          <cell r="C5958" t="str">
            <v>A</v>
          </cell>
          <cell r="D5958" t="str">
            <v>SI</v>
          </cell>
          <cell r="E5958" t="str">
            <v>WC0681 HASBRO MY LITTLE PONY PROJECT TWINKLE 3" DRESS PACK</v>
          </cell>
          <cell r="F5958" t="str">
            <v>JUGUETES</v>
          </cell>
          <cell r="G5958" t="str">
            <v>WC0681</v>
          </cell>
          <cell r="H5958" t="str">
            <v>HASBRO</v>
          </cell>
          <cell r="I5958">
            <v>9.52</v>
          </cell>
        </row>
        <row r="5959">
          <cell r="A5959" t="str">
            <v>19-05959</v>
          </cell>
          <cell r="B5959" t="str">
            <v>WEFORT LATAM</v>
          </cell>
          <cell r="C5959" t="str">
            <v>A</v>
          </cell>
          <cell r="D5959" t="str">
            <v>NO</v>
          </cell>
          <cell r="E5959" t="str">
            <v>WC0682 HASBRO MY LITTLE PONY PROJECT TWINKLE SCENE PACKS</v>
          </cell>
          <cell r="F5959" t="str">
            <v>JUGUETES</v>
          </cell>
          <cell r="G5959" t="str">
            <v>WC0682</v>
          </cell>
          <cell r="H5959" t="str">
            <v>HASBRO</v>
          </cell>
          <cell r="I5959">
            <v>12.24</v>
          </cell>
        </row>
        <row r="5960">
          <cell r="A5960" t="str">
            <v>19-05960</v>
          </cell>
          <cell r="B5960" t="str">
            <v>WEFORT LATAM</v>
          </cell>
          <cell r="C5960" t="str">
            <v>A</v>
          </cell>
          <cell r="D5960" t="str">
            <v>NO</v>
          </cell>
          <cell r="E5960" t="str">
            <v>WC0701 HASBRO TITAN HERO SERIES ELECTRONIC VILLAIN PACK</v>
          </cell>
          <cell r="F5960" t="str">
            <v>JUGUETES</v>
          </cell>
          <cell r="G5960" t="str">
            <v>WC0701</v>
          </cell>
          <cell r="H5960" t="str">
            <v>HASBRO</v>
          </cell>
          <cell r="I5960">
            <v>20.73</v>
          </cell>
        </row>
        <row r="5961">
          <cell r="A5961" t="str">
            <v>19-05961</v>
          </cell>
          <cell r="B5961" t="str">
            <v>WEFORT LATAM</v>
          </cell>
          <cell r="C5961" t="str">
            <v>A</v>
          </cell>
          <cell r="D5961" t="str">
            <v>SI</v>
          </cell>
          <cell r="E5961" t="str">
            <v>WC0890 HASBRO TRANSFORMERS MOVIE VALUE ROLE PLAY MASKS</v>
          </cell>
          <cell r="F5961" t="str">
            <v>JUGUETES</v>
          </cell>
          <cell r="G5961" t="str">
            <v>WC0890</v>
          </cell>
          <cell r="H5961" t="str">
            <v>HASBRO</v>
          </cell>
          <cell r="I5961">
            <v>9.07</v>
          </cell>
        </row>
        <row r="5962">
          <cell r="A5962" t="str">
            <v>19-05962</v>
          </cell>
          <cell r="B5962" t="str">
            <v>WEFORT LATAM</v>
          </cell>
          <cell r="C5962" t="str">
            <v>A</v>
          </cell>
          <cell r="D5962" t="str">
            <v>NO</v>
          </cell>
          <cell r="E5962" t="str">
            <v>WC1202 HASBRO LITTLEST PET SHOP COLLECT, PLAY AND DISPLAY ASSORTED</v>
          </cell>
          <cell r="F5962" t="str">
            <v>JUGUETES</v>
          </cell>
          <cell r="G5962" t="str">
            <v>WC1202</v>
          </cell>
          <cell r="H5962" t="str">
            <v>HASBRO</v>
          </cell>
          <cell r="I5962">
            <v>13.92</v>
          </cell>
        </row>
        <row r="5963">
          <cell r="A5963" t="str">
            <v>19-05963</v>
          </cell>
          <cell r="B5963" t="str">
            <v>WEFORT LATAM</v>
          </cell>
          <cell r="C5963" t="str">
            <v>A</v>
          </cell>
          <cell r="D5963" t="str">
            <v>SI</v>
          </cell>
          <cell r="E5963" t="str">
            <v>WC1429 HASBRO STAR WARS E8 HERO SERIES FIGURE PACK</v>
          </cell>
          <cell r="F5963" t="str">
            <v>JUGUETES</v>
          </cell>
          <cell r="G5963" t="str">
            <v>WC1429</v>
          </cell>
          <cell r="H5963" t="str">
            <v>HASBRO</v>
          </cell>
          <cell r="I5963">
            <v>8.68</v>
          </cell>
        </row>
        <row r="5964">
          <cell r="A5964" t="str">
            <v>19-05964</v>
          </cell>
          <cell r="B5964" t="str">
            <v>WEFORT LATAM</v>
          </cell>
          <cell r="C5964" t="str">
            <v>A</v>
          </cell>
          <cell r="D5964" t="str">
            <v>SI</v>
          </cell>
          <cell r="E5964" t="str">
            <v>WC1503 HASBRO STAR WARS E8 3.75" FIGURE COLLECTION 1 PACK</v>
          </cell>
          <cell r="F5964" t="str">
            <v>JUGUETES</v>
          </cell>
          <cell r="G5964" t="str">
            <v>WC1503</v>
          </cell>
          <cell r="H5964" t="str">
            <v>HASBRO</v>
          </cell>
          <cell r="I5964">
            <v>7.64</v>
          </cell>
        </row>
        <row r="5965">
          <cell r="A5965" t="str">
            <v>19-05965</v>
          </cell>
          <cell r="B5965" t="str">
            <v>WEFORT LATAM</v>
          </cell>
          <cell r="C5965" t="str">
            <v>A</v>
          </cell>
          <cell r="D5965" t="str">
            <v>SI</v>
          </cell>
          <cell r="E5965" t="str">
            <v>WC1531 HASBRO STAR WARS E8 3.75" FIGURE COLLECTION 2 PACK</v>
          </cell>
          <cell r="F5965" t="str">
            <v>JUGUETES</v>
          </cell>
          <cell r="G5965" t="str">
            <v>WC1531</v>
          </cell>
          <cell r="H5965" t="str">
            <v>HASBRO</v>
          </cell>
          <cell r="I5965">
            <v>7.64</v>
          </cell>
        </row>
        <row r="5966">
          <cell r="A5966" t="str">
            <v>19-05966</v>
          </cell>
          <cell r="B5966" t="str">
            <v>WEFORT LATAM</v>
          </cell>
          <cell r="C5966" t="str">
            <v>A</v>
          </cell>
          <cell r="D5966" t="str">
            <v>SI</v>
          </cell>
          <cell r="E5966" t="str">
            <v>WC1557 HASBRO STAR WARS E8 MASK PACK</v>
          </cell>
          <cell r="F5966" t="str">
            <v>JUGUETES</v>
          </cell>
          <cell r="G5966" t="str">
            <v>WC1557</v>
          </cell>
          <cell r="H5966" t="str">
            <v>HASBRO</v>
          </cell>
          <cell r="I5966">
            <v>9.07</v>
          </cell>
        </row>
        <row r="5967">
          <cell r="A5967" t="str">
            <v>19-05967</v>
          </cell>
          <cell r="B5967" t="str">
            <v>WEFORT LATAM</v>
          </cell>
          <cell r="C5967" t="str">
            <v>A</v>
          </cell>
          <cell r="D5967" t="str">
            <v>NO</v>
          </cell>
          <cell r="E5967" t="str">
            <v>WC1807 HASBRO DISNEY PRINCESS ELENA CLASSIC FASHION DOLL</v>
          </cell>
          <cell r="F5967" t="str">
            <v>JUGUETES</v>
          </cell>
          <cell r="G5967" t="str">
            <v>WC1807</v>
          </cell>
          <cell r="H5967" t="str">
            <v>HASBRO</v>
          </cell>
          <cell r="I5967">
            <v>14.25</v>
          </cell>
        </row>
        <row r="5968">
          <cell r="A5968" t="str">
            <v>19-05968</v>
          </cell>
          <cell r="B5968" t="str">
            <v>WEFORT LATAM</v>
          </cell>
          <cell r="C5968" t="str">
            <v>A</v>
          </cell>
          <cell r="D5968" t="str">
            <v>NO</v>
          </cell>
          <cell r="E5968" t="str">
            <v>WC1857 HASBRO STAR WARS BLACK SERIOES DC DIE CAST FIGURES</v>
          </cell>
          <cell r="F5968" t="str">
            <v>JUGUETES</v>
          </cell>
          <cell r="G5968" t="str">
            <v>WC1857</v>
          </cell>
          <cell r="H5968" t="str">
            <v>HASBRO</v>
          </cell>
          <cell r="I5968">
            <v>14.57</v>
          </cell>
        </row>
        <row r="5969">
          <cell r="A5969" t="str">
            <v>19-05969</v>
          </cell>
          <cell r="B5969" t="str">
            <v>WEFORT LATAM</v>
          </cell>
          <cell r="C5969" t="str">
            <v>A</v>
          </cell>
          <cell r="D5969" t="str">
            <v>NO</v>
          </cell>
          <cell r="E5969" t="str">
            <v>WC3786 HASBRO DESCENDANTS OPP ASSORTED FALL PACK</v>
          </cell>
          <cell r="F5969" t="str">
            <v>JUGUETES</v>
          </cell>
          <cell r="G5969" t="str">
            <v>WC3786</v>
          </cell>
          <cell r="H5969" t="str">
            <v>HASBRO</v>
          </cell>
          <cell r="I5969">
            <v>14.96</v>
          </cell>
        </row>
        <row r="5970">
          <cell r="A5970" t="str">
            <v>19-05970</v>
          </cell>
          <cell r="B5970" t="str">
            <v>WEFORT LATAM</v>
          </cell>
          <cell r="C5970" t="str">
            <v>A</v>
          </cell>
          <cell r="D5970" t="str">
            <v>SI</v>
          </cell>
          <cell r="E5970" t="str">
            <v>WE0030 HASBRO MY LITTLE PONY PLUSH - CLIP</v>
          </cell>
          <cell r="F5970" t="str">
            <v>JUGUETES</v>
          </cell>
          <cell r="G5970" t="str">
            <v>WE0030</v>
          </cell>
          <cell r="H5970" t="str">
            <v>HASBRO</v>
          </cell>
          <cell r="I5970">
            <v>3.89</v>
          </cell>
        </row>
        <row r="5971">
          <cell r="A5971" t="str">
            <v>19-05971</v>
          </cell>
          <cell r="B5971" t="str">
            <v>WEFORT LATAM</v>
          </cell>
          <cell r="C5971" t="str">
            <v>A</v>
          </cell>
          <cell r="D5971" t="str">
            <v>NO</v>
          </cell>
          <cell r="E5971" t="str">
            <v>WE0180 HASBRO DISNEY PRINCESS TANGLED STORY DOLL CURL AND TWIRL</v>
          </cell>
          <cell r="F5971" t="str">
            <v>JUGUETES</v>
          </cell>
          <cell r="G5971" t="str">
            <v>WE0180</v>
          </cell>
          <cell r="H5971" t="str">
            <v>HASBRO</v>
          </cell>
          <cell r="I5971">
            <v>22.41</v>
          </cell>
        </row>
        <row r="5972">
          <cell r="A5972" t="str">
            <v>19-05972</v>
          </cell>
          <cell r="B5972" t="str">
            <v>WEFORT LATAM</v>
          </cell>
          <cell r="C5972" t="str">
            <v>A</v>
          </cell>
          <cell r="D5972" t="str">
            <v>SI</v>
          </cell>
          <cell r="E5972" t="str">
            <v>WE0185 HASBRO MY LITTLE PONY GLITTER CELEBRATION ASSORTED PACK</v>
          </cell>
          <cell r="F5972" t="str">
            <v>JUGUETES</v>
          </cell>
          <cell r="G5972" t="str">
            <v>WE0185</v>
          </cell>
          <cell r="H5972" t="str">
            <v>HASBRO</v>
          </cell>
          <cell r="I5972">
            <v>7.84</v>
          </cell>
        </row>
        <row r="5973">
          <cell r="A5973" t="str">
            <v>19-05973</v>
          </cell>
          <cell r="B5973" t="str">
            <v>WEFORT LATAM</v>
          </cell>
          <cell r="C5973" t="str">
            <v>A</v>
          </cell>
          <cell r="D5973" t="str">
            <v>SI</v>
          </cell>
          <cell r="E5973" t="str">
            <v>WE0397 HASBRO LITTLEST PET SHOP SPECIAL COLLECTION 1 FRIENDS ASSORTED PACK</v>
          </cell>
          <cell r="F5973" t="str">
            <v>JUGUETES</v>
          </cell>
          <cell r="G5973" t="str">
            <v>WE0397</v>
          </cell>
          <cell r="H5973" t="str">
            <v>HASBRO</v>
          </cell>
          <cell r="I5973">
            <v>9.52</v>
          </cell>
        </row>
        <row r="5974">
          <cell r="A5974" t="str">
            <v>19-05974</v>
          </cell>
          <cell r="B5974" t="str">
            <v>WEFORT LATAM</v>
          </cell>
          <cell r="C5974" t="str">
            <v>A</v>
          </cell>
          <cell r="D5974" t="str">
            <v>SI</v>
          </cell>
          <cell r="E5974" t="str">
            <v>WE0399 HASBRO LITTLEST PET SHOP SPECIAL COLLECTION 1 ASSORTED PACK</v>
          </cell>
          <cell r="F5974" t="str">
            <v>JUGUETES</v>
          </cell>
          <cell r="G5974" t="str">
            <v>WE0399</v>
          </cell>
          <cell r="H5974" t="str">
            <v>HASBRO</v>
          </cell>
          <cell r="I5974">
            <v>2.98</v>
          </cell>
        </row>
        <row r="5975">
          <cell r="A5975" t="str">
            <v>19-05975</v>
          </cell>
          <cell r="B5975" t="str">
            <v>WEFORT LATAM</v>
          </cell>
          <cell r="C5975" t="str">
            <v>A</v>
          </cell>
          <cell r="D5975" t="str">
            <v>SI</v>
          </cell>
          <cell r="E5975" t="str">
            <v>WC0796 HASBRO MY LITTLE PONY EG BASIC MINIS ASSORTED PACK</v>
          </cell>
          <cell r="F5975" t="str">
            <v>JUGUETES</v>
          </cell>
          <cell r="G5975" t="str">
            <v>WE0796</v>
          </cell>
          <cell r="H5975" t="str">
            <v>HASBRO</v>
          </cell>
          <cell r="I5975">
            <v>3.56</v>
          </cell>
        </row>
        <row r="5976">
          <cell r="A5976" t="str">
            <v>19-05976</v>
          </cell>
          <cell r="B5976" t="str">
            <v>REXCEL</v>
          </cell>
          <cell r="C5976" t="str">
            <v>A</v>
          </cell>
          <cell r="D5976" t="str">
            <v>N/A</v>
          </cell>
          <cell r="E5976" t="str">
            <v>TAC104 THULE ASPECT DSLR/ILC SHOULDER BAG BLACK</v>
          </cell>
          <cell r="F5976" t="str">
            <v>MOCHILA</v>
          </cell>
          <cell r="G5976" t="str">
            <v>TAC104</v>
          </cell>
          <cell r="H5976" t="str">
            <v>THULE</v>
          </cell>
          <cell r="I5976">
            <v>0</v>
          </cell>
        </row>
        <row r="5977">
          <cell r="A5977" t="str">
            <v>19-05977</v>
          </cell>
          <cell r="B5977" t="str">
            <v>REXCEL</v>
          </cell>
          <cell r="C5977" t="str">
            <v>A</v>
          </cell>
          <cell r="D5977" t="str">
            <v>N/A</v>
          </cell>
          <cell r="E5977" t="str">
            <v>TAC106 THULE ASPECT DSLR BACKPACK BLACK</v>
          </cell>
          <cell r="F5977" t="str">
            <v>MOCHILA</v>
          </cell>
          <cell r="G5977" t="str">
            <v>TAC106</v>
          </cell>
          <cell r="H5977" t="str">
            <v>THULE</v>
          </cell>
          <cell r="I5977">
            <v>65</v>
          </cell>
        </row>
        <row r="5978">
          <cell r="A5978" t="str">
            <v>19-05978</v>
          </cell>
          <cell r="B5978" t="str">
            <v>REXCEL</v>
          </cell>
          <cell r="C5978" t="str">
            <v>A</v>
          </cell>
          <cell r="D5978" t="str">
            <v>N/A</v>
          </cell>
          <cell r="E5978" t="str">
            <v>TCBP317 THULE CROSSOVER BACKPACK 25L BLACK</v>
          </cell>
          <cell r="F5978" t="str">
            <v>MOCHILA</v>
          </cell>
          <cell r="G5978" t="str">
            <v>TCBP317</v>
          </cell>
          <cell r="H5978" t="str">
            <v>THULE</v>
          </cell>
          <cell r="I5978">
            <v>50</v>
          </cell>
        </row>
        <row r="5979">
          <cell r="A5979" t="str">
            <v>19-05979</v>
          </cell>
          <cell r="B5979" t="str">
            <v>REXCEL</v>
          </cell>
          <cell r="C5979" t="str">
            <v>A</v>
          </cell>
          <cell r="D5979" t="str">
            <v>N/A</v>
          </cell>
          <cell r="E5979" t="str">
            <v>TCBP317 THULE CROSSOVER BACKPACK 25L COBALT</v>
          </cell>
          <cell r="F5979" t="str">
            <v>MOCHILA</v>
          </cell>
          <cell r="G5979" t="str">
            <v>TCBP317</v>
          </cell>
          <cell r="H5979" t="str">
            <v>THULE</v>
          </cell>
          <cell r="I5979">
            <v>50</v>
          </cell>
        </row>
        <row r="5980">
          <cell r="A5980" t="str">
            <v>19-05980</v>
          </cell>
          <cell r="B5980" t="str">
            <v>REXCEL</v>
          </cell>
          <cell r="C5980" t="str">
            <v>A</v>
          </cell>
          <cell r="D5980" t="str">
            <v>N/A</v>
          </cell>
          <cell r="E5980" t="str">
            <v>TCRD1 THULE CROSSOVER ROLLING DUFFEL 56L BLACK</v>
          </cell>
          <cell r="F5980" t="str">
            <v>MOCHILA</v>
          </cell>
          <cell r="G5980" t="str">
            <v>TCRD1</v>
          </cell>
          <cell r="H5980" t="str">
            <v>THULE</v>
          </cell>
          <cell r="I5980">
            <v>145</v>
          </cell>
        </row>
        <row r="5981">
          <cell r="A5981" t="str">
            <v>19-05981</v>
          </cell>
          <cell r="B5981" t="str">
            <v>REXCEL</v>
          </cell>
          <cell r="C5981" t="str">
            <v>A</v>
          </cell>
          <cell r="D5981" t="str">
            <v>N/A</v>
          </cell>
          <cell r="E5981" t="str">
            <v>TCRU115 THULE CROSSOVER CARRY-ON 56CM/22" BLACK</v>
          </cell>
          <cell r="F5981" t="str">
            <v>MOCHILA</v>
          </cell>
          <cell r="G5981" t="str">
            <v>TCRU115</v>
          </cell>
          <cell r="H5981" t="str">
            <v>THULE</v>
          </cell>
          <cell r="I5981">
            <v>150</v>
          </cell>
        </row>
        <row r="5982">
          <cell r="A5982" t="str">
            <v>19-05982</v>
          </cell>
          <cell r="B5982" t="str">
            <v>REXCEL</v>
          </cell>
          <cell r="C5982" t="str">
            <v>A</v>
          </cell>
          <cell r="D5982" t="str">
            <v>N/A</v>
          </cell>
          <cell r="E5982" t="str">
            <v>TDMB115 THULE DEPARTER 21L BLACK</v>
          </cell>
          <cell r="F5982" t="str">
            <v>MOCHILA</v>
          </cell>
          <cell r="G5982" t="str">
            <v>TDMB115</v>
          </cell>
          <cell r="H5982" t="str">
            <v>THULE</v>
          </cell>
          <cell r="I5982">
            <v>40</v>
          </cell>
        </row>
        <row r="5983">
          <cell r="A5983" t="str">
            <v>19-05983</v>
          </cell>
          <cell r="B5983" t="str">
            <v>REXCEL</v>
          </cell>
          <cell r="C5983" t="str">
            <v>A</v>
          </cell>
          <cell r="D5983" t="str">
            <v>N/A</v>
          </cell>
          <cell r="E5983" t="str">
            <v>TDMB115 THULE DEPARTER 21L DK BRDEUX/VIB ORANGE</v>
          </cell>
          <cell r="F5983" t="str">
            <v>MOCHILA</v>
          </cell>
          <cell r="G5983" t="str">
            <v>TDMB115</v>
          </cell>
          <cell r="H5983" t="str">
            <v>THULE</v>
          </cell>
          <cell r="I5983">
            <v>40</v>
          </cell>
        </row>
        <row r="5984">
          <cell r="A5984" t="str">
            <v>19-05984</v>
          </cell>
          <cell r="B5984" t="str">
            <v>REXCEL</v>
          </cell>
          <cell r="C5984" t="str">
            <v>A</v>
          </cell>
          <cell r="D5984" t="str">
            <v>N/A</v>
          </cell>
          <cell r="E5984" t="str">
            <v>TDMB115 THULE DEPARTER 21L LICHEN/DARK SHADOW</v>
          </cell>
          <cell r="F5984" t="str">
            <v>MOCHILA</v>
          </cell>
          <cell r="G5984" t="str">
            <v>TDMB115</v>
          </cell>
          <cell r="H5984" t="str">
            <v>THULE</v>
          </cell>
          <cell r="I5984">
            <v>40</v>
          </cell>
        </row>
        <row r="5985">
          <cell r="A5985" t="str">
            <v>19-05985</v>
          </cell>
          <cell r="B5985" t="str">
            <v>REXCEL</v>
          </cell>
          <cell r="C5985" t="str">
            <v>A</v>
          </cell>
          <cell r="D5985" t="str">
            <v>N/A</v>
          </cell>
          <cell r="E5985" t="str">
            <v>TDSB113 THULE DEPARTER 23L BLACK</v>
          </cell>
          <cell r="F5985" t="str">
            <v>MOCHILA</v>
          </cell>
          <cell r="G5985" t="str">
            <v>TDSB113</v>
          </cell>
          <cell r="H5985" t="str">
            <v>THULE</v>
          </cell>
          <cell r="I5985">
            <v>30</v>
          </cell>
        </row>
        <row r="5986">
          <cell r="A5986" t="str">
            <v>19-05986</v>
          </cell>
          <cell r="B5986" t="str">
            <v>REXCEL</v>
          </cell>
          <cell r="C5986" t="str">
            <v>A</v>
          </cell>
          <cell r="D5986" t="str">
            <v>N/A</v>
          </cell>
          <cell r="E5986" t="str">
            <v>TDSB113 THULE DEPARTER 23L LICHEN/DARK SHADOW</v>
          </cell>
          <cell r="F5986" t="str">
            <v>MOCHILA</v>
          </cell>
          <cell r="G5986" t="str">
            <v>TDSB113</v>
          </cell>
          <cell r="H5986" t="str">
            <v>THULE</v>
          </cell>
          <cell r="I5986">
            <v>0</v>
          </cell>
        </row>
        <row r="5987">
          <cell r="A5987" t="str">
            <v>19-05987</v>
          </cell>
          <cell r="B5987" t="str">
            <v>REXCEL</v>
          </cell>
          <cell r="C5987" t="str">
            <v>A</v>
          </cell>
          <cell r="D5987" t="str">
            <v>N/A</v>
          </cell>
          <cell r="E5987" t="str">
            <v>TDSB113 THULE DEPARTER 23L DK BRDEUX/VIB ORANGE</v>
          </cell>
          <cell r="F5987" t="str">
            <v>MOCHILA</v>
          </cell>
          <cell r="G5987" t="str">
            <v>TDSB113</v>
          </cell>
          <cell r="H5987" t="str">
            <v>THULE</v>
          </cell>
          <cell r="I5987">
            <v>30</v>
          </cell>
        </row>
        <row r="5988">
          <cell r="A5988" t="str">
            <v>19-05988</v>
          </cell>
          <cell r="B5988" t="str">
            <v>REXCEL</v>
          </cell>
          <cell r="C5988" t="str">
            <v>A</v>
          </cell>
          <cell r="D5988" t="str">
            <v>N/A</v>
          </cell>
          <cell r="E5988" t="str">
            <v>TEBD217 THULE ENROUTE BLUR 2 MONUMENT</v>
          </cell>
          <cell r="F5988" t="str">
            <v>MOCHILA</v>
          </cell>
          <cell r="G5988" t="str">
            <v>TEBD217</v>
          </cell>
          <cell r="H5988" t="str">
            <v>THULE</v>
          </cell>
          <cell r="I5988">
            <v>50</v>
          </cell>
        </row>
        <row r="5989">
          <cell r="A5989" t="str">
            <v>19-05989</v>
          </cell>
          <cell r="B5989" t="str">
            <v>REXCEL</v>
          </cell>
          <cell r="C5989" t="str">
            <v>A</v>
          </cell>
          <cell r="D5989" t="str">
            <v>N/A</v>
          </cell>
          <cell r="E5989" t="str">
            <v>TEBP213 THULE ENROUTE BACKPACK 13L BLACK</v>
          </cell>
          <cell r="F5989" t="str">
            <v>MOCHILA</v>
          </cell>
          <cell r="G5989" t="str">
            <v>TEBP213</v>
          </cell>
          <cell r="H5989" t="str">
            <v>THULE</v>
          </cell>
          <cell r="I5989">
            <v>35</v>
          </cell>
        </row>
        <row r="5990">
          <cell r="A5990" t="str">
            <v>19-05990</v>
          </cell>
          <cell r="B5990" t="str">
            <v>REXCEL</v>
          </cell>
          <cell r="C5990" t="str">
            <v>A</v>
          </cell>
          <cell r="D5990" t="str">
            <v>N/A</v>
          </cell>
          <cell r="E5990" t="str">
            <v>TEBP213 THULE ENROUTE BACKPACK 13L MIKADO</v>
          </cell>
          <cell r="F5990" t="str">
            <v>MOCHILA</v>
          </cell>
          <cell r="G5990" t="str">
            <v>TEBP213</v>
          </cell>
          <cell r="H5990" t="str">
            <v>THULE</v>
          </cell>
          <cell r="I5990">
            <v>35</v>
          </cell>
        </row>
        <row r="5991">
          <cell r="A5991" t="str">
            <v>19-05991</v>
          </cell>
          <cell r="B5991" t="str">
            <v>REXCEL</v>
          </cell>
          <cell r="C5991" t="str">
            <v>A</v>
          </cell>
          <cell r="D5991" t="str">
            <v>N/A</v>
          </cell>
          <cell r="E5991" t="str">
            <v>TEBP213 THULE ENROUTE BACKPACK 13L MONARCH</v>
          </cell>
          <cell r="F5991" t="str">
            <v>MOCHILA</v>
          </cell>
          <cell r="G5991" t="str">
            <v>TEBP213</v>
          </cell>
          <cell r="H5991" t="str">
            <v>THULE</v>
          </cell>
          <cell r="I5991">
            <v>35</v>
          </cell>
        </row>
        <row r="5992">
          <cell r="A5992" t="str">
            <v>19-05992</v>
          </cell>
          <cell r="B5992" t="str">
            <v>REXCEL</v>
          </cell>
          <cell r="C5992" t="str">
            <v>A</v>
          </cell>
          <cell r="D5992" t="str">
            <v>N/A</v>
          </cell>
          <cell r="E5992" t="str">
            <v>TETD215 THULE ENROUTE TRIUMPH 2 MIKADO</v>
          </cell>
          <cell r="F5992" t="str">
            <v>MOCHILA</v>
          </cell>
          <cell r="G5992" t="str">
            <v>TETD215</v>
          </cell>
          <cell r="H5992" t="str">
            <v>THULE</v>
          </cell>
          <cell r="I5992">
            <v>0</v>
          </cell>
        </row>
        <row r="5993">
          <cell r="A5993" t="str">
            <v>19-05993</v>
          </cell>
          <cell r="B5993" t="str">
            <v>REXCEL</v>
          </cell>
          <cell r="C5993" t="str">
            <v>A</v>
          </cell>
          <cell r="D5993" t="str">
            <v>N/A</v>
          </cell>
          <cell r="E5993" t="str">
            <v>TETD215 THULE ENROUTE TRIUMPH 2 MONUMENT</v>
          </cell>
          <cell r="F5993" t="str">
            <v>MOCHILA</v>
          </cell>
          <cell r="G5993" t="str">
            <v>TETD215</v>
          </cell>
          <cell r="H5993" t="str">
            <v>THULE</v>
          </cell>
          <cell r="I5993">
            <v>0</v>
          </cell>
        </row>
        <row r="5994">
          <cell r="A5994" t="str">
            <v>19-05994</v>
          </cell>
          <cell r="B5994" t="str">
            <v>REXCEL</v>
          </cell>
          <cell r="C5994" t="str">
            <v>A</v>
          </cell>
          <cell r="D5994" t="str">
            <v>N/A</v>
          </cell>
          <cell r="E5994" t="str">
            <v>TLGB101 THULE LEGEND GOPRO BACKPACK BLACK</v>
          </cell>
          <cell r="F5994" t="str">
            <v>MOCHILA</v>
          </cell>
          <cell r="G5994" t="str">
            <v>TLGB101</v>
          </cell>
          <cell r="H5994" t="str">
            <v>THULE</v>
          </cell>
          <cell r="I5994">
            <v>100</v>
          </cell>
        </row>
        <row r="5995">
          <cell r="A5995" t="str">
            <v>19-05995</v>
          </cell>
          <cell r="B5995" t="str">
            <v>REXCEL</v>
          </cell>
          <cell r="C5995" t="str">
            <v>A</v>
          </cell>
          <cell r="D5995" t="str">
            <v>N/A</v>
          </cell>
          <cell r="E5995" t="str">
            <v>TLGS101 THULE LEGEND GOPRO SLING PACK BLACK</v>
          </cell>
          <cell r="F5995" t="str">
            <v>MOCHILA</v>
          </cell>
          <cell r="G5995" t="str">
            <v>TLGS101</v>
          </cell>
          <cell r="H5995" t="str">
            <v>THULE</v>
          </cell>
          <cell r="I5995">
            <v>40</v>
          </cell>
        </row>
        <row r="5996">
          <cell r="A5996" t="str">
            <v>19-05996</v>
          </cell>
          <cell r="B5996" t="str">
            <v>REXCEL</v>
          </cell>
          <cell r="C5996" t="str">
            <v>A</v>
          </cell>
          <cell r="D5996" t="str">
            <v>N/A</v>
          </cell>
          <cell r="E5996" t="str">
            <v>TSS313 THULE SUBTERRA MACBOOK® SLEEVE 13" DARK SHADOW</v>
          </cell>
          <cell r="F5996" t="str">
            <v>MOCHILA</v>
          </cell>
          <cell r="G5996" t="str">
            <v>TSS313</v>
          </cell>
          <cell r="H5996" t="str">
            <v>THULE</v>
          </cell>
          <cell r="I5996">
            <v>25</v>
          </cell>
        </row>
        <row r="5997">
          <cell r="A5997" t="str">
            <v>19-05997</v>
          </cell>
          <cell r="B5997" t="str">
            <v>REXCEL</v>
          </cell>
          <cell r="C5997" t="str">
            <v>A</v>
          </cell>
          <cell r="D5997" t="str">
            <v>N/A</v>
          </cell>
          <cell r="E5997" t="str">
            <v>TSS315 THULE SUBTERRA MACBOOK® SLEEVE 15" DARK SHADOW</v>
          </cell>
          <cell r="F5997" t="str">
            <v>MOCHILA</v>
          </cell>
          <cell r="G5997" t="str">
            <v>TSS315</v>
          </cell>
          <cell r="H5997" t="str">
            <v>THULE</v>
          </cell>
          <cell r="I5997">
            <v>25</v>
          </cell>
        </row>
        <row r="5998">
          <cell r="A5998" t="str">
            <v>19-05998</v>
          </cell>
          <cell r="B5998" t="str">
            <v>REXCEL</v>
          </cell>
          <cell r="C5998" t="str">
            <v>A</v>
          </cell>
          <cell r="D5998" t="str">
            <v>N/A</v>
          </cell>
          <cell r="E5998" t="str">
            <v>TSDP115 THULE SUBTERRA BACKPACK 25L DARK SHADOW</v>
          </cell>
          <cell r="F5998" t="str">
            <v>MOCHILA</v>
          </cell>
          <cell r="G5998" t="str">
            <v>TSDP115</v>
          </cell>
          <cell r="H5998" t="str">
            <v>THULE</v>
          </cell>
          <cell r="I5998">
            <v>60</v>
          </cell>
        </row>
        <row r="5999">
          <cell r="A5999" t="str">
            <v>19-05999</v>
          </cell>
          <cell r="B5999" t="str">
            <v>REXCEL</v>
          </cell>
          <cell r="C5999" t="str">
            <v>A</v>
          </cell>
          <cell r="D5999" t="str">
            <v>N/A</v>
          </cell>
          <cell r="E5999" t="str">
            <v>TSDP115 THULE SUBTERRA BACKPACK 25L SAND</v>
          </cell>
          <cell r="F5999" t="str">
            <v>MOCHILA</v>
          </cell>
          <cell r="G5999" t="str">
            <v>TSDP115</v>
          </cell>
          <cell r="H5999" t="str">
            <v>THULE</v>
          </cell>
          <cell r="I5999">
            <v>60</v>
          </cell>
        </row>
        <row r="6000">
          <cell r="A6000" t="str">
            <v>19-06000</v>
          </cell>
          <cell r="B6000" t="str">
            <v>REXCEL</v>
          </cell>
          <cell r="C6000" t="str">
            <v>A</v>
          </cell>
          <cell r="D6000" t="str">
            <v>N/A</v>
          </cell>
          <cell r="E6000" t="str">
            <v>TSR336 THULE SUBTERRA CARRY-ON 55CM/22" DARK SHADOW</v>
          </cell>
          <cell r="F6000" t="str">
            <v>MOCHILA</v>
          </cell>
          <cell r="G6000" t="str">
            <v>TSR336</v>
          </cell>
          <cell r="H6000" t="str">
            <v>THULE</v>
          </cell>
          <cell r="I6000">
            <v>140</v>
          </cell>
        </row>
        <row r="6001">
          <cell r="A6001" t="str">
            <v>19-06001</v>
          </cell>
          <cell r="B6001" t="str">
            <v>REXCEL</v>
          </cell>
          <cell r="C6001" t="str">
            <v>A</v>
          </cell>
          <cell r="D6001" t="str">
            <v>N/A</v>
          </cell>
          <cell r="E6001" t="str">
            <v>TSR336 THULE SUBTERRA CARRY-ON 55CM/22" EMBER</v>
          </cell>
          <cell r="F6001" t="str">
            <v>MOCHILA</v>
          </cell>
          <cell r="G6001" t="str">
            <v>TSR336</v>
          </cell>
          <cell r="H6001" t="str">
            <v>THULE</v>
          </cell>
          <cell r="I6001">
            <v>140</v>
          </cell>
        </row>
        <row r="6002">
          <cell r="A6002" t="str">
            <v>19-06002</v>
          </cell>
          <cell r="B6002" t="str">
            <v>REXCEL</v>
          </cell>
          <cell r="C6002" t="str">
            <v>A</v>
          </cell>
          <cell r="D6002" t="str">
            <v>N/A</v>
          </cell>
          <cell r="E6002" t="str">
            <v>TSR375 THULE SUBTERRA LUGGAGE 70CM/28" DARK SHADOW</v>
          </cell>
          <cell r="F6002" t="str">
            <v>MOCHILA</v>
          </cell>
          <cell r="G6002" t="str">
            <v>TSR375</v>
          </cell>
          <cell r="H6002" t="str">
            <v>THULE</v>
          </cell>
          <cell r="I6002">
            <v>150</v>
          </cell>
        </row>
        <row r="6003">
          <cell r="A6003" t="str">
            <v>19-06003</v>
          </cell>
          <cell r="B6003" t="str">
            <v>REXCEL</v>
          </cell>
          <cell r="C6003" t="str">
            <v>A</v>
          </cell>
          <cell r="D6003" t="str">
            <v>N/A</v>
          </cell>
          <cell r="E6003" t="str">
            <v>TETD215 THULE ENROUTE TRIUMPH 2 MONUMENT</v>
          </cell>
          <cell r="F6003" t="str">
            <v>MOCHILA</v>
          </cell>
          <cell r="G6003" t="str">
            <v>TETD215</v>
          </cell>
          <cell r="H6003" t="str">
            <v>THULE</v>
          </cell>
          <cell r="I6003">
            <v>45</v>
          </cell>
        </row>
        <row r="6004">
          <cell r="A6004" t="str">
            <v>19-06004</v>
          </cell>
          <cell r="B6004" t="str">
            <v>ORKHON GROUP</v>
          </cell>
          <cell r="C6004" t="str">
            <v>A</v>
          </cell>
          <cell r="D6004" t="str">
            <v>N/A</v>
          </cell>
          <cell r="E6004" t="str">
            <v>S1608-14 ALTAMAR SOMBRERO A/A</v>
          </cell>
          <cell r="F6004" t="str">
            <v>SOMBRERO</v>
          </cell>
          <cell r="G6004" t="str">
            <v>S1608-14</v>
          </cell>
          <cell r="H6004" t="str">
            <v>ALTAMAR</v>
          </cell>
          <cell r="I6004">
            <v>9.9640000000000004</v>
          </cell>
        </row>
        <row r="6005">
          <cell r="A6005" t="str">
            <v>19-06005</v>
          </cell>
          <cell r="B6005" t="str">
            <v>ORKHON GROUP</v>
          </cell>
          <cell r="C6005" t="str">
            <v>A</v>
          </cell>
          <cell r="D6005" t="str">
            <v>N/A</v>
          </cell>
          <cell r="E6005" t="str">
            <v>S1608-53 ALTAMAR SOMBRERO</v>
          </cell>
          <cell r="F6005" t="str">
            <v>SOMBRERO</v>
          </cell>
          <cell r="G6005" t="str">
            <v>S1608-53</v>
          </cell>
          <cell r="H6005" t="str">
            <v>ALTAMAR</v>
          </cell>
          <cell r="I6005">
            <v>11.843999999999999</v>
          </cell>
        </row>
        <row r="6006">
          <cell r="A6006" t="str">
            <v>19-06006</v>
          </cell>
          <cell r="B6006" t="str">
            <v>ORKHON GROUP</v>
          </cell>
          <cell r="C6006" t="str">
            <v>A</v>
          </cell>
          <cell r="D6006" t="str">
            <v>N/A</v>
          </cell>
          <cell r="E6006" t="str">
            <v>S1608-54 ALTAMAR SOMBRERO</v>
          </cell>
          <cell r="F6006" t="str">
            <v>SOMBRERO</v>
          </cell>
          <cell r="G6006" t="str">
            <v>S1608-54</v>
          </cell>
          <cell r="H6006" t="str">
            <v>ALTAMAR</v>
          </cell>
          <cell r="I6006">
            <v>11.843999999999999</v>
          </cell>
        </row>
        <row r="6007">
          <cell r="A6007" t="str">
            <v>19-06007</v>
          </cell>
          <cell r="B6007" t="str">
            <v>ORKHON GROUP</v>
          </cell>
          <cell r="C6007" t="str">
            <v>A</v>
          </cell>
          <cell r="D6007" t="str">
            <v>N/A</v>
          </cell>
          <cell r="E6007" t="str">
            <v>S1608-55 ALTAMAR SOMBRERO</v>
          </cell>
          <cell r="F6007" t="str">
            <v>SOMBRERO</v>
          </cell>
          <cell r="G6007" t="str">
            <v>S1608-55</v>
          </cell>
          <cell r="H6007" t="str">
            <v>ALTAMAR</v>
          </cell>
          <cell r="I6007">
            <v>12.972</v>
          </cell>
        </row>
        <row r="6008">
          <cell r="A6008" t="str">
            <v>19-06008</v>
          </cell>
          <cell r="B6008" t="str">
            <v>ORKHON GROUP</v>
          </cell>
          <cell r="C6008" t="str">
            <v>A</v>
          </cell>
          <cell r="D6008" t="str">
            <v>N/A</v>
          </cell>
          <cell r="E6008" t="str">
            <v>S1608-56 ALTAMAR SOMBRERO</v>
          </cell>
          <cell r="F6008" t="str">
            <v>SOMBRERO</v>
          </cell>
          <cell r="G6008" t="str">
            <v>S1608-56</v>
          </cell>
          <cell r="H6008" t="str">
            <v>ALTAMAR</v>
          </cell>
          <cell r="I6008">
            <v>12.032</v>
          </cell>
        </row>
        <row r="6009">
          <cell r="A6009" t="str">
            <v>19-06009</v>
          </cell>
          <cell r="B6009" t="str">
            <v>ORKHON GROUP</v>
          </cell>
          <cell r="C6009" t="str">
            <v>A</v>
          </cell>
          <cell r="D6009" t="str">
            <v>N/A</v>
          </cell>
          <cell r="E6009" t="str">
            <v>S1608-57 ALTAMAR S0MBRERO</v>
          </cell>
          <cell r="F6009" t="str">
            <v>SOMBRERO</v>
          </cell>
          <cell r="G6009" t="str">
            <v>S1608-57</v>
          </cell>
          <cell r="H6009" t="str">
            <v>ALTAMAR</v>
          </cell>
          <cell r="I6009">
            <v>15.98</v>
          </cell>
        </row>
        <row r="6010">
          <cell r="A6010" t="str">
            <v>19-06010</v>
          </cell>
          <cell r="B6010" t="str">
            <v>ORKHON GROUP</v>
          </cell>
          <cell r="C6010" t="str">
            <v>A</v>
          </cell>
          <cell r="D6010" t="str">
            <v>N/A</v>
          </cell>
          <cell r="E6010" t="str">
            <v>S1608-58 ALTAMAR SOMBRERO</v>
          </cell>
          <cell r="F6010" t="str">
            <v>SOMBRERO</v>
          </cell>
          <cell r="G6010" t="str">
            <v>S1608-58</v>
          </cell>
          <cell r="H6010" t="str">
            <v>ALTAMAR</v>
          </cell>
          <cell r="I6010">
            <v>11.843999999999999</v>
          </cell>
        </row>
        <row r="6011">
          <cell r="A6011" t="str">
            <v>19-06011</v>
          </cell>
          <cell r="B6011" t="str">
            <v>ORKHON GROUP</v>
          </cell>
          <cell r="C6011" t="str">
            <v>A</v>
          </cell>
          <cell r="D6011" t="str">
            <v>N/A</v>
          </cell>
          <cell r="E6011" t="str">
            <v>S1608-59 ALTAMAR SOMBRERO</v>
          </cell>
          <cell r="F6011" t="str">
            <v>SOMBRERO</v>
          </cell>
          <cell r="G6011" t="str">
            <v>S1608-59</v>
          </cell>
          <cell r="H6011" t="str">
            <v>ALTAMAR</v>
          </cell>
          <cell r="I6011">
            <v>10.246</v>
          </cell>
        </row>
        <row r="6012">
          <cell r="A6012" t="str">
            <v>19-06012</v>
          </cell>
          <cell r="B6012" t="str">
            <v>ORKHON GROUP</v>
          </cell>
          <cell r="C6012" t="str">
            <v>A</v>
          </cell>
          <cell r="D6012" t="str">
            <v>N/A</v>
          </cell>
          <cell r="E6012" t="str">
            <v>S1608-60 ALTAMAR SOMBRERO</v>
          </cell>
          <cell r="F6012" t="str">
            <v>SOMBRERO</v>
          </cell>
          <cell r="G6012" t="str">
            <v>S1608-60</v>
          </cell>
          <cell r="H6012" t="str">
            <v>ALTAMAR</v>
          </cell>
          <cell r="I6012">
            <v>10.246</v>
          </cell>
        </row>
        <row r="6013">
          <cell r="A6013" t="str">
            <v>19-06013</v>
          </cell>
          <cell r="B6013" t="str">
            <v>ORKHON GROUP</v>
          </cell>
          <cell r="C6013" t="str">
            <v>A</v>
          </cell>
          <cell r="D6013" t="str">
            <v>N/A</v>
          </cell>
          <cell r="E6013" t="str">
            <v>S1608-61 ALTAMAR SOMBRERO</v>
          </cell>
          <cell r="F6013" t="str">
            <v>SOMBRERO</v>
          </cell>
          <cell r="G6013" t="str">
            <v>S1608-61</v>
          </cell>
          <cell r="H6013" t="str">
            <v>ALTAMAR</v>
          </cell>
          <cell r="I6013">
            <v>11.843999999999999</v>
          </cell>
        </row>
        <row r="6014">
          <cell r="A6014" t="str">
            <v>19-06014</v>
          </cell>
          <cell r="B6014" t="str">
            <v>ORKHON GROUP</v>
          </cell>
          <cell r="C6014" t="str">
            <v>A</v>
          </cell>
          <cell r="D6014" t="str">
            <v>N/A</v>
          </cell>
          <cell r="E6014" t="str">
            <v>S1608-62 ALTAMAR SOMBRERO</v>
          </cell>
          <cell r="F6014" t="str">
            <v>SOMBRERO</v>
          </cell>
          <cell r="G6014" t="str">
            <v>S1608-62</v>
          </cell>
          <cell r="H6014" t="str">
            <v>ALTAMAR</v>
          </cell>
          <cell r="I6014">
            <v>12.125999999999999</v>
          </cell>
        </row>
        <row r="6015">
          <cell r="A6015" t="str">
            <v>19-06015</v>
          </cell>
          <cell r="B6015" t="str">
            <v>ORKHON GROUP</v>
          </cell>
          <cell r="C6015" t="str">
            <v>A</v>
          </cell>
          <cell r="D6015" t="str">
            <v>N/A</v>
          </cell>
          <cell r="E6015" t="str">
            <v>S1608-71 ALTAMAR SOMBRERO</v>
          </cell>
          <cell r="F6015" t="str">
            <v>SOMBRERO</v>
          </cell>
          <cell r="G6015" t="str">
            <v>S1608-71</v>
          </cell>
          <cell r="H6015" t="str">
            <v>ALTAMAR</v>
          </cell>
          <cell r="I6015">
            <v>10.622</v>
          </cell>
        </row>
        <row r="6016">
          <cell r="A6016" t="str">
            <v>19-06016</v>
          </cell>
          <cell r="B6016" t="str">
            <v>ORKHON GROUP</v>
          </cell>
          <cell r="C6016" t="str">
            <v>A</v>
          </cell>
          <cell r="D6016" t="str">
            <v>N/A</v>
          </cell>
          <cell r="E6016" t="str">
            <v>S1608-72 ALTAMAR SOMBRERO</v>
          </cell>
          <cell r="F6016" t="str">
            <v>SOMBRERO</v>
          </cell>
          <cell r="G6016" t="str">
            <v>S1608-72</v>
          </cell>
          <cell r="H6016" t="str">
            <v>ALTAMAR</v>
          </cell>
          <cell r="I6016">
            <v>10.622</v>
          </cell>
        </row>
        <row r="6017">
          <cell r="A6017" t="str">
            <v>19-06017</v>
          </cell>
          <cell r="B6017" t="str">
            <v>ORKHON GROUP</v>
          </cell>
          <cell r="C6017" t="str">
            <v>A</v>
          </cell>
          <cell r="D6017" t="str">
            <v>N/A</v>
          </cell>
          <cell r="E6017" t="str">
            <v>S1608-74 ALTAMAR SOMBRERO</v>
          </cell>
          <cell r="F6017" t="str">
            <v>SOMBRERO</v>
          </cell>
          <cell r="G6017" t="str">
            <v>S1608-74</v>
          </cell>
          <cell r="H6017" t="str">
            <v>ALTAMAR</v>
          </cell>
          <cell r="I6017">
            <v>10.997999999999999</v>
          </cell>
        </row>
        <row r="6018">
          <cell r="A6018" t="str">
            <v>19-06018</v>
          </cell>
          <cell r="B6018" t="str">
            <v>ORKHON GROUP</v>
          </cell>
          <cell r="C6018" t="str">
            <v>A</v>
          </cell>
          <cell r="D6018" t="str">
            <v>N/A</v>
          </cell>
          <cell r="E6018" t="str">
            <v>S1608-73 ALTAMAR SOMBRERO</v>
          </cell>
          <cell r="F6018" t="str">
            <v>SOMBRERO</v>
          </cell>
          <cell r="G6018" t="str">
            <v>S1608-73</v>
          </cell>
          <cell r="H6018" t="str">
            <v>ALTAMAR</v>
          </cell>
          <cell r="I6018">
            <v>10.997999999999999</v>
          </cell>
        </row>
        <row r="6019">
          <cell r="A6019" t="str">
            <v>19-06019</v>
          </cell>
          <cell r="B6019" t="str">
            <v>ORKHON GROUP</v>
          </cell>
          <cell r="C6019" t="str">
            <v>A</v>
          </cell>
          <cell r="D6019" t="str">
            <v>N/A</v>
          </cell>
          <cell r="E6019" t="str">
            <v>S1608-66 ALTAMAR SOMBRERO C/A</v>
          </cell>
          <cell r="F6019" t="str">
            <v>SOMBRERO</v>
          </cell>
          <cell r="G6019" t="str">
            <v>S1608-66</v>
          </cell>
          <cell r="H6019" t="str">
            <v>ALTAMAR</v>
          </cell>
          <cell r="I6019">
            <v>11.938000000000001</v>
          </cell>
        </row>
        <row r="6020">
          <cell r="A6020" t="str">
            <v>19-06020</v>
          </cell>
          <cell r="B6020" t="str">
            <v>ORKHON GROUP</v>
          </cell>
          <cell r="C6020" t="str">
            <v>A</v>
          </cell>
          <cell r="D6020" t="str">
            <v>N/A</v>
          </cell>
          <cell r="E6020" t="str">
            <v>S1608-67 ALTAMAR SOMBRERO C/A</v>
          </cell>
          <cell r="F6020" t="str">
            <v>SOMBRERO</v>
          </cell>
          <cell r="G6020" t="str">
            <v>S1608-67</v>
          </cell>
          <cell r="H6020" t="str">
            <v>ALTAMAR</v>
          </cell>
          <cell r="I6020">
            <v>12.22</v>
          </cell>
        </row>
        <row r="6021">
          <cell r="A6021" t="str">
            <v>19-06021</v>
          </cell>
          <cell r="B6021" t="str">
            <v>BOING GLOBAL</v>
          </cell>
          <cell r="C6021" t="str">
            <v>A</v>
          </cell>
          <cell r="D6021" t="str">
            <v>NO</v>
          </cell>
          <cell r="E6021" t="str">
            <v>BOING TOYS PAW PATROL  CACHORRO AL RESCATE CON MASCOTA</v>
          </cell>
          <cell r="F6021" t="str">
            <v>JUGUETES</v>
          </cell>
          <cell r="G6021">
            <v>6026617</v>
          </cell>
          <cell r="H6021" t="str">
            <v>BOING TOYS</v>
          </cell>
          <cell r="I6021">
            <v>0</v>
          </cell>
        </row>
        <row r="6022">
          <cell r="A6022" t="str">
            <v>19-06022</v>
          </cell>
          <cell r="B6022" t="str">
            <v>BOING GLOBAL</v>
          </cell>
          <cell r="C6022" t="str">
            <v>A</v>
          </cell>
          <cell r="D6022" t="str">
            <v>NO</v>
          </cell>
          <cell r="E6022" t="str">
            <v>BOING TOYS PAW PATROL AREO FIG. TRANSFORMABLE  X 1 SURT.</v>
          </cell>
          <cell r="F6022" t="str">
            <v>JUGUETES</v>
          </cell>
          <cell r="G6022">
            <v>6027031</v>
          </cell>
          <cell r="H6022" t="str">
            <v>BOING TOYS</v>
          </cell>
          <cell r="I6022">
            <v>6.95</v>
          </cell>
        </row>
        <row r="6023">
          <cell r="A6023" t="str">
            <v>19-06023</v>
          </cell>
          <cell r="B6023" t="str">
            <v>BOING GLOBAL</v>
          </cell>
          <cell r="C6023" t="str">
            <v>A</v>
          </cell>
          <cell r="D6023" t="str">
            <v>NO</v>
          </cell>
          <cell r="E6023" t="str">
            <v>BOING TOYS MINECRAFT FIG BÁSICA X 1 S3 SURT</v>
          </cell>
          <cell r="F6023" t="str">
            <v>JUGUETES</v>
          </cell>
          <cell r="G6023">
            <v>16475</v>
          </cell>
          <cell r="H6023" t="str">
            <v>BOING TOYS</v>
          </cell>
          <cell r="I6023">
            <v>7.1</v>
          </cell>
        </row>
        <row r="6024">
          <cell r="A6024" t="str">
            <v>19-06024</v>
          </cell>
          <cell r="B6024" t="str">
            <v>BOING GLOBAL</v>
          </cell>
          <cell r="C6024" t="str">
            <v>A</v>
          </cell>
          <cell r="D6024" t="str">
            <v>NO</v>
          </cell>
          <cell r="E6024" t="str">
            <v>BOING TOYS MINECRAFT ALEX SET SURVIVAL</v>
          </cell>
          <cell r="F6024" t="str">
            <v>JUGUETES</v>
          </cell>
          <cell r="G6024">
            <v>16471</v>
          </cell>
          <cell r="H6024" t="str">
            <v>BOING TOYS</v>
          </cell>
          <cell r="I6024">
            <v>13.95</v>
          </cell>
        </row>
        <row r="6025">
          <cell r="A6025" t="str">
            <v>19-06025</v>
          </cell>
          <cell r="B6025" t="str">
            <v>BOING GLOBAL</v>
          </cell>
          <cell r="C6025" t="str">
            <v>A</v>
          </cell>
          <cell r="D6025" t="str">
            <v>NO</v>
          </cell>
          <cell r="E6025" t="str">
            <v>BOING TOYS PJ MASKS MSCARA SURT.</v>
          </cell>
          <cell r="F6025" t="str">
            <v>JUGUETES</v>
          </cell>
          <cell r="G6025">
            <v>24590</v>
          </cell>
          <cell r="H6025" t="str">
            <v>BOING TOYS</v>
          </cell>
          <cell r="I6025">
            <v>5.7</v>
          </cell>
        </row>
        <row r="6026">
          <cell r="A6026" t="str">
            <v>19-06026</v>
          </cell>
          <cell r="B6026" t="str">
            <v>BOING GLOBAL</v>
          </cell>
          <cell r="C6026" t="str">
            <v>A</v>
          </cell>
          <cell r="D6026" t="str">
            <v>NO</v>
          </cell>
          <cell r="E6026" t="str">
            <v>BOING TOYS PJ MASKS VEHCULO C/FIG SURT.</v>
          </cell>
          <cell r="F6026" t="str">
            <v>JUGUETES</v>
          </cell>
          <cell r="G6026">
            <v>24575</v>
          </cell>
          <cell r="H6026" t="str">
            <v>BOING TOYS</v>
          </cell>
          <cell r="I6026">
            <v>8.5</v>
          </cell>
        </row>
        <row r="6027">
          <cell r="A6027" t="str">
            <v>19-06027</v>
          </cell>
          <cell r="B6027" t="str">
            <v>BOING GLOBAL</v>
          </cell>
          <cell r="C6027" t="str">
            <v>A</v>
          </cell>
          <cell r="D6027" t="str">
            <v>NO</v>
          </cell>
          <cell r="E6027" t="str">
            <v>BOING TOYS PJ MASKS FIG DE LUJO 6" SURT</v>
          </cell>
          <cell r="F6027" t="str">
            <v>JUGUETES</v>
          </cell>
          <cell r="G6027">
            <v>24585</v>
          </cell>
          <cell r="H6027" t="str">
            <v>BOING TOYS</v>
          </cell>
          <cell r="I6027">
            <v>8.9499999999999993</v>
          </cell>
        </row>
        <row r="6028">
          <cell r="A6028" t="str">
            <v>19-06028</v>
          </cell>
          <cell r="B6028" t="str">
            <v>BOING GLOBAL</v>
          </cell>
          <cell r="C6028" t="str">
            <v>A</v>
          </cell>
          <cell r="D6028" t="str">
            <v>NO</v>
          </cell>
          <cell r="E6028" t="str">
            <v>BOING TOYS GROSSERY GANG S3 PACK X 2 SURT</v>
          </cell>
          <cell r="F6028" t="str">
            <v>JUGUETES</v>
          </cell>
          <cell r="G6028">
            <v>69031</v>
          </cell>
          <cell r="H6028" t="str">
            <v>BOING TOYS</v>
          </cell>
          <cell r="I6028">
            <v>0</v>
          </cell>
        </row>
        <row r="6029">
          <cell r="A6029" t="str">
            <v>19-06029</v>
          </cell>
          <cell r="B6029" t="str">
            <v>BOING GLOBAL</v>
          </cell>
          <cell r="C6029" t="str">
            <v>A</v>
          </cell>
          <cell r="D6029" t="str">
            <v>NO</v>
          </cell>
          <cell r="E6029" t="str">
            <v>BOING TOYS GROSSERY GANG PACK X 5 SURT</v>
          </cell>
          <cell r="F6029" t="str">
            <v>JUGUETES</v>
          </cell>
          <cell r="G6029">
            <v>69032</v>
          </cell>
          <cell r="H6029" t="str">
            <v>BOING TOYS</v>
          </cell>
          <cell r="I6029">
            <v>3.95</v>
          </cell>
        </row>
        <row r="6030">
          <cell r="A6030" t="str">
            <v>19-06030</v>
          </cell>
          <cell r="B6030" t="str">
            <v>BOING GLOBAL</v>
          </cell>
          <cell r="C6030" t="str">
            <v>A</v>
          </cell>
          <cell r="D6030" t="str">
            <v>NO</v>
          </cell>
          <cell r="E6030" t="str">
            <v>BOING TOYS GROSSERY GANG  PACK X 12 SURT</v>
          </cell>
          <cell r="F6030" t="str">
            <v>JUGUETES</v>
          </cell>
          <cell r="G6030">
            <v>69033</v>
          </cell>
          <cell r="H6030" t="str">
            <v>BOING TOYS</v>
          </cell>
          <cell r="I6030">
            <v>0</v>
          </cell>
        </row>
        <row r="6031">
          <cell r="A6031" t="str">
            <v>19-06031</v>
          </cell>
          <cell r="B6031" t="str">
            <v>BOING GLOBAL</v>
          </cell>
          <cell r="C6031" t="str">
            <v>A</v>
          </cell>
          <cell r="D6031" t="str">
            <v>NO</v>
          </cell>
          <cell r="E6031" t="str">
            <v>BOING TOYS LITTLE LIVE PETS BABY CHICK SORPRESA X 1 SURT</v>
          </cell>
          <cell r="F6031" t="str">
            <v>JUGUETES</v>
          </cell>
          <cell r="G6031">
            <v>28324</v>
          </cell>
          <cell r="H6031" t="str">
            <v>BOING TOYS</v>
          </cell>
          <cell r="I6031">
            <v>8.9499999999999993</v>
          </cell>
        </row>
        <row r="6032">
          <cell r="A6032" t="str">
            <v>19-06032</v>
          </cell>
          <cell r="B6032" t="str">
            <v>BOING GLOBAL</v>
          </cell>
          <cell r="C6032" t="str">
            <v>A</v>
          </cell>
          <cell r="D6032" t="str">
            <v>NO</v>
          </cell>
          <cell r="E6032" t="str">
            <v>BOING TOYS PJ MASKS FIG ARTICULADA HEROE VS VILLANO 3" C/LUZ SURT</v>
          </cell>
          <cell r="F6032" t="str">
            <v>JUGUETES</v>
          </cell>
          <cell r="G6032">
            <v>24810</v>
          </cell>
          <cell r="H6032" t="str">
            <v>BOING TOYS</v>
          </cell>
          <cell r="I6032">
            <v>5.95</v>
          </cell>
        </row>
        <row r="6033">
          <cell r="A6033" t="str">
            <v>19-06033</v>
          </cell>
          <cell r="B6033" t="str">
            <v>BOING GLOBAL</v>
          </cell>
          <cell r="C6033" t="str">
            <v>A</v>
          </cell>
          <cell r="D6033" t="str">
            <v>NO</v>
          </cell>
          <cell r="E6033" t="str">
            <v>BOING TOYS DISNEY PELUCHE MICKEY TRAJE DE CARRERAS 10"</v>
          </cell>
          <cell r="F6033" t="str">
            <v>JUGUETES</v>
          </cell>
          <cell r="G6033" t="str">
            <v>PDP1601258</v>
          </cell>
          <cell r="H6033" t="str">
            <v>BOING TOYS</v>
          </cell>
          <cell r="I6033">
            <v>8.9499999999999993</v>
          </cell>
        </row>
        <row r="6034">
          <cell r="A6034" t="str">
            <v>19-06034</v>
          </cell>
          <cell r="B6034" t="str">
            <v>BOING GLOBAL</v>
          </cell>
          <cell r="C6034" t="str">
            <v>A</v>
          </cell>
          <cell r="D6034" t="str">
            <v>NO</v>
          </cell>
          <cell r="E6034" t="str">
            <v>BOING TOYS DISNEY PELUCHE MINNIE TRAJE DE CARRERAS 10"</v>
          </cell>
          <cell r="F6034" t="str">
            <v>JUGUETES</v>
          </cell>
          <cell r="G6034" t="str">
            <v>PDP1601259</v>
          </cell>
          <cell r="H6034" t="str">
            <v>BOING TOYS</v>
          </cell>
          <cell r="I6034">
            <v>8.9499999999999993</v>
          </cell>
        </row>
        <row r="6035">
          <cell r="A6035" t="str">
            <v>19-06035</v>
          </cell>
          <cell r="B6035" t="str">
            <v>BOING GLOBAL</v>
          </cell>
          <cell r="C6035" t="str">
            <v>A</v>
          </cell>
          <cell r="D6035" t="str">
            <v>NO</v>
          </cell>
          <cell r="E6035" t="str">
            <v>BOING TOYS PAW PATROL VEHCULO JUNGLA SURT.</v>
          </cell>
          <cell r="F6035" t="str">
            <v>JUGUETES</v>
          </cell>
          <cell r="G6035">
            <v>6031703</v>
          </cell>
          <cell r="H6035" t="str">
            <v>BOING TOYS</v>
          </cell>
          <cell r="I6035">
            <v>10.1</v>
          </cell>
        </row>
        <row r="6036">
          <cell r="A6036" t="str">
            <v>19-06036</v>
          </cell>
          <cell r="B6036" t="str">
            <v>BOING GLOBAL</v>
          </cell>
          <cell r="C6036" t="str">
            <v>A</v>
          </cell>
          <cell r="D6036" t="str">
            <v>NO</v>
          </cell>
          <cell r="E6036" t="str">
            <v>BOING TOYS STRETCH ARMSTRONG MINI</v>
          </cell>
          <cell r="F6036" t="str">
            <v>JUGUETES</v>
          </cell>
          <cell r="G6036">
            <v>6452</v>
          </cell>
          <cell r="H6036" t="str">
            <v>BOING TOYS</v>
          </cell>
          <cell r="I6036">
            <v>6.95</v>
          </cell>
        </row>
        <row r="6037">
          <cell r="A6037" t="str">
            <v>19-06037</v>
          </cell>
          <cell r="B6037" t="str">
            <v>BOING GLOBAL</v>
          </cell>
          <cell r="C6037" t="str">
            <v>A</v>
          </cell>
          <cell r="D6037" t="str">
            <v>NO</v>
          </cell>
          <cell r="E6037" t="str">
            <v>BOING TOYS STRETCH ARMSTRONG</v>
          </cell>
          <cell r="F6037" t="str">
            <v>JUGUETES</v>
          </cell>
          <cell r="G6037">
            <v>6028</v>
          </cell>
          <cell r="H6037" t="str">
            <v>BOING TOYS</v>
          </cell>
          <cell r="I6037">
            <v>14.95</v>
          </cell>
        </row>
        <row r="6038">
          <cell r="A6038" t="str">
            <v>19-06038</v>
          </cell>
          <cell r="B6038" t="str">
            <v>BOING GLOBAL</v>
          </cell>
          <cell r="C6038" t="str">
            <v>A</v>
          </cell>
          <cell r="D6038" t="str">
            <v>NO</v>
          </cell>
          <cell r="E6038" t="str">
            <v>BOING TOYS STRETCH DC COMICS MINI SURT</v>
          </cell>
          <cell r="F6038" t="str">
            <v>JUGUETES</v>
          </cell>
          <cell r="G6038">
            <v>6614</v>
          </cell>
          <cell r="H6038" t="str">
            <v>BOING TOYS</v>
          </cell>
          <cell r="I6038">
            <v>7.95</v>
          </cell>
        </row>
        <row r="6039">
          <cell r="A6039" t="str">
            <v>19-06039</v>
          </cell>
          <cell r="B6039" t="str">
            <v>BOING GLOBAL</v>
          </cell>
          <cell r="C6039" t="str">
            <v>A</v>
          </cell>
          <cell r="D6039" t="str">
            <v>NO</v>
          </cell>
          <cell r="E6039" t="str">
            <v>BOING TOYS DISNEY ELENA DE AVALOR SET FIGURAS X 5</v>
          </cell>
          <cell r="F6039" t="str">
            <v>JUGUETES</v>
          </cell>
          <cell r="G6039">
            <v>45533</v>
          </cell>
          <cell r="H6039" t="str">
            <v>BOING TOYS</v>
          </cell>
          <cell r="I6039">
            <v>11.95</v>
          </cell>
        </row>
        <row r="6040">
          <cell r="A6040" t="str">
            <v>19-06040</v>
          </cell>
          <cell r="B6040" t="str">
            <v>BOING GLOBAL</v>
          </cell>
          <cell r="C6040" t="str">
            <v>A</v>
          </cell>
          <cell r="D6040" t="str">
            <v>NO</v>
          </cell>
          <cell r="E6040" t="str">
            <v>BOING TOYS DISNEY CARS SET FIGURAS X 5</v>
          </cell>
          <cell r="F6040" t="str">
            <v>JUGUETES</v>
          </cell>
          <cell r="G6040">
            <v>71577</v>
          </cell>
          <cell r="H6040" t="str">
            <v>BOING TOYS</v>
          </cell>
          <cell r="I6040">
            <v>11.95</v>
          </cell>
        </row>
        <row r="6041">
          <cell r="A6041" t="str">
            <v>19-06041</v>
          </cell>
          <cell r="B6041" t="str">
            <v>BOING GLOBAL</v>
          </cell>
          <cell r="C6041" t="str">
            <v>A</v>
          </cell>
          <cell r="D6041" t="str">
            <v>NO</v>
          </cell>
          <cell r="E6041" t="str">
            <v>BOING TOYS DISNEY TOY STORY SET FIGURAS X 5</v>
          </cell>
          <cell r="F6041" t="str">
            <v>JUGUETES</v>
          </cell>
          <cell r="G6041">
            <v>71579</v>
          </cell>
          <cell r="H6041" t="str">
            <v>BOING TOYS</v>
          </cell>
          <cell r="I6041">
            <v>11.95</v>
          </cell>
        </row>
        <row r="6042">
          <cell r="A6042" t="str">
            <v>19-06042</v>
          </cell>
          <cell r="B6042" t="str">
            <v>BOING GLOBAL</v>
          </cell>
          <cell r="C6042" t="str">
            <v>A</v>
          </cell>
          <cell r="D6042" t="str">
            <v>NO</v>
          </cell>
          <cell r="E6042" t="str">
            <v>BOING TOYS DISNEY MOANA SET FIGURAS X 5</v>
          </cell>
          <cell r="F6042" t="str">
            <v>JUGUETES</v>
          </cell>
          <cell r="G6042">
            <v>45536</v>
          </cell>
          <cell r="H6042" t="str">
            <v>BOING TOYS</v>
          </cell>
          <cell r="I6042">
            <v>11.95</v>
          </cell>
        </row>
        <row r="6043">
          <cell r="A6043" t="str">
            <v>19-06043</v>
          </cell>
          <cell r="B6043" t="str">
            <v>BOING GLOBAL</v>
          </cell>
          <cell r="C6043" t="str">
            <v>A</v>
          </cell>
          <cell r="D6043" t="str">
            <v>NO</v>
          </cell>
          <cell r="E6043" t="str">
            <v>BOING TOYS DISNEY LA BELLA Y LA BESTIA  SET FIGURAS X 5</v>
          </cell>
          <cell r="F6043" t="str">
            <v>JUGUETES</v>
          </cell>
          <cell r="G6043">
            <v>45535</v>
          </cell>
          <cell r="H6043" t="str">
            <v>BOING TOYS</v>
          </cell>
          <cell r="I6043">
            <v>11.95</v>
          </cell>
        </row>
        <row r="6044">
          <cell r="A6044" t="str">
            <v>19-06044</v>
          </cell>
          <cell r="B6044" t="str">
            <v>BOING GLOBAL</v>
          </cell>
          <cell r="C6044" t="str">
            <v>A</v>
          </cell>
          <cell r="D6044" t="str">
            <v>NO</v>
          </cell>
          <cell r="E6044" t="str">
            <v>BOING TOYS BEN 10 FIGURA 5" SURT</v>
          </cell>
          <cell r="F6044" t="str">
            <v>JUGUETES</v>
          </cell>
          <cell r="G6044">
            <v>76100</v>
          </cell>
          <cell r="H6044" t="str">
            <v>BOING TOYS</v>
          </cell>
          <cell r="I6044">
            <v>0</v>
          </cell>
        </row>
        <row r="6045">
          <cell r="A6045" t="str">
            <v>19-06045</v>
          </cell>
          <cell r="B6045" t="str">
            <v>BOING GLOBAL</v>
          </cell>
          <cell r="C6045" t="str">
            <v>A</v>
          </cell>
          <cell r="D6045" t="str">
            <v>NO</v>
          </cell>
          <cell r="E6045" t="str">
            <v>BOING TOYS X SHOT EXCEL DUAL KIT LANZA DARDOSDISCOS</v>
          </cell>
          <cell r="F6045" t="str">
            <v>JUGUETES</v>
          </cell>
          <cell r="G6045">
            <v>3603</v>
          </cell>
          <cell r="H6045" t="str">
            <v>BOING TOYS</v>
          </cell>
          <cell r="I6045">
            <v>5.2</v>
          </cell>
        </row>
        <row r="6046">
          <cell r="A6046" t="str">
            <v>19-06046</v>
          </cell>
          <cell r="B6046" t="str">
            <v>BOING GLOBAL</v>
          </cell>
          <cell r="C6046" t="str">
            <v>A</v>
          </cell>
          <cell r="D6046" t="str">
            <v>NO</v>
          </cell>
          <cell r="E6046" t="str">
            <v>BOING TOYS ORBEEZ SPA RELAJANTE PARA MANOS</v>
          </cell>
          <cell r="F6046" t="str">
            <v>JUGUETES</v>
          </cell>
          <cell r="G6046">
            <v>47299</v>
          </cell>
          <cell r="H6046" t="str">
            <v>BOING TOYS</v>
          </cell>
          <cell r="I6046">
            <v>14.95</v>
          </cell>
        </row>
        <row r="6047">
          <cell r="A6047" t="str">
            <v>19-06047</v>
          </cell>
          <cell r="B6047" t="str">
            <v>BOING GLOBAL</v>
          </cell>
          <cell r="C6047" t="str">
            <v>A</v>
          </cell>
          <cell r="D6047" t="str">
            <v>NO</v>
          </cell>
          <cell r="E6047" t="str">
            <v>TY BEANIE BOOS COCONUT MONO MEDIANO</v>
          </cell>
          <cell r="F6047" t="str">
            <v>JUGUETES</v>
          </cell>
          <cell r="G6047">
            <v>36901</v>
          </cell>
          <cell r="H6047" t="str">
            <v>TY</v>
          </cell>
          <cell r="I6047">
            <v>5.53</v>
          </cell>
        </row>
        <row r="6048">
          <cell r="A6048" t="str">
            <v>19-06048</v>
          </cell>
          <cell r="B6048" t="str">
            <v>BOING GLOBAL</v>
          </cell>
          <cell r="C6048" t="str">
            <v>A</v>
          </cell>
          <cell r="D6048" t="str">
            <v>NO</v>
          </cell>
          <cell r="E6048" t="str">
            <v>TY BEANIE BOOS LEONA LEOPARDO AZUL REGULAR</v>
          </cell>
          <cell r="F6048" t="str">
            <v>JUGUETES</v>
          </cell>
          <cell r="G6048">
            <v>36742</v>
          </cell>
          <cell r="H6048" t="str">
            <v>TY</v>
          </cell>
          <cell r="I6048">
            <v>2.74</v>
          </cell>
        </row>
        <row r="6049">
          <cell r="A6049" t="str">
            <v>19-06049</v>
          </cell>
          <cell r="B6049" t="str">
            <v>BOING GLOBAL</v>
          </cell>
          <cell r="C6049" t="str">
            <v>A</v>
          </cell>
          <cell r="D6049" t="str">
            <v>NO</v>
          </cell>
          <cell r="E6049" t="str">
            <v>TY BEANIE BALLZ DISNEY TIGGER  CLIP</v>
          </cell>
          <cell r="F6049" t="str">
            <v>JUGUETES</v>
          </cell>
          <cell r="G6049">
            <v>38353</v>
          </cell>
          <cell r="H6049" t="str">
            <v>TY</v>
          </cell>
          <cell r="I6049">
            <v>1.85</v>
          </cell>
        </row>
        <row r="6050">
          <cell r="A6050" t="str">
            <v>19-06050</v>
          </cell>
          <cell r="B6050" t="str">
            <v>BOING GLOBAL</v>
          </cell>
          <cell r="C6050" t="str">
            <v>A</v>
          </cell>
          <cell r="D6050" t="str">
            <v>NO</v>
          </cell>
          <cell r="E6050" t="str">
            <v>TY BEANIE BOOS FANTASIA UNICORNIO MULTICOLOR MEDIANO</v>
          </cell>
          <cell r="F6050" t="str">
            <v>JUGUETES</v>
          </cell>
          <cell r="G6050">
            <v>37041</v>
          </cell>
          <cell r="H6050" t="str">
            <v>TY</v>
          </cell>
          <cell r="I6050">
            <v>5.53</v>
          </cell>
        </row>
        <row r="6051">
          <cell r="A6051" t="str">
            <v>19-06051</v>
          </cell>
          <cell r="B6051" t="str">
            <v>BOING GLOBAL</v>
          </cell>
          <cell r="C6051" t="str">
            <v>A</v>
          </cell>
          <cell r="D6051" t="str">
            <v>NO</v>
          </cell>
          <cell r="E6051" t="str">
            <v>TY BEANIES MY LITTLE PONY PINKIE PIE REGULAR</v>
          </cell>
          <cell r="F6051" t="str">
            <v>JUGUETES</v>
          </cell>
          <cell r="G6051">
            <v>41000</v>
          </cell>
          <cell r="H6051" t="str">
            <v>TY</v>
          </cell>
          <cell r="I6051">
            <v>2.74</v>
          </cell>
        </row>
        <row r="6052">
          <cell r="A6052" t="str">
            <v>19-06052</v>
          </cell>
          <cell r="B6052" t="str">
            <v>BOING GLOBAL</v>
          </cell>
          <cell r="C6052" t="str">
            <v>A</v>
          </cell>
          <cell r="D6052" t="str">
            <v>NO</v>
          </cell>
          <cell r="E6052" t="str">
            <v>TY BEANIES MY LITTLE PONY TWILIGHT SPARKLE REGULAR</v>
          </cell>
          <cell r="F6052" t="str">
            <v>JUGUETES</v>
          </cell>
          <cell r="G6052">
            <v>41004</v>
          </cell>
          <cell r="H6052" t="str">
            <v>TY</v>
          </cell>
          <cell r="I6052">
            <v>2.74</v>
          </cell>
        </row>
        <row r="6053">
          <cell r="A6053" t="str">
            <v>19-06053</v>
          </cell>
          <cell r="B6053" t="str">
            <v>BOING GLOBAL</v>
          </cell>
          <cell r="C6053" t="str">
            <v>A</v>
          </cell>
          <cell r="D6053" t="str">
            <v>NO</v>
          </cell>
          <cell r="E6053" t="str">
            <v>TY BEANIES MY LITTLE PONY RAINBOW DASH REGULAR</v>
          </cell>
          <cell r="F6053" t="str">
            <v>JUGUETES</v>
          </cell>
          <cell r="G6053">
            <v>41005</v>
          </cell>
          <cell r="H6053" t="str">
            <v>TY</v>
          </cell>
          <cell r="I6053">
            <v>2.74</v>
          </cell>
        </row>
        <row r="6054">
          <cell r="A6054" t="str">
            <v>19-06054</v>
          </cell>
          <cell r="B6054" t="str">
            <v>BOING GLOBAL</v>
          </cell>
          <cell r="C6054" t="str">
            <v>A</v>
          </cell>
          <cell r="D6054" t="str">
            <v>NO</v>
          </cell>
          <cell r="E6054" t="str">
            <v>TY BEANIES MY LITTLE PONY RARITY REGULAR</v>
          </cell>
          <cell r="F6054" t="str">
            <v>JUGUETES</v>
          </cell>
          <cell r="G6054">
            <v>41008</v>
          </cell>
          <cell r="H6054" t="str">
            <v>TY</v>
          </cell>
          <cell r="I6054">
            <v>2.74</v>
          </cell>
        </row>
        <row r="6055">
          <cell r="A6055" t="str">
            <v>19-06055</v>
          </cell>
          <cell r="B6055" t="str">
            <v>BOING GLOBAL</v>
          </cell>
          <cell r="C6055" t="str">
            <v>A</v>
          </cell>
          <cell r="D6055" t="str">
            <v>NO</v>
          </cell>
          <cell r="E6055" t="str">
            <v>TY BEANIES MY LITTLE PONY PINKIE PIE MEDIANO</v>
          </cell>
          <cell r="F6055" t="str">
            <v>JUGUETES</v>
          </cell>
          <cell r="G6055">
            <v>90200</v>
          </cell>
          <cell r="H6055" t="str">
            <v>TY</v>
          </cell>
          <cell r="I6055">
            <v>5.53</v>
          </cell>
        </row>
        <row r="6056">
          <cell r="A6056" t="str">
            <v>19-06056</v>
          </cell>
          <cell r="B6056" t="str">
            <v>BOING GLOBAL</v>
          </cell>
          <cell r="C6056" t="str">
            <v>A</v>
          </cell>
          <cell r="D6056" t="str">
            <v>NO</v>
          </cell>
          <cell r="E6056" t="str">
            <v>TY BEANIES MY LITTLE PONY RAINBOW DASH MEDIANO</v>
          </cell>
          <cell r="F6056" t="str">
            <v>JUGUETES</v>
          </cell>
          <cell r="G6056">
            <v>90205</v>
          </cell>
          <cell r="H6056" t="str">
            <v>TY</v>
          </cell>
          <cell r="I6056">
            <v>5.53</v>
          </cell>
        </row>
        <row r="6057">
          <cell r="A6057" t="str">
            <v>19-06057</v>
          </cell>
          <cell r="B6057" t="str">
            <v>BOING GLOBAL</v>
          </cell>
          <cell r="C6057" t="str">
            <v>A</v>
          </cell>
          <cell r="D6057" t="str">
            <v>NO</v>
          </cell>
          <cell r="E6057" t="str">
            <v>TY BEANIES MY LITTLE PONY RARITY MEDIANO</v>
          </cell>
          <cell r="F6057" t="str">
            <v>JUGUETES</v>
          </cell>
          <cell r="G6057">
            <v>41075</v>
          </cell>
          <cell r="H6057" t="str">
            <v>TY</v>
          </cell>
          <cell r="I6057">
            <v>5.53</v>
          </cell>
        </row>
        <row r="6058">
          <cell r="A6058" t="str">
            <v>19-06058</v>
          </cell>
          <cell r="B6058" t="str">
            <v>BOING GLOBAL</v>
          </cell>
          <cell r="C6058" t="str">
            <v>A</v>
          </cell>
          <cell r="D6058" t="str">
            <v>NO</v>
          </cell>
          <cell r="E6058" t="str">
            <v>TY BEANIES MY LITTLE PONY TWILIGHT SPARKLE MEDIANO</v>
          </cell>
          <cell r="F6058" t="str">
            <v>JUGUETES</v>
          </cell>
          <cell r="G6058">
            <v>90204</v>
          </cell>
          <cell r="H6058" t="str">
            <v>TY</v>
          </cell>
          <cell r="I6058">
            <v>5.53</v>
          </cell>
        </row>
        <row r="6059">
          <cell r="A6059" t="str">
            <v>19-06059</v>
          </cell>
          <cell r="B6059" t="str">
            <v>BOING GLOBAL</v>
          </cell>
          <cell r="C6059" t="str">
            <v>A</v>
          </cell>
          <cell r="D6059" t="str">
            <v>NO</v>
          </cell>
          <cell r="E6059" t="str">
            <v>TY BEANIE BOOS PIXY UNICORNIO BLANCO REGULAR</v>
          </cell>
          <cell r="F6059" t="str">
            <v>JUGUETES</v>
          </cell>
          <cell r="G6059">
            <v>36852</v>
          </cell>
          <cell r="H6059" t="str">
            <v>TY</v>
          </cell>
          <cell r="I6059">
            <v>2.74</v>
          </cell>
        </row>
        <row r="6060">
          <cell r="A6060" t="str">
            <v>19-06060</v>
          </cell>
          <cell r="B6060" t="str">
            <v>BOING GLOBAL</v>
          </cell>
          <cell r="C6060" t="str">
            <v>A</v>
          </cell>
          <cell r="D6060" t="str">
            <v>NO</v>
          </cell>
          <cell r="E6060" t="str">
            <v>TY BEANIE BOOS SAMI PEZ NARANJA MEDIANO</v>
          </cell>
          <cell r="F6060" t="str">
            <v>JUGUETES</v>
          </cell>
          <cell r="G6060">
            <v>37146</v>
          </cell>
          <cell r="H6060" t="str">
            <v>TY</v>
          </cell>
          <cell r="I6060">
            <v>5.53</v>
          </cell>
        </row>
        <row r="6061">
          <cell r="A6061" t="str">
            <v>19-06061</v>
          </cell>
          <cell r="B6061" t="str">
            <v>BOING GLOBAL</v>
          </cell>
          <cell r="C6061" t="str">
            <v>A</v>
          </cell>
          <cell r="D6061" t="str">
            <v>NO</v>
          </cell>
          <cell r="E6061" t="str">
            <v>TY BEANIES SING ASH REGULAR</v>
          </cell>
          <cell r="F6061" t="str">
            <v>JUGUETES</v>
          </cell>
          <cell r="G6061">
            <v>41230</v>
          </cell>
          <cell r="H6061" t="str">
            <v>TY</v>
          </cell>
          <cell r="I6061">
            <v>3.26</v>
          </cell>
        </row>
        <row r="6062">
          <cell r="A6062" t="str">
            <v>19-06062</v>
          </cell>
          <cell r="B6062" t="str">
            <v>BOING GLOBAL</v>
          </cell>
          <cell r="C6062" t="str">
            <v>A</v>
          </cell>
          <cell r="D6062" t="str">
            <v>NO</v>
          </cell>
          <cell r="E6062" t="str">
            <v>TY BEANIES SING BUSTER REGULAR</v>
          </cell>
          <cell r="F6062" t="str">
            <v>JUGUETES</v>
          </cell>
          <cell r="G6062">
            <v>41229</v>
          </cell>
          <cell r="H6062" t="str">
            <v>TY</v>
          </cell>
          <cell r="I6062">
            <v>3.26</v>
          </cell>
        </row>
        <row r="6063">
          <cell r="A6063" t="str">
            <v>19-06063</v>
          </cell>
          <cell r="B6063" t="str">
            <v>BOING GLOBAL</v>
          </cell>
          <cell r="C6063" t="str">
            <v>A</v>
          </cell>
          <cell r="D6063" t="str">
            <v>NO</v>
          </cell>
          <cell r="E6063" t="str">
            <v>TY BEANIES SING GUNTER REGULAR</v>
          </cell>
          <cell r="F6063" t="str">
            <v>JUGUETES</v>
          </cell>
          <cell r="G6063">
            <v>41234</v>
          </cell>
          <cell r="H6063" t="str">
            <v>TY</v>
          </cell>
          <cell r="I6063">
            <v>3.26</v>
          </cell>
        </row>
        <row r="6064">
          <cell r="A6064" t="str">
            <v>19-06064</v>
          </cell>
          <cell r="B6064" t="str">
            <v>BOING GLOBAL</v>
          </cell>
          <cell r="C6064" t="str">
            <v>A</v>
          </cell>
          <cell r="D6064" t="str">
            <v>NO</v>
          </cell>
          <cell r="E6064" t="str">
            <v>TY BEANIES SING JOHNNY REGULAR</v>
          </cell>
          <cell r="F6064" t="str">
            <v>JUGUETES</v>
          </cell>
          <cell r="G6064">
            <v>41233</v>
          </cell>
          <cell r="H6064" t="str">
            <v>TY</v>
          </cell>
          <cell r="I6064">
            <v>3.26</v>
          </cell>
        </row>
        <row r="6065">
          <cell r="A6065" t="str">
            <v>19-06065</v>
          </cell>
          <cell r="B6065" t="str">
            <v>BOING GLOBAL</v>
          </cell>
          <cell r="C6065" t="str">
            <v>A</v>
          </cell>
          <cell r="D6065" t="str">
            <v>NO</v>
          </cell>
          <cell r="E6065" t="str">
            <v>TY BEANIES SING MEENA REGULAR</v>
          </cell>
          <cell r="F6065" t="str">
            <v>JUGUETES</v>
          </cell>
          <cell r="G6065">
            <v>41231</v>
          </cell>
          <cell r="H6065" t="str">
            <v>TY</v>
          </cell>
          <cell r="I6065">
            <v>3.26</v>
          </cell>
        </row>
        <row r="6066">
          <cell r="A6066" t="str">
            <v>19-06066</v>
          </cell>
          <cell r="B6066" t="str">
            <v>BOING GLOBAL</v>
          </cell>
          <cell r="C6066" t="str">
            <v>A</v>
          </cell>
          <cell r="D6066" t="str">
            <v>NO</v>
          </cell>
          <cell r="E6066" t="str">
            <v>TY BEANIES SING MIKE REGULAR</v>
          </cell>
          <cell r="F6066" t="str">
            <v>JUGUETES</v>
          </cell>
          <cell r="G6066">
            <v>41235</v>
          </cell>
          <cell r="H6066" t="str">
            <v>TY</v>
          </cell>
          <cell r="I6066">
            <v>3.26</v>
          </cell>
        </row>
        <row r="6067">
          <cell r="A6067" t="str">
            <v>19-06067</v>
          </cell>
          <cell r="B6067" t="str">
            <v>BOING GLOBAL</v>
          </cell>
          <cell r="C6067" t="str">
            <v>A</v>
          </cell>
          <cell r="D6067" t="str">
            <v>NO</v>
          </cell>
          <cell r="E6067" t="str">
            <v>TY BEANIE BOOS RAINBOW PERRO POODLE MULTICOLOR REGULAR</v>
          </cell>
          <cell r="F6067" t="str">
            <v>JUGUETES</v>
          </cell>
          <cell r="G6067">
            <v>37223</v>
          </cell>
          <cell r="H6067" t="str">
            <v>TY</v>
          </cell>
          <cell r="I6067">
            <v>2.74</v>
          </cell>
        </row>
        <row r="6068">
          <cell r="A6068" t="str">
            <v>19-06068</v>
          </cell>
          <cell r="B6068" t="str">
            <v>BOING GLOBAL</v>
          </cell>
          <cell r="C6068" t="str">
            <v>A</v>
          </cell>
          <cell r="D6068" t="str">
            <v>NO</v>
          </cell>
          <cell r="E6068" t="str">
            <v>TY BEANIE BOOS BOOM BOOM PANDA REGULAR</v>
          </cell>
          <cell r="F6068" t="str">
            <v>JUGUETES</v>
          </cell>
          <cell r="G6068">
            <v>37207</v>
          </cell>
          <cell r="H6068" t="str">
            <v>TY</v>
          </cell>
          <cell r="I6068">
            <v>2.74</v>
          </cell>
        </row>
        <row r="6069">
          <cell r="A6069" t="str">
            <v>19-06069</v>
          </cell>
          <cell r="B6069" t="str">
            <v>BOING GLOBAL</v>
          </cell>
          <cell r="C6069" t="str">
            <v>A</v>
          </cell>
          <cell r="D6069" t="str">
            <v>NO</v>
          </cell>
          <cell r="E6069" t="str">
            <v>TY BEANIE BOOS ICY FOCA BLANCA REGULAR</v>
          </cell>
          <cell r="F6069" t="str">
            <v>JUGUETES</v>
          </cell>
          <cell r="G6069">
            <v>36164</v>
          </cell>
          <cell r="H6069" t="str">
            <v>TY</v>
          </cell>
          <cell r="I6069">
            <v>2.74</v>
          </cell>
        </row>
        <row r="6070">
          <cell r="A6070" t="str">
            <v>19-06070</v>
          </cell>
          <cell r="B6070" t="str">
            <v>BOING GLOBAL</v>
          </cell>
          <cell r="C6070" t="str">
            <v>A</v>
          </cell>
          <cell r="D6070" t="str">
            <v>NO</v>
          </cell>
          <cell r="E6070" t="str">
            <v>TY BEANIES PAW PATROL CHASE PERRO MEDIANO</v>
          </cell>
          <cell r="F6070" t="str">
            <v>JUGUETES</v>
          </cell>
          <cell r="G6070">
            <v>96319</v>
          </cell>
          <cell r="H6070" t="str">
            <v>TY</v>
          </cell>
          <cell r="I6070">
            <v>6.46</v>
          </cell>
        </row>
        <row r="6071">
          <cell r="A6071" t="str">
            <v>19-06071</v>
          </cell>
          <cell r="B6071" t="str">
            <v>BOING GLOBAL</v>
          </cell>
          <cell r="C6071" t="str">
            <v>A</v>
          </cell>
          <cell r="D6071" t="str">
            <v>NO</v>
          </cell>
          <cell r="E6071" t="str">
            <v>TY BEANIES PAW PATROL SKYE PERRO MEDIANO</v>
          </cell>
          <cell r="F6071" t="str">
            <v>JUGUETES</v>
          </cell>
          <cell r="G6071">
            <v>96321</v>
          </cell>
          <cell r="H6071" t="str">
            <v>TY</v>
          </cell>
          <cell r="I6071">
            <v>6.46</v>
          </cell>
        </row>
        <row r="6072">
          <cell r="A6072" t="str">
            <v>19-06072</v>
          </cell>
          <cell r="B6072" t="str">
            <v>BOING GLOBAL</v>
          </cell>
          <cell r="C6072" t="str">
            <v>A</v>
          </cell>
          <cell r="D6072" t="str">
            <v>NO</v>
          </cell>
          <cell r="E6072" t="str">
            <v>TY BEANIES PAW PATROL RUBBLE PERRO MEDIANO</v>
          </cell>
          <cell r="F6072" t="str">
            <v>JUGUETES</v>
          </cell>
          <cell r="G6072">
            <v>96320</v>
          </cell>
          <cell r="H6072" t="str">
            <v>TY</v>
          </cell>
          <cell r="I6072">
            <v>6.46</v>
          </cell>
        </row>
        <row r="6073">
          <cell r="A6073" t="str">
            <v>19-06073</v>
          </cell>
          <cell r="B6073" t="str">
            <v>BOING GLOBAL</v>
          </cell>
          <cell r="C6073" t="str">
            <v>A</v>
          </cell>
          <cell r="D6073" t="str">
            <v>NO</v>
          </cell>
          <cell r="E6073" t="str">
            <v>TY BEANIES PAW PATROL MARSHALL PERRO MEDIANO</v>
          </cell>
          <cell r="F6073" t="str">
            <v>JUGUETES</v>
          </cell>
          <cell r="G6073">
            <v>96322</v>
          </cell>
          <cell r="H6073" t="str">
            <v>TY</v>
          </cell>
          <cell r="I6073">
            <v>6.46</v>
          </cell>
        </row>
        <row r="6074">
          <cell r="A6074" t="str">
            <v>19-06074</v>
          </cell>
          <cell r="B6074" t="str">
            <v>BOING GLOBAL</v>
          </cell>
          <cell r="C6074" t="str">
            <v>A</v>
          </cell>
          <cell r="D6074" t="str">
            <v>NO</v>
          </cell>
          <cell r="E6074" t="str">
            <v>TY BEANIES PAW PATROL ROCKY PERRO MEDIANO</v>
          </cell>
          <cell r="F6074" t="str">
            <v>JUGUETES</v>
          </cell>
          <cell r="G6074">
            <v>96323</v>
          </cell>
          <cell r="H6074" t="str">
            <v>TY</v>
          </cell>
          <cell r="I6074">
            <v>6.46</v>
          </cell>
        </row>
        <row r="6075">
          <cell r="A6075" t="str">
            <v>19-06075</v>
          </cell>
          <cell r="B6075" t="str">
            <v>BOING GLOBAL</v>
          </cell>
          <cell r="C6075" t="str">
            <v>A</v>
          </cell>
          <cell r="D6075" t="str">
            <v>NO</v>
          </cell>
          <cell r="E6075" t="str">
            <v>TY BEANIES PAW PATROL ZUMA PERRO MEDIANO</v>
          </cell>
          <cell r="F6075" t="str">
            <v>JUGUETES</v>
          </cell>
          <cell r="G6075">
            <v>96324</v>
          </cell>
          <cell r="H6075" t="str">
            <v>TY</v>
          </cell>
          <cell r="I6075">
            <v>6.46</v>
          </cell>
        </row>
        <row r="6076">
          <cell r="A6076" t="str">
            <v>19-06076</v>
          </cell>
          <cell r="B6076" t="str">
            <v>BOING GLOBAL</v>
          </cell>
          <cell r="C6076" t="str">
            <v>A</v>
          </cell>
          <cell r="D6076" t="str">
            <v>NO</v>
          </cell>
          <cell r="E6076" t="str">
            <v>TY BEANIE BALLZ DISNEY WINNIE POOH CLIP</v>
          </cell>
          <cell r="F6076" t="str">
            <v>JUGUETES</v>
          </cell>
          <cell r="G6076">
            <v>38352</v>
          </cell>
          <cell r="H6076" t="str">
            <v>TY</v>
          </cell>
          <cell r="I6076">
            <v>1.85</v>
          </cell>
        </row>
        <row r="6077">
          <cell r="A6077" t="str">
            <v>19-06077</v>
          </cell>
          <cell r="B6077" t="str">
            <v>BOING GLOBAL</v>
          </cell>
          <cell r="C6077" t="str">
            <v>A</v>
          </cell>
          <cell r="D6077" t="str">
            <v>NO</v>
          </cell>
          <cell r="E6077" t="str">
            <v>TY BEANIES PEPPA PIG GEORGE PIRATA MEDIANO</v>
          </cell>
          <cell r="F6077" t="str">
            <v>JUGUETES</v>
          </cell>
          <cell r="G6077">
            <v>96258</v>
          </cell>
          <cell r="H6077" t="str">
            <v>TY</v>
          </cell>
          <cell r="I6077">
            <v>5.53</v>
          </cell>
        </row>
        <row r="6078">
          <cell r="A6078" t="str">
            <v>19-06078</v>
          </cell>
          <cell r="B6078" t="str">
            <v>BOING GLOBAL</v>
          </cell>
          <cell r="C6078" t="str">
            <v>A</v>
          </cell>
          <cell r="D6078" t="str">
            <v>NO</v>
          </cell>
          <cell r="E6078" t="str">
            <v>TY BEANIE BOOS ASIA TIGRE BLANCO MEDIANO</v>
          </cell>
          <cell r="F6078" t="str">
            <v>JUGUETES</v>
          </cell>
          <cell r="G6078">
            <v>36823</v>
          </cell>
          <cell r="H6078" t="str">
            <v>TY</v>
          </cell>
          <cell r="I6078">
            <v>5.53</v>
          </cell>
        </row>
        <row r="6079">
          <cell r="A6079" t="str">
            <v>19-06079</v>
          </cell>
          <cell r="B6079" t="str">
            <v>BOING GLOBAL</v>
          </cell>
          <cell r="C6079" t="str">
            <v>A</v>
          </cell>
          <cell r="D6079" t="str">
            <v>NO</v>
          </cell>
          <cell r="E6079" t="str">
            <v>TY BEANIE BOOS OWLETTE BUHO BLANCO REGULAR</v>
          </cell>
          <cell r="F6079" t="str">
            <v>JUGUETES</v>
          </cell>
          <cell r="G6079">
            <v>37201</v>
          </cell>
          <cell r="H6079" t="str">
            <v>TY</v>
          </cell>
          <cell r="I6079">
            <v>2.74</v>
          </cell>
        </row>
        <row r="6080">
          <cell r="A6080" t="str">
            <v>19-06080</v>
          </cell>
          <cell r="B6080" t="str">
            <v>BOING GLOBAL</v>
          </cell>
          <cell r="C6080" t="str">
            <v>A</v>
          </cell>
          <cell r="D6080" t="str">
            <v>NO</v>
          </cell>
          <cell r="E6080" t="str">
            <v>TY BEANIE BOOS BUBBY CONEJO MULTICOLOR MEDIANO</v>
          </cell>
          <cell r="F6080" t="str">
            <v>JUGUETES</v>
          </cell>
          <cell r="G6080">
            <v>37092</v>
          </cell>
          <cell r="H6080" t="str">
            <v>TY</v>
          </cell>
          <cell r="I6080">
            <v>5.53</v>
          </cell>
        </row>
        <row r="6081">
          <cell r="A6081" t="str">
            <v>19-06081</v>
          </cell>
          <cell r="B6081" t="str">
            <v>BOING GLOBAL</v>
          </cell>
          <cell r="C6081" t="str">
            <v>A</v>
          </cell>
          <cell r="D6081" t="str">
            <v>NO</v>
          </cell>
          <cell r="E6081" t="str">
            <v>TY BEANIES SING ROSITA REGULAR</v>
          </cell>
          <cell r="F6081" t="str">
            <v>JUGUETES</v>
          </cell>
          <cell r="G6081">
            <v>41232</v>
          </cell>
          <cell r="H6081" t="str">
            <v>TY</v>
          </cell>
          <cell r="I6081">
            <v>3.26</v>
          </cell>
        </row>
        <row r="6082">
          <cell r="A6082" t="str">
            <v>19-06082</v>
          </cell>
          <cell r="B6082" t="str">
            <v>BOING GLOBAL</v>
          </cell>
          <cell r="C6082" t="str">
            <v>A</v>
          </cell>
          <cell r="D6082" t="str">
            <v>NO</v>
          </cell>
          <cell r="E6082" t="str">
            <v>TY BEANIE BOOS BEAKS PJARO TUCN REGULAR</v>
          </cell>
          <cell r="F6082" t="str">
            <v>JUGUETES</v>
          </cell>
          <cell r="G6082">
            <v>36870</v>
          </cell>
          <cell r="H6082" t="str">
            <v>TY</v>
          </cell>
          <cell r="I6082">
            <v>2.74</v>
          </cell>
        </row>
        <row r="6083">
          <cell r="A6083" t="str">
            <v>19-06083</v>
          </cell>
          <cell r="B6083" t="str">
            <v>PANINI</v>
          </cell>
          <cell r="C6083" t="str">
            <v>A</v>
          </cell>
          <cell r="D6083" t="str">
            <v>SI</v>
          </cell>
          <cell r="E6083" t="str">
            <v>PANINI ALBUM WC RUSIA 2018</v>
          </cell>
          <cell r="F6083" t="str">
            <v>LIBRO</v>
          </cell>
          <cell r="G6083">
            <v>883929583935</v>
          </cell>
          <cell r="H6083" t="str">
            <v>PANINI</v>
          </cell>
          <cell r="I6083">
            <v>0.9</v>
          </cell>
        </row>
        <row r="6084">
          <cell r="A6084" t="str">
            <v>19-06084</v>
          </cell>
          <cell r="B6084" t="str">
            <v>PANINI</v>
          </cell>
          <cell r="C6084" t="str">
            <v>A</v>
          </cell>
          <cell r="D6084" t="str">
            <v>SI</v>
          </cell>
          <cell r="E6084" t="str">
            <v>PANINI WC RUSIA STICKERS PACKET</v>
          </cell>
          <cell r="F6084" t="str">
            <v>STICKERS</v>
          </cell>
          <cell r="G6084">
            <v>883929583935</v>
          </cell>
          <cell r="H6084" t="str">
            <v>PANINI</v>
          </cell>
          <cell r="I6084">
            <v>0.28999999999999998</v>
          </cell>
        </row>
        <row r="6085">
          <cell r="A6085" t="str">
            <v>19-06085</v>
          </cell>
          <cell r="B6085" t="str">
            <v>SUN BUM</v>
          </cell>
          <cell r="C6085" t="str">
            <v>A</v>
          </cell>
          <cell r="D6085" t="str">
            <v>SI</v>
          </cell>
          <cell r="E6085" t="str">
            <v>20-46023 SUN BUM WATERMELON LIP BALM</v>
          </cell>
          <cell r="F6085" t="str">
            <v>LIP BALM</v>
          </cell>
          <cell r="G6085" t="str">
            <v>20-46023</v>
          </cell>
          <cell r="H6085" t="str">
            <v>SUN BUM</v>
          </cell>
          <cell r="I6085">
            <v>2</v>
          </cell>
        </row>
        <row r="6086">
          <cell r="A6086" t="str">
            <v>19-06086</v>
          </cell>
          <cell r="B6086" t="str">
            <v>IOCA GROUP</v>
          </cell>
          <cell r="C6086" t="str">
            <v>A</v>
          </cell>
          <cell r="D6086" t="str">
            <v>SI</v>
          </cell>
          <cell r="E6086" t="str">
            <v>JAMBU BOTTLE BLACK 550ML</v>
          </cell>
          <cell r="F6086" t="str">
            <v>TERMO</v>
          </cell>
          <cell r="G6086" t="str">
            <v>JB550-BK</v>
          </cell>
          <cell r="H6086" t="str">
            <v>JAMBU</v>
          </cell>
          <cell r="I6086">
            <v>12.5</v>
          </cell>
        </row>
        <row r="6087">
          <cell r="A6087" t="str">
            <v>19-06087</v>
          </cell>
          <cell r="B6087" t="str">
            <v>IOCA GROUP</v>
          </cell>
          <cell r="C6087" t="str">
            <v>A</v>
          </cell>
          <cell r="D6087" t="str">
            <v>SI</v>
          </cell>
          <cell r="E6087" t="str">
            <v>JAMBU BOTTLE MINT GREEN 550ML</v>
          </cell>
          <cell r="F6087" t="str">
            <v>TERMO</v>
          </cell>
          <cell r="G6087" t="str">
            <v>JB550-MG</v>
          </cell>
          <cell r="H6087" t="str">
            <v>JAMBU</v>
          </cell>
          <cell r="I6087">
            <v>12.5</v>
          </cell>
        </row>
        <row r="6088">
          <cell r="A6088" t="str">
            <v>19-06088</v>
          </cell>
          <cell r="B6088" t="str">
            <v>IOCA GROUP</v>
          </cell>
          <cell r="C6088" t="str">
            <v>A</v>
          </cell>
          <cell r="D6088" t="str">
            <v>SI</v>
          </cell>
          <cell r="E6088" t="str">
            <v>JAMBU BOTTLE MAGENTA RED 550ML</v>
          </cell>
          <cell r="F6088" t="str">
            <v>TERMO</v>
          </cell>
          <cell r="G6088" t="str">
            <v>JB550-MR</v>
          </cell>
          <cell r="H6088" t="str">
            <v>JAMBU</v>
          </cell>
          <cell r="I6088">
            <v>12.5</v>
          </cell>
        </row>
        <row r="6089">
          <cell r="A6089" t="str">
            <v>19-06089</v>
          </cell>
          <cell r="B6089" t="str">
            <v>IOCA GROUP</v>
          </cell>
          <cell r="C6089" t="str">
            <v>A</v>
          </cell>
          <cell r="D6089" t="str">
            <v>SI</v>
          </cell>
          <cell r="E6089" t="str">
            <v>JAMBU BOTTLE ORIGINAL BLUE 550ML</v>
          </cell>
          <cell r="F6089" t="str">
            <v>TERMO</v>
          </cell>
          <cell r="G6089" t="str">
            <v>JB550-OB</v>
          </cell>
          <cell r="H6089" t="str">
            <v>JAMBU</v>
          </cell>
          <cell r="I6089">
            <v>12.5</v>
          </cell>
        </row>
        <row r="6090">
          <cell r="A6090" t="str">
            <v>19-06090</v>
          </cell>
          <cell r="B6090" t="str">
            <v>IOCA GROUP</v>
          </cell>
          <cell r="C6090" t="str">
            <v>A</v>
          </cell>
          <cell r="D6090" t="str">
            <v>SI</v>
          </cell>
          <cell r="E6090" t="str">
            <v>JAMBU BOTTLE WHITE 550ML</v>
          </cell>
          <cell r="F6090" t="str">
            <v>TERMO</v>
          </cell>
          <cell r="G6090" t="str">
            <v>JB550-WH</v>
          </cell>
          <cell r="H6090" t="str">
            <v>JAMBU</v>
          </cell>
          <cell r="I6090">
            <v>12.5</v>
          </cell>
        </row>
        <row r="6091">
          <cell r="A6091" t="str">
            <v>19-06091</v>
          </cell>
          <cell r="B6091" t="str">
            <v>TDL</v>
          </cell>
          <cell r="C6091" t="str">
            <v>A</v>
          </cell>
          <cell r="D6091" t="str">
            <v>SI</v>
          </cell>
          <cell r="E6091" t="str">
            <v>25118-00 ALWAYS CLEAN ALCOHOL FREE WIPES 12X1</v>
          </cell>
          <cell r="F6091" t="str">
            <v>WIPES</v>
          </cell>
          <cell r="G6091" t="str">
            <v>25118-00</v>
          </cell>
          <cell r="H6091" t="str">
            <v>ALWAYS</v>
          </cell>
          <cell r="I6091">
            <v>0</v>
          </cell>
        </row>
        <row r="6092">
          <cell r="A6092" t="str">
            <v>19-06092</v>
          </cell>
          <cell r="B6092" t="str">
            <v>TDL</v>
          </cell>
          <cell r="C6092" t="str">
            <v>A</v>
          </cell>
          <cell r="D6092" t="str">
            <v>SI</v>
          </cell>
          <cell r="E6092" t="str">
            <v>25127-00 ALWAYS INFINITY HEAVY FLOW PADS (BOX 3) 6X1</v>
          </cell>
          <cell r="F6092" t="str">
            <v>TOALLAS SANITARIAS</v>
          </cell>
          <cell r="G6092" t="str">
            <v>25127-00</v>
          </cell>
          <cell r="H6092" t="str">
            <v>ALWAYS</v>
          </cell>
          <cell r="I6092">
            <v>0</v>
          </cell>
        </row>
        <row r="6093">
          <cell r="A6093" t="str">
            <v>19-06093</v>
          </cell>
          <cell r="B6093" t="str">
            <v>TDL</v>
          </cell>
          <cell r="C6093" t="str">
            <v>A</v>
          </cell>
          <cell r="D6093" t="str">
            <v>SI</v>
          </cell>
          <cell r="E6093" t="str">
            <v>25128-00 ALWAYS RADIANT REGULAR PADS W/WINGS 6X1</v>
          </cell>
          <cell r="F6093" t="str">
            <v>TOALLAS SANITARIAS</v>
          </cell>
          <cell r="G6093" t="str">
            <v>25128-00</v>
          </cell>
          <cell r="H6093" t="str">
            <v>ALWAYS</v>
          </cell>
          <cell r="I6093">
            <v>0</v>
          </cell>
        </row>
        <row r="6094">
          <cell r="A6094" t="str">
            <v>19-06094</v>
          </cell>
          <cell r="B6094" t="str">
            <v>TDL</v>
          </cell>
          <cell r="C6094" t="str">
            <v>A</v>
          </cell>
          <cell r="D6094" t="str">
            <v>SI</v>
          </cell>
          <cell r="E6094" t="str">
            <v>25112-00 ALWAYS REGULAR MAXI W/WINGS 12X1</v>
          </cell>
          <cell r="F6094" t="str">
            <v>TOALLAS SANITARIAS</v>
          </cell>
          <cell r="G6094" t="str">
            <v>25112-00</v>
          </cell>
          <cell r="H6094" t="str">
            <v>ALWAYS</v>
          </cell>
          <cell r="I6094">
            <v>0</v>
          </cell>
        </row>
        <row r="6095">
          <cell r="A6095" t="str">
            <v>19-06095</v>
          </cell>
          <cell r="B6095" t="str">
            <v>TDL</v>
          </cell>
          <cell r="C6095" t="str">
            <v>A</v>
          </cell>
          <cell r="D6095" t="str">
            <v>SI</v>
          </cell>
          <cell r="E6095" t="str">
            <v>25121-00 ALWAYS ULTRA THIN MAXI PADS WITH FLEXI-WINGS 12X1</v>
          </cell>
          <cell r="F6095" t="str">
            <v>TOALLAS SANITARIAS</v>
          </cell>
          <cell r="G6095" t="str">
            <v>25121-00</v>
          </cell>
          <cell r="H6095" t="str">
            <v>ALWAYS</v>
          </cell>
          <cell r="I6095">
            <v>0</v>
          </cell>
        </row>
        <row r="6096">
          <cell r="A6096" t="str">
            <v>19-06096</v>
          </cell>
          <cell r="B6096" t="str">
            <v>TDL</v>
          </cell>
          <cell r="C6096" t="str">
            <v>A</v>
          </cell>
          <cell r="D6096" t="str">
            <v>SI</v>
          </cell>
          <cell r="E6096" t="str">
            <v>21129 ARM &amp; HAMMER TRULY RADIANT TOOTHPASTE 1X0.9OZ</v>
          </cell>
          <cell r="F6096" t="str">
            <v>PASTA DENTAL</v>
          </cell>
          <cell r="G6096">
            <v>21129</v>
          </cell>
          <cell r="H6096" t="str">
            <v>ARM AND HAMMER</v>
          </cell>
          <cell r="I6096">
            <v>0</v>
          </cell>
        </row>
        <row r="6097">
          <cell r="A6097" t="str">
            <v>19-06097</v>
          </cell>
          <cell r="B6097" t="str">
            <v>TDL</v>
          </cell>
          <cell r="C6097" t="str">
            <v>A</v>
          </cell>
          <cell r="D6097" t="str">
            <v>SI</v>
          </cell>
          <cell r="E6097" t="str">
            <v>27111-00 ARRID EXTRA DRY SOLID 12X1OZ</v>
          </cell>
          <cell r="F6097" t="str">
            <v>DESODORANTE</v>
          </cell>
          <cell r="G6097" t="str">
            <v>27111-00</v>
          </cell>
          <cell r="H6097" t="str">
            <v>ARRID</v>
          </cell>
          <cell r="I6097">
            <v>0</v>
          </cell>
        </row>
        <row r="6098">
          <cell r="A6098" t="str">
            <v>19-06098</v>
          </cell>
          <cell r="B6098" t="str">
            <v>TDL</v>
          </cell>
          <cell r="C6098" t="str">
            <v>A</v>
          </cell>
          <cell r="D6098" t="str">
            <v>SI</v>
          </cell>
          <cell r="E6098" t="str">
            <v>27114-00 AXE PHOENIX MEN'S DRY DEODORANT STICK 6X0.5OZ</v>
          </cell>
          <cell r="F6098" t="str">
            <v>DESODORANTE</v>
          </cell>
          <cell r="G6098" t="str">
            <v>27114-00</v>
          </cell>
          <cell r="H6098" t="str">
            <v>AXE</v>
          </cell>
          <cell r="I6098">
            <v>0</v>
          </cell>
        </row>
        <row r="6099">
          <cell r="A6099" t="str">
            <v>19-06099</v>
          </cell>
          <cell r="B6099" t="str">
            <v>TDL</v>
          </cell>
          <cell r="C6099" t="str">
            <v>A</v>
          </cell>
          <cell r="D6099" t="str">
            <v>SI</v>
          </cell>
          <cell r="E6099" t="str">
            <v>29205-00 CHARMIN TO GO TOILET SEAT COVERS 24X1</v>
          </cell>
          <cell r="F6099" t="str">
            <v>PAPEL HIGIENICO</v>
          </cell>
          <cell r="G6099" t="str">
            <v>29205-00</v>
          </cell>
          <cell r="H6099" t="str">
            <v>CHARMIN</v>
          </cell>
          <cell r="I6099">
            <v>0</v>
          </cell>
        </row>
        <row r="6100">
          <cell r="A6100" t="str">
            <v>19-06100</v>
          </cell>
          <cell r="B6100" t="str">
            <v>TDL</v>
          </cell>
          <cell r="C6100" t="str">
            <v>A</v>
          </cell>
          <cell r="D6100" t="str">
            <v>SI</v>
          </cell>
          <cell r="E6100" t="str">
            <v>12231-00 CHLORASEPTIC POCKET PUMP 6X0.67OZ</v>
          </cell>
          <cell r="F6100" t="str">
            <v>PASTA DENTAL</v>
          </cell>
          <cell r="G6100" t="str">
            <v>12231-00</v>
          </cell>
          <cell r="H6100" t="str">
            <v>CHLORASEPTIC</v>
          </cell>
          <cell r="I6100">
            <v>0</v>
          </cell>
        </row>
        <row r="6101">
          <cell r="A6101" t="str">
            <v>19-06101</v>
          </cell>
          <cell r="B6101" t="str">
            <v>TDL</v>
          </cell>
          <cell r="C6101" t="str">
            <v>A</v>
          </cell>
          <cell r="D6101" t="str">
            <v>SI</v>
          </cell>
          <cell r="E6101" t="str">
            <v>22183 CLEAR TOTAL CARE NOURISHING CONDITIONER 1X3OZ</v>
          </cell>
          <cell r="F6101" t="str">
            <v>ACONDICIONADOR</v>
          </cell>
          <cell r="G6101">
            <v>22183</v>
          </cell>
          <cell r="H6101" t="str">
            <v>CLEAR</v>
          </cell>
          <cell r="I6101">
            <v>0</v>
          </cell>
        </row>
        <row r="6102">
          <cell r="A6102" t="str">
            <v>19-06102</v>
          </cell>
          <cell r="B6102" t="str">
            <v>TDL</v>
          </cell>
          <cell r="C6102" t="str">
            <v>A</v>
          </cell>
          <cell r="D6102" t="str">
            <v>SI</v>
          </cell>
          <cell r="E6102" t="str">
            <v>22182 CLEAR TOTAL CARE NOURISHING SHAMPOO 1X3OZ</v>
          </cell>
          <cell r="F6102" t="str">
            <v>SHAMPOO</v>
          </cell>
          <cell r="G6102">
            <v>22182</v>
          </cell>
          <cell r="H6102" t="str">
            <v>CLEAR</v>
          </cell>
          <cell r="I6102">
            <v>0</v>
          </cell>
        </row>
        <row r="6103">
          <cell r="A6103" t="str">
            <v>19-06103</v>
          </cell>
          <cell r="B6103" t="str">
            <v>TDL</v>
          </cell>
          <cell r="C6103" t="str">
            <v>A</v>
          </cell>
          <cell r="D6103" t="str">
            <v>SI</v>
          </cell>
          <cell r="E6103" t="str">
            <v>29212-00 CLOROX HAND SANITIZER SPRITZ 6X2OZ</v>
          </cell>
          <cell r="F6103" t="str">
            <v>JABON</v>
          </cell>
          <cell r="G6103" t="str">
            <v>29212-00</v>
          </cell>
          <cell r="H6103" t="str">
            <v>CLOROX</v>
          </cell>
          <cell r="I6103">
            <v>0</v>
          </cell>
        </row>
        <row r="6104">
          <cell r="A6104" t="str">
            <v>19-06104</v>
          </cell>
          <cell r="B6104" t="str">
            <v>TDL</v>
          </cell>
          <cell r="C6104" t="str">
            <v>A</v>
          </cell>
          <cell r="D6104" t="str">
            <v>SI</v>
          </cell>
          <cell r="E6104" t="str">
            <v>21155-00 COLGATE EXTRA CLEAN MEDIUM TOOTHBRUSH 6X1</v>
          </cell>
          <cell r="F6104" t="str">
            <v>CEPILLO DENTAL</v>
          </cell>
          <cell r="G6104" t="str">
            <v>21155-00</v>
          </cell>
          <cell r="H6104" t="str">
            <v>COLGATE</v>
          </cell>
          <cell r="I6104">
            <v>0</v>
          </cell>
        </row>
        <row r="6105">
          <cell r="A6105" t="str">
            <v>19-06105</v>
          </cell>
          <cell r="B6105" t="str">
            <v>TDL</v>
          </cell>
          <cell r="C6105" t="str">
            <v>A</v>
          </cell>
          <cell r="D6105" t="str">
            <v>SI</v>
          </cell>
          <cell r="E6105" t="str">
            <v>21170-00 COLGATE TOTAL ADVANCED WHITENING TOOTHPASTE 24X0.75OZ</v>
          </cell>
          <cell r="F6105" t="str">
            <v>PASTA DENTAL</v>
          </cell>
          <cell r="G6105" t="str">
            <v>21170-00</v>
          </cell>
          <cell r="H6105" t="str">
            <v>COLGATE</v>
          </cell>
          <cell r="I6105">
            <v>0</v>
          </cell>
        </row>
        <row r="6106">
          <cell r="A6106" t="str">
            <v>19-06106</v>
          </cell>
          <cell r="B6106" t="str">
            <v>TDL</v>
          </cell>
          <cell r="C6106" t="str">
            <v>A</v>
          </cell>
          <cell r="D6106" t="str">
            <v>SI</v>
          </cell>
          <cell r="E6106" t="str">
            <v>21240 CREST 3D WHITE BRILLIANCE TOOTHPASTE 1X0.85OZ</v>
          </cell>
          <cell r="F6106" t="str">
            <v>PASTA DENTAL</v>
          </cell>
          <cell r="G6106">
            <v>21240</v>
          </cell>
          <cell r="H6106" t="str">
            <v>CREST</v>
          </cell>
          <cell r="I6106">
            <v>0</v>
          </cell>
        </row>
        <row r="6107">
          <cell r="A6107" t="str">
            <v>19-06107</v>
          </cell>
          <cell r="B6107" t="str">
            <v>TDL</v>
          </cell>
          <cell r="C6107" t="str">
            <v>A</v>
          </cell>
          <cell r="D6107" t="str">
            <v>SI</v>
          </cell>
          <cell r="E6107" t="str">
            <v>21211-00 CREST PLUS SCOPE WHITENING TOOTHPASTE 36X0.85OZ</v>
          </cell>
          <cell r="F6107" t="str">
            <v>PASTA DENTAL</v>
          </cell>
          <cell r="G6107" t="str">
            <v>21211-00</v>
          </cell>
          <cell r="H6107" t="str">
            <v>CREST</v>
          </cell>
          <cell r="I6107">
            <v>0</v>
          </cell>
        </row>
        <row r="6108">
          <cell r="A6108" t="str">
            <v>19-06108</v>
          </cell>
          <cell r="B6108" t="str">
            <v>TDL</v>
          </cell>
          <cell r="C6108" t="str">
            <v>A</v>
          </cell>
          <cell r="D6108" t="str">
            <v>SI</v>
          </cell>
          <cell r="E6108" t="str">
            <v>84095-00 DESITIN CREAMY DIAPER RASH CREAM 6X2OZ</v>
          </cell>
          <cell r="F6108" t="str">
            <v>BODY TREATMENT</v>
          </cell>
          <cell r="G6108" t="str">
            <v>84095-00</v>
          </cell>
          <cell r="H6108" t="str">
            <v>DESITIN</v>
          </cell>
          <cell r="I6108">
            <v>0</v>
          </cell>
        </row>
        <row r="6109">
          <cell r="A6109" t="str">
            <v>19-06109</v>
          </cell>
          <cell r="B6109" t="str">
            <v>TDL</v>
          </cell>
          <cell r="C6109" t="str">
            <v>A</v>
          </cell>
          <cell r="D6109" t="str">
            <v>SI</v>
          </cell>
          <cell r="E6109" t="str">
            <v>22223-00 DOVE DAMAGE THERAPY INTENSIVE REPAIR CONDITIONER 24X3OZ</v>
          </cell>
          <cell r="F6109" t="str">
            <v>ACONDICIONADOR</v>
          </cell>
          <cell r="G6109" t="str">
            <v>22223-00</v>
          </cell>
          <cell r="H6109" t="str">
            <v>DOVE</v>
          </cell>
          <cell r="I6109">
            <v>0</v>
          </cell>
        </row>
        <row r="6110">
          <cell r="A6110" t="str">
            <v>19-06110</v>
          </cell>
          <cell r="B6110" t="str">
            <v>TDL</v>
          </cell>
          <cell r="C6110" t="str">
            <v>A</v>
          </cell>
          <cell r="D6110" t="str">
            <v>SI</v>
          </cell>
          <cell r="E6110" t="str">
            <v>22224-00 DOVE DAMAGE THERAPY INTENSIVE REPAIR SHAMPOO  24X3OZ</v>
          </cell>
          <cell r="F6110" t="str">
            <v>SHAMPOO</v>
          </cell>
          <cell r="G6110" t="str">
            <v>22224-00</v>
          </cell>
          <cell r="H6110" t="str">
            <v>DOVE</v>
          </cell>
          <cell r="I6110">
            <v>0</v>
          </cell>
        </row>
        <row r="6111">
          <cell r="A6111" t="str">
            <v>19-06111</v>
          </cell>
          <cell r="B6111" t="str">
            <v>TDL</v>
          </cell>
          <cell r="C6111" t="str">
            <v>A</v>
          </cell>
          <cell r="D6111" t="str">
            <v>SI</v>
          </cell>
          <cell r="E6111" t="str">
            <v>27236-00 DOVE MEN + CARE DEODORANT 6X0.5OZ</v>
          </cell>
          <cell r="F6111" t="str">
            <v>DESODORANTE</v>
          </cell>
          <cell r="G6111" t="str">
            <v>27236-00</v>
          </cell>
          <cell r="H6111" t="str">
            <v>DOVE</v>
          </cell>
          <cell r="I6111">
            <v>0</v>
          </cell>
        </row>
        <row r="6112">
          <cell r="A6112" t="str">
            <v>19-06112</v>
          </cell>
          <cell r="B6112" t="str">
            <v>TDL</v>
          </cell>
          <cell r="C6112" t="str">
            <v>A</v>
          </cell>
          <cell r="D6112" t="str">
            <v>SI</v>
          </cell>
          <cell r="E6112" t="str">
            <v>22226-00 DOVE MEN+CARE SHAMPOO/CONDITIONER 6X3OZ</v>
          </cell>
          <cell r="F6112" t="str">
            <v>SHAMPOO</v>
          </cell>
          <cell r="G6112" t="str">
            <v>22226-00</v>
          </cell>
          <cell r="H6112" t="str">
            <v>DOVE</v>
          </cell>
          <cell r="I6112">
            <v>0</v>
          </cell>
        </row>
        <row r="6113">
          <cell r="A6113" t="str">
            <v>19-06113</v>
          </cell>
          <cell r="B6113" t="str">
            <v>TDL</v>
          </cell>
          <cell r="C6113" t="str">
            <v>A</v>
          </cell>
          <cell r="D6113" t="str">
            <v>SI</v>
          </cell>
          <cell r="E6113" t="str">
            <v>21251-00 DR FRESH WAXED FLOSS 130YD 12X1</v>
          </cell>
          <cell r="F6113" t="str">
            <v>HILO DENTAL</v>
          </cell>
          <cell r="G6113" t="str">
            <v>21251-00</v>
          </cell>
          <cell r="H6113" t="str">
            <v>DR. FRESH</v>
          </cell>
          <cell r="I6113">
            <v>0</v>
          </cell>
        </row>
        <row r="6114">
          <cell r="A6114" t="str">
            <v>19-06114</v>
          </cell>
          <cell r="B6114" t="str">
            <v>TDL</v>
          </cell>
          <cell r="C6114" t="str">
            <v>A</v>
          </cell>
          <cell r="D6114" t="str">
            <v>SI</v>
          </cell>
          <cell r="E6114" t="str">
            <v>21166 DR. FRESH TRAVEL TOOTHBRUSH KIT</v>
          </cell>
          <cell r="F6114" t="str">
            <v>CEPILLO DENTAL</v>
          </cell>
          <cell r="G6114">
            <v>21166</v>
          </cell>
          <cell r="H6114" t="str">
            <v>DR. FRESH</v>
          </cell>
          <cell r="I6114">
            <v>0</v>
          </cell>
        </row>
        <row r="6115">
          <cell r="A6115" t="str">
            <v>19-06115</v>
          </cell>
          <cell r="B6115" t="str">
            <v>TDL</v>
          </cell>
          <cell r="C6115" t="str">
            <v>A</v>
          </cell>
          <cell r="D6115" t="str">
            <v>SI</v>
          </cell>
          <cell r="E6115" t="str">
            <v>24271 EOS ORGANIC LIP BALM POMEGRANATE RASPBERRY 1X0.25OZ</v>
          </cell>
          <cell r="F6115" t="str">
            <v>LIP BALM</v>
          </cell>
          <cell r="G6115">
            <v>24271</v>
          </cell>
          <cell r="H6115" t="str">
            <v>EOS</v>
          </cell>
          <cell r="I6115">
            <v>0</v>
          </cell>
        </row>
        <row r="6116">
          <cell r="A6116" t="str">
            <v>19-06116</v>
          </cell>
          <cell r="B6116" t="str">
            <v>TDL</v>
          </cell>
          <cell r="C6116" t="str">
            <v>A</v>
          </cell>
          <cell r="D6116" t="str">
            <v>SI</v>
          </cell>
          <cell r="E6116" t="str">
            <v>84161-00 GERBER NUK PACIFIER ORTHODONTIC PACIFIER SIZE 1 4X1</v>
          </cell>
          <cell r="F6116" t="str">
            <v>PACIFICADOR</v>
          </cell>
          <cell r="G6116" t="str">
            <v>84161-00</v>
          </cell>
          <cell r="H6116" t="str">
            <v>GERBER</v>
          </cell>
          <cell r="I6116">
            <v>0</v>
          </cell>
        </row>
        <row r="6117">
          <cell r="A6117" t="str">
            <v>19-06117</v>
          </cell>
          <cell r="B6117" t="str">
            <v>TDL</v>
          </cell>
          <cell r="C6117" t="str">
            <v>A</v>
          </cell>
          <cell r="D6117" t="str">
            <v>SI</v>
          </cell>
          <cell r="E6117" t="str">
            <v>22309-00 GOODY CLASSIC LARGE BLACK ELASTICS  6X1</v>
          </cell>
          <cell r="F6117" t="str">
            <v>ACCESORIOS</v>
          </cell>
          <cell r="G6117" t="str">
            <v>22309-00</v>
          </cell>
          <cell r="H6117" t="str">
            <v>GOODY</v>
          </cell>
          <cell r="I6117">
            <v>0</v>
          </cell>
        </row>
        <row r="6118">
          <cell r="A6118" t="str">
            <v>19-06118</v>
          </cell>
          <cell r="B6118" t="str">
            <v>TDL</v>
          </cell>
          <cell r="C6118" t="str">
            <v>A</v>
          </cell>
          <cell r="D6118" t="str">
            <v>SI</v>
          </cell>
          <cell r="E6118" t="str">
            <v>22314-00 GOODY COMPACT BRUSH &amp; COMB 3X1</v>
          </cell>
          <cell r="F6118" t="str">
            <v>CEPILLO PARA PEINAR</v>
          </cell>
          <cell r="G6118" t="str">
            <v>22314-00</v>
          </cell>
          <cell r="H6118" t="str">
            <v>GOODY</v>
          </cell>
          <cell r="I6118">
            <v>0</v>
          </cell>
        </row>
        <row r="6119">
          <cell r="A6119" t="str">
            <v>19-06119</v>
          </cell>
          <cell r="B6119" t="str">
            <v>TDL</v>
          </cell>
          <cell r="C6119" t="str">
            <v>A</v>
          </cell>
          <cell r="D6119" t="str">
            <v>SI</v>
          </cell>
          <cell r="E6119" t="str">
            <v>22313-00 GOODY FOLDING BRUSH WITH COMB 4.5IN. 3X1</v>
          </cell>
          <cell r="F6119" t="str">
            <v>CEPILLO PARA PEINAR</v>
          </cell>
          <cell r="G6119" t="str">
            <v>22313-00</v>
          </cell>
          <cell r="H6119" t="str">
            <v>GOODY</v>
          </cell>
          <cell r="I6119">
            <v>0</v>
          </cell>
        </row>
        <row r="6120">
          <cell r="A6120" t="str">
            <v>19-06120</v>
          </cell>
          <cell r="B6120" t="str">
            <v>TDL</v>
          </cell>
          <cell r="C6120" t="str">
            <v>A</v>
          </cell>
          <cell r="D6120" t="str">
            <v>SI</v>
          </cell>
          <cell r="E6120" t="str">
            <v>29413-00 HUGGIES CLUTCH 'N CLEAN NATURAL CARE BABY 6X1</v>
          </cell>
          <cell r="F6120" t="str">
            <v>WIPES</v>
          </cell>
          <cell r="G6120" t="str">
            <v>29413-00</v>
          </cell>
          <cell r="H6120" t="str">
            <v>HUGGIES</v>
          </cell>
          <cell r="I6120">
            <v>0</v>
          </cell>
        </row>
        <row r="6121">
          <cell r="A6121" t="str">
            <v>19-06121</v>
          </cell>
          <cell r="B6121" t="str">
            <v>TDL</v>
          </cell>
          <cell r="C6121" t="str">
            <v>A</v>
          </cell>
          <cell r="D6121" t="str">
            <v>SI</v>
          </cell>
          <cell r="E6121" t="str">
            <v>42256-00 HUGGIES LITTLE SWIMMERS SWIMPANTS LARGE 16X1</v>
          </cell>
          <cell r="F6121" t="str">
            <v>PANAL</v>
          </cell>
          <cell r="G6121" t="str">
            <v>42256-00</v>
          </cell>
          <cell r="H6121" t="str">
            <v>HUGGIES</v>
          </cell>
          <cell r="I6121">
            <v>0</v>
          </cell>
        </row>
        <row r="6122">
          <cell r="A6122" t="str">
            <v>19-06122</v>
          </cell>
          <cell r="B6122" t="str">
            <v>TDL</v>
          </cell>
          <cell r="C6122" t="str">
            <v>A</v>
          </cell>
          <cell r="D6122" t="str">
            <v>SI</v>
          </cell>
          <cell r="E6122" t="str">
            <v>42255-00 HUGGIES LITTLE SWIMMERS SWIMPANTS MEDIUM 16X1</v>
          </cell>
          <cell r="F6122" t="str">
            <v>PANAL</v>
          </cell>
          <cell r="G6122" t="str">
            <v>42255-00</v>
          </cell>
          <cell r="H6122" t="str">
            <v>HUGGIES</v>
          </cell>
          <cell r="I6122">
            <v>0</v>
          </cell>
        </row>
        <row r="6123">
          <cell r="A6123" t="str">
            <v>19-06123</v>
          </cell>
          <cell r="B6123" t="str">
            <v>TDL</v>
          </cell>
          <cell r="C6123" t="str">
            <v>A</v>
          </cell>
          <cell r="D6123" t="str">
            <v>SI</v>
          </cell>
          <cell r="E6123" t="str">
            <v>84191-00 HUGGIES SNUG &amp; DRY DIAPERS STEP 3 10X1</v>
          </cell>
          <cell r="F6123" t="str">
            <v>PANAL</v>
          </cell>
          <cell r="G6123" t="str">
            <v>84191-00</v>
          </cell>
          <cell r="H6123" t="str">
            <v>HUGGIES</v>
          </cell>
          <cell r="I6123">
            <v>0</v>
          </cell>
        </row>
        <row r="6124">
          <cell r="A6124" t="str">
            <v>19-06124</v>
          </cell>
          <cell r="B6124" t="str">
            <v>TDL</v>
          </cell>
          <cell r="C6124" t="str">
            <v>A</v>
          </cell>
          <cell r="D6124" t="str">
            <v>SI</v>
          </cell>
          <cell r="E6124" t="str">
            <v>84192-00 HUGGIES SNUG &amp; DRY DIAPERS STEP 4  10X1</v>
          </cell>
          <cell r="F6124" t="str">
            <v>PANAL</v>
          </cell>
          <cell r="G6124" t="str">
            <v>84192-00</v>
          </cell>
          <cell r="H6124" t="str">
            <v>HUGGIES</v>
          </cell>
          <cell r="I6124">
            <v>0</v>
          </cell>
        </row>
        <row r="6125">
          <cell r="A6125" t="str">
            <v>19-06125</v>
          </cell>
          <cell r="B6125" t="str">
            <v>TDL</v>
          </cell>
          <cell r="C6125" t="str">
            <v>A</v>
          </cell>
          <cell r="D6125" t="str">
            <v>SI</v>
          </cell>
          <cell r="E6125" t="str">
            <v>84193-00 HUGGIES SNUG &amp; DRY DIAPERS STEP 5  10X1</v>
          </cell>
          <cell r="F6125" t="str">
            <v>PANAL</v>
          </cell>
          <cell r="G6125" t="str">
            <v>84193-00</v>
          </cell>
          <cell r="H6125" t="str">
            <v>HUGGIES</v>
          </cell>
          <cell r="I6125">
            <v>0</v>
          </cell>
        </row>
        <row r="6126">
          <cell r="A6126" t="str">
            <v>19-06126</v>
          </cell>
          <cell r="B6126" t="str">
            <v>TDL</v>
          </cell>
          <cell r="C6126" t="str">
            <v>A</v>
          </cell>
          <cell r="D6126" t="str">
            <v>SI</v>
          </cell>
          <cell r="E6126" t="str">
            <v>14241-00 ICY HOT MEDICATED PATCH 10CMX20CM 12X1</v>
          </cell>
          <cell r="F6126" t="str">
            <v>BODY TREATMENT</v>
          </cell>
          <cell r="G6126" t="str">
            <v>14241-00</v>
          </cell>
          <cell r="H6126" t="str">
            <v>ICY</v>
          </cell>
          <cell r="I6126">
            <v>0</v>
          </cell>
        </row>
        <row r="6127">
          <cell r="A6127" t="str">
            <v>19-06127</v>
          </cell>
          <cell r="B6127" t="str">
            <v>TDL</v>
          </cell>
          <cell r="C6127" t="str">
            <v>A</v>
          </cell>
          <cell r="D6127" t="str">
            <v>SI</v>
          </cell>
          <cell r="E6127" t="str">
            <v>24417-00 JERGENS ULTRA HEALING LOTION CARDED 6X1OZ</v>
          </cell>
          <cell r="F6127" t="str">
            <v>BODY LOTION</v>
          </cell>
          <cell r="G6127" t="str">
            <v>24417-00</v>
          </cell>
          <cell r="H6127" t="str">
            <v>JERGENS</v>
          </cell>
          <cell r="I6127">
            <v>0</v>
          </cell>
        </row>
        <row r="6128">
          <cell r="A6128" t="str">
            <v>19-06128</v>
          </cell>
          <cell r="B6128" t="str">
            <v>TDL</v>
          </cell>
          <cell r="C6128" t="str">
            <v>A</v>
          </cell>
          <cell r="D6128" t="str">
            <v>SI</v>
          </cell>
          <cell r="E6128" t="str">
            <v>14267-00 JOHNSON &amp; JOHNSON ASSORTED BAND-AIDS 24X1</v>
          </cell>
          <cell r="F6128" t="str">
            <v>CURITA</v>
          </cell>
          <cell r="G6128" t="str">
            <v>14267-00</v>
          </cell>
          <cell r="H6128" t="str">
            <v>JOHNSON</v>
          </cell>
          <cell r="I6128">
            <v>0</v>
          </cell>
        </row>
        <row r="6129">
          <cell r="A6129" t="str">
            <v>19-06129</v>
          </cell>
          <cell r="B6129" t="str">
            <v>TDL</v>
          </cell>
          <cell r="C6129" t="str">
            <v>A</v>
          </cell>
          <cell r="D6129" t="str">
            <v>SI</v>
          </cell>
          <cell r="E6129" t="str">
            <v>14261-00 JOHNSON'S FIRST AID KIT (12 PIECES) 6X1</v>
          </cell>
          <cell r="F6129" t="str">
            <v>KIT DE P. AUXILIOS</v>
          </cell>
          <cell r="G6129" t="str">
            <v>14261-00</v>
          </cell>
          <cell r="H6129" t="str">
            <v>JOHNSON</v>
          </cell>
          <cell r="I6129">
            <v>0</v>
          </cell>
        </row>
        <row r="6130">
          <cell r="A6130" t="str">
            <v>19-06130</v>
          </cell>
          <cell r="B6130" t="str">
            <v>TDL</v>
          </cell>
          <cell r="C6130" t="str">
            <v>A</v>
          </cell>
          <cell r="D6130" t="str">
            <v>SI</v>
          </cell>
          <cell r="E6130" t="str">
            <v>84211 JOHNSON’S BABY TAKE ALONG PACK (5 PIECES)</v>
          </cell>
          <cell r="F6130" t="str">
            <v>BODY LOTION</v>
          </cell>
          <cell r="G6130">
            <v>84211</v>
          </cell>
          <cell r="H6130" t="str">
            <v>JOHNSON</v>
          </cell>
          <cell r="I6130">
            <v>0</v>
          </cell>
        </row>
        <row r="6131">
          <cell r="A6131" t="str">
            <v>19-06131</v>
          </cell>
          <cell r="B6131" t="str">
            <v>TDL</v>
          </cell>
          <cell r="C6131" t="str">
            <v>A</v>
          </cell>
          <cell r="D6131" t="str">
            <v>SI</v>
          </cell>
          <cell r="E6131" t="str">
            <v>29521 KLEENEX FRESH ON THE GO WET WIPES</v>
          </cell>
          <cell r="F6131" t="str">
            <v>WIPES</v>
          </cell>
          <cell r="G6131">
            <v>29521</v>
          </cell>
          <cell r="H6131" t="str">
            <v>KLEENEX</v>
          </cell>
          <cell r="I6131">
            <v>0</v>
          </cell>
        </row>
        <row r="6132">
          <cell r="A6132" t="str">
            <v>19-06132</v>
          </cell>
          <cell r="B6132" t="str">
            <v>TDL</v>
          </cell>
          <cell r="C6132" t="str">
            <v>A</v>
          </cell>
          <cell r="D6132" t="str">
            <v>SI</v>
          </cell>
          <cell r="E6132" t="str">
            <v>29517-00 KLEENEX POCKET PACK TISSUES FOREIGN 10X1</v>
          </cell>
          <cell r="F6132" t="str">
            <v>WIPES</v>
          </cell>
          <cell r="G6132" t="str">
            <v>29517-00</v>
          </cell>
          <cell r="H6132" t="str">
            <v>KLEENEX</v>
          </cell>
          <cell r="I6132">
            <v>0</v>
          </cell>
        </row>
        <row r="6133">
          <cell r="A6133" t="str">
            <v>19-06133</v>
          </cell>
          <cell r="B6133" t="str">
            <v>TDL</v>
          </cell>
          <cell r="C6133" t="str">
            <v>A</v>
          </cell>
          <cell r="D6133" t="str">
            <v>SI</v>
          </cell>
          <cell r="E6133" t="str">
            <v>29516 KLEENEX POCKET PACK TISSUES HANGABLE</v>
          </cell>
          <cell r="F6133" t="str">
            <v>WIPES</v>
          </cell>
          <cell r="G6133">
            <v>29516</v>
          </cell>
          <cell r="H6133" t="str">
            <v>KLEENEX</v>
          </cell>
          <cell r="I6133">
            <v>0</v>
          </cell>
        </row>
        <row r="6134">
          <cell r="A6134" t="str">
            <v>19-06134</v>
          </cell>
          <cell r="B6134" t="str">
            <v>TDL</v>
          </cell>
          <cell r="C6134" t="str">
            <v>A</v>
          </cell>
          <cell r="D6134" t="str">
            <v>SI</v>
          </cell>
          <cell r="E6134" t="str">
            <v>29518-00 KLEENEX POCKET PACK TISSUES 8X1</v>
          </cell>
          <cell r="F6134" t="str">
            <v>WIPES</v>
          </cell>
          <cell r="G6134" t="str">
            <v>29518-00</v>
          </cell>
          <cell r="H6134" t="str">
            <v>KLEENEX</v>
          </cell>
          <cell r="I6134">
            <v>0</v>
          </cell>
        </row>
        <row r="6135">
          <cell r="A6135" t="str">
            <v>19-06135</v>
          </cell>
          <cell r="B6135" t="str">
            <v>TDL</v>
          </cell>
          <cell r="C6135" t="str">
            <v>A</v>
          </cell>
          <cell r="D6135" t="str">
            <v>SI</v>
          </cell>
          <cell r="E6135" t="str">
            <v>21345-00 LISTERINE COOL MINT POCKETPAKS BREATH STRIPS 12X1</v>
          </cell>
          <cell r="F6135" t="str">
            <v>ENJUAGUE BUCAL</v>
          </cell>
          <cell r="G6135" t="str">
            <v>21345-00</v>
          </cell>
          <cell r="H6135" t="str">
            <v>LISTERINE</v>
          </cell>
          <cell r="I6135">
            <v>0</v>
          </cell>
        </row>
        <row r="6136">
          <cell r="A6136" t="str">
            <v>19-06136</v>
          </cell>
          <cell r="B6136" t="str">
            <v>TDL</v>
          </cell>
          <cell r="C6136" t="str">
            <v>A</v>
          </cell>
          <cell r="D6136" t="str">
            <v>SI</v>
          </cell>
          <cell r="E6136" t="str">
            <v>21349-00 LISTERINE FRESHBURST POCKETPAKS BREATH STRIPS 12X1</v>
          </cell>
          <cell r="F6136" t="str">
            <v>ENJUAGUE BUCAL</v>
          </cell>
          <cell r="G6136" t="str">
            <v>21349-00</v>
          </cell>
          <cell r="H6136" t="str">
            <v>LISTERINE</v>
          </cell>
          <cell r="I6136">
            <v>0</v>
          </cell>
        </row>
        <row r="6137">
          <cell r="A6137" t="str">
            <v>19-06137</v>
          </cell>
          <cell r="B6137" t="str">
            <v>TDL</v>
          </cell>
          <cell r="C6137" t="str">
            <v>A</v>
          </cell>
          <cell r="D6137" t="str">
            <v>SI</v>
          </cell>
          <cell r="E6137" t="str">
            <v>21348-00 LISTERINE TOTAL CARE MOUTHWASH 12X3.2OZ</v>
          </cell>
          <cell r="F6137" t="str">
            <v>ENJUAGUE BUCAL</v>
          </cell>
          <cell r="G6137" t="str">
            <v>21348-00</v>
          </cell>
          <cell r="H6137" t="str">
            <v>LISTERINE</v>
          </cell>
          <cell r="I6137">
            <v>0</v>
          </cell>
        </row>
        <row r="6138">
          <cell r="A6138" t="str">
            <v>19-06138</v>
          </cell>
          <cell r="B6138" t="str">
            <v>TDL</v>
          </cell>
          <cell r="C6138" t="str">
            <v>A</v>
          </cell>
          <cell r="D6138" t="str">
            <v>SI</v>
          </cell>
          <cell r="E6138" t="str">
            <v>21352-00 LISTERINE ULTRACLEAN ARCTIC MINT MOUTHWASH 12X3.2OZ</v>
          </cell>
          <cell r="F6138" t="str">
            <v>ENJUAGUE BUCAL</v>
          </cell>
          <cell r="G6138" t="str">
            <v>21352-00</v>
          </cell>
          <cell r="H6138" t="str">
            <v>LISTERINE</v>
          </cell>
          <cell r="I6138">
            <v>0</v>
          </cell>
        </row>
        <row r="6139">
          <cell r="A6139" t="str">
            <v>19-06139</v>
          </cell>
          <cell r="B6139" t="str">
            <v>TDL</v>
          </cell>
          <cell r="C6139" t="str">
            <v>A</v>
          </cell>
          <cell r="D6139" t="str">
            <v>SI</v>
          </cell>
          <cell r="E6139" t="str">
            <v>29611 LYSOL DISINFECTANT SPRAY TO GO 1X1OZ</v>
          </cell>
          <cell r="F6139" t="str">
            <v>DESINFECTANTE</v>
          </cell>
          <cell r="G6139">
            <v>29611</v>
          </cell>
          <cell r="H6139" t="str">
            <v>LYSOL</v>
          </cell>
          <cell r="I6139">
            <v>0</v>
          </cell>
        </row>
        <row r="6140">
          <cell r="A6140" t="str">
            <v>19-06140</v>
          </cell>
          <cell r="B6140" t="str">
            <v>TDL</v>
          </cell>
          <cell r="C6140" t="str">
            <v>A</v>
          </cell>
          <cell r="D6140" t="str">
            <v>SI</v>
          </cell>
          <cell r="E6140" t="str">
            <v>41413-00 MACK'S PILLOW SOFT KIDS SILICONE EARPLUGS 6X1</v>
          </cell>
          <cell r="F6140" t="str">
            <v>TAPONES DE OIDO</v>
          </cell>
          <cell r="G6140" t="str">
            <v>41413-00</v>
          </cell>
          <cell r="H6140" t="str">
            <v>MACK</v>
          </cell>
          <cell r="I6140">
            <v>0</v>
          </cell>
        </row>
        <row r="6141">
          <cell r="A6141" t="str">
            <v>19-06141</v>
          </cell>
          <cell r="B6141" t="str">
            <v>TDL</v>
          </cell>
          <cell r="C6141" t="str">
            <v>A</v>
          </cell>
          <cell r="D6141" t="str">
            <v>SI</v>
          </cell>
          <cell r="E6141" t="str">
            <v>28349-00 MS. MANICURE MINI SALON BOARDS 12X1</v>
          </cell>
          <cell r="F6141" t="str">
            <v>LIMA DE UNAS</v>
          </cell>
          <cell r="G6141" t="str">
            <v>28349-00</v>
          </cell>
          <cell r="H6141" t="str">
            <v>MS. MANICURE</v>
          </cell>
          <cell r="I6141">
            <v>0</v>
          </cell>
        </row>
        <row r="6142">
          <cell r="A6142" t="str">
            <v>19-06142</v>
          </cell>
          <cell r="B6142" t="str">
            <v>TDL</v>
          </cell>
          <cell r="C6142" t="str">
            <v>A</v>
          </cell>
          <cell r="D6142" t="str">
            <v>SI</v>
          </cell>
          <cell r="E6142" t="str">
            <v>28382 NEUTROGENA MAKEUP REMOVER CLEANSING TOWELETTES</v>
          </cell>
          <cell r="F6142" t="str">
            <v>WIPES</v>
          </cell>
          <cell r="G6142">
            <v>28382</v>
          </cell>
          <cell r="H6142" t="str">
            <v>NEUTROGENA</v>
          </cell>
          <cell r="I6142">
            <v>0</v>
          </cell>
        </row>
        <row r="6143">
          <cell r="A6143" t="str">
            <v>19-06143</v>
          </cell>
          <cell r="B6143" t="str">
            <v>TDL</v>
          </cell>
          <cell r="C6143" t="str">
            <v>A</v>
          </cell>
          <cell r="D6143" t="str">
            <v>SI</v>
          </cell>
          <cell r="E6143" t="str">
            <v>84331-00 NUK SOFT ORTHOSTAR ORTHODONTIC SILICONE PACIFIER 4X1</v>
          </cell>
          <cell r="F6143" t="str">
            <v>PACIFICADOR</v>
          </cell>
          <cell r="G6143" t="str">
            <v>84331-00</v>
          </cell>
          <cell r="H6143" t="str">
            <v>NUK</v>
          </cell>
          <cell r="I6143">
            <v>0</v>
          </cell>
        </row>
        <row r="6144">
          <cell r="A6144" t="str">
            <v>19-06144</v>
          </cell>
          <cell r="B6144" t="str">
            <v>TDL</v>
          </cell>
          <cell r="C6144" t="str">
            <v>A</v>
          </cell>
          <cell r="D6144" t="str">
            <v>SI</v>
          </cell>
          <cell r="E6144" t="str">
            <v>84414 PAMPERS CRUISERS ON THE GO KIT SIZE 4</v>
          </cell>
          <cell r="F6144" t="str">
            <v>PANAL</v>
          </cell>
          <cell r="G6144">
            <v>84414</v>
          </cell>
          <cell r="H6144" t="str">
            <v>PAMPERS</v>
          </cell>
          <cell r="I6144">
            <v>0</v>
          </cell>
        </row>
        <row r="6145">
          <cell r="A6145" t="str">
            <v>19-06145</v>
          </cell>
          <cell r="B6145" t="str">
            <v>TDL</v>
          </cell>
          <cell r="C6145" t="str">
            <v>A</v>
          </cell>
          <cell r="D6145" t="str">
            <v>SI</v>
          </cell>
          <cell r="E6145" t="str">
            <v>25773-00 PLAYTEX GENTLE GLIDE SUPER TAMPONS (BOX 8) 12X1</v>
          </cell>
          <cell r="F6145" t="str">
            <v>TAMPONES</v>
          </cell>
          <cell r="G6145" t="str">
            <v>25773-00</v>
          </cell>
          <cell r="H6145" t="str">
            <v>PLAYTEX</v>
          </cell>
          <cell r="I6145">
            <v>0</v>
          </cell>
        </row>
        <row r="6146">
          <cell r="A6146" t="str">
            <v>19-06146</v>
          </cell>
          <cell r="B6146" t="str">
            <v>TDL</v>
          </cell>
          <cell r="C6146" t="str">
            <v>A</v>
          </cell>
          <cell r="D6146" t="str">
            <v>SI</v>
          </cell>
          <cell r="E6146" t="str">
            <v>25578-00 PLAYTEX ON-THE-GO PERSONAL WIPES 20X1</v>
          </cell>
          <cell r="F6146" t="str">
            <v>WIPES</v>
          </cell>
          <cell r="G6146" t="str">
            <v>25578-00</v>
          </cell>
          <cell r="H6146" t="str">
            <v>PLAYTEX</v>
          </cell>
          <cell r="I6146">
            <v>0</v>
          </cell>
        </row>
        <row r="6147">
          <cell r="A6147" t="str">
            <v>19-06147</v>
          </cell>
          <cell r="B6147" t="str">
            <v>TDL</v>
          </cell>
          <cell r="C6147" t="str">
            <v>A</v>
          </cell>
          <cell r="D6147" t="str">
            <v>SI</v>
          </cell>
          <cell r="E6147" t="str">
            <v>25579-00 PLAYTEX PERSONAL WIPES (PACK 16) 12X1</v>
          </cell>
          <cell r="F6147" t="str">
            <v>WIPES</v>
          </cell>
          <cell r="G6147" t="str">
            <v>25579-00</v>
          </cell>
          <cell r="H6147" t="str">
            <v>PLAYTEX</v>
          </cell>
          <cell r="I6147">
            <v>0</v>
          </cell>
        </row>
        <row r="6148">
          <cell r="A6148" t="str">
            <v>19-06148</v>
          </cell>
          <cell r="B6148" t="str">
            <v>TDL</v>
          </cell>
          <cell r="C6148" t="str">
            <v>A</v>
          </cell>
          <cell r="D6148" t="str">
            <v>SI</v>
          </cell>
          <cell r="E6148" t="str">
            <v>26683 PONDS WET CLEANSING TOWELETTES (PACK 5)</v>
          </cell>
          <cell r="F6148" t="str">
            <v>WIPES</v>
          </cell>
          <cell r="G6148">
            <v>26683</v>
          </cell>
          <cell r="H6148" t="str">
            <v>PONDS</v>
          </cell>
          <cell r="I6148">
            <v>0</v>
          </cell>
        </row>
        <row r="6149">
          <cell r="A6149" t="str">
            <v>19-06149</v>
          </cell>
          <cell r="B6149" t="str">
            <v>TDL</v>
          </cell>
          <cell r="C6149" t="str">
            <v>A</v>
          </cell>
          <cell r="D6149" t="str">
            <v>SI</v>
          </cell>
          <cell r="E6149" t="str">
            <v>28421-00 Q-TIPS PURSE PACK SWABS (PACK 30) 36X1</v>
          </cell>
          <cell r="F6149" t="str">
            <v>APLICADORES</v>
          </cell>
          <cell r="G6149" t="str">
            <v>28421-00</v>
          </cell>
          <cell r="H6149" t="str">
            <v>Q TIPS</v>
          </cell>
          <cell r="I6149">
            <v>0</v>
          </cell>
        </row>
        <row r="6150">
          <cell r="A6150" t="str">
            <v>19-06150</v>
          </cell>
          <cell r="B6150" t="str">
            <v>TDL</v>
          </cell>
          <cell r="C6150" t="str">
            <v>A</v>
          </cell>
          <cell r="D6150" t="str">
            <v>SI</v>
          </cell>
          <cell r="E6150" t="str">
            <v>21517-00 REACH TOTAL CARE + WHITENING SOFT TOOTHBRUSH  6X1</v>
          </cell>
          <cell r="F6150" t="str">
            <v>HILO DENTAL</v>
          </cell>
          <cell r="G6150" t="str">
            <v>21517-00</v>
          </cell>
          <cell r="H6150" t="str">
            <v>REACH</v>
          </cell>
          <cell r="I6150">
            <v>0</v>
          </cell>
        </row>
        <row r="6151">
          <cell r="A6151" t="str">
            <v>19-06151</v>
          </cell>
          <cell r="B6151" t="str">
            <v>TDL</v>
          </cell>
          <cell r="C6151" t="str">
            <v>A</v>
          </cell>
          <cell r="D6151" t="str">
            <v>SI</v>
          </cell>
          <cell r="E6151" t="str">
            <v>21561-00 SENSODYNE GENTLE TOOTHPASTE 12X0.8OZ</v>
          </cell>
          <cell r="F6151" t="str">
            <v>PASTA DENTAL</v>
          </cell>
          <cell r="G6151" t="str">
            <v>21561-00</v>
          </cell>
          <cell r="H6151" t="str">
            <v>SENSODYNE</v>
          </cell>
          <cell r="I6151">
            <v>0</v>
          </cell>
        </row>
        <row r="6152">
          <cell r="A6152" t="str">
            <v>19-06152</v>
          </cell>
          <cell r="B6152" t="str">
            <v>TDL</v>
          </cell>
          <cell r="C6152" t="str">
            <v>A</v>
          </cell>
          <cell r="D6152" t="str">
            <v>SI</v>
          </cell>
          <cell r="E6152" t="str">
            <v>25722 TAMPAX PEARL ACTIVE REGULAR TAMPONS (BOX 3)</v>
          </cell>
          <cell r="F6152" t="str">
            <v>TAMPONES</v>
          </cell>
          <cell r="G6152">
            <v>25722</v>
          </cell>
          <cell r="H6152" t="str">
            <v>TAMPAX</v>
          </cell>
          <cell r="I6152">
            <v>0</v>
          </cell>
        </row>
        <row r="6153">
          <cell r="A6153" t="str">
            <v>19-06153</v>
          </cell>
          <cell r="B6153" t="str">
            <v>TDL</v>
          </cell>
          <cell r="C6153" t="str">
            <v>A</v>
          </cell>
          <cell r="D6153" t="str">
            <v>SI</v>
          </cell>
          <cell r="E6153" t="str">
            <v>25717-00 TAMPAX PEARL REGULAR TAMPONS (BOX 8) 12X1</v>
          </cell>
          <cell r="F6153" t="str">
            <v>TAMPONES</v>
          </cell>
          <cell r="G6153" t="str">
            <v>25717-00</v>
          </cell>
          <cell r="H6153" t="str">
            <v>TAMPAX</v>
          </cell>
          <cell r="I6153">
            <v>0</v>
          </cell>
        </row>
        <row r="6154">
          <cell r="A6154" t="str">
            <v>19-06154</v>
          </cell>
          <cell r="B6154" t="str">
            <v>TDL</v>
          </cell>
          <cell r="C6154" t="str">
            <v>A</v>
          </cell>
          <cell r="D6154" t="str">
            <v>SI</v>
          </cell>
          <cell r="E6154" t="str">
            <v>25724-00 TAMPAX PEARL REGULAR TAMPONS (BOX 3) 6X1</v>
          </cell>
          <cell r="F6154" t="str">
            <v>TAMPONES</v>
          </cell>
          <cell r="G6154" t="str">
            <v>25724-00</v>
          </cell>
          <cell r="H6154" t="str">
            <v>TAMPAX</v>
          </cell>
          <cell r="I6154">
            <v>0</v>
          </cell>
        </row>
        <row r="6155">
          <cell r="A6155" t="str">
            <v>19-06155</v>
          </cell>
          <cell r="B6155" t="str">
            <v>TDL</v>
          </cell>
          <cell r="C6155" t="str">
            <v>A</v>
          </cell>
          <cell r="D6155" t="str">
            <v>SI</v>
          </cell>
          <cell r="E6155" t="str">
            <v>25718-00 TAMPAX PEARL SUPER TAMPONS (BOX 8) 12X1</v>
          </cell>
          <cell r="F6155" t="str">
            <v>TAMPONES</v>
          </cell>
          <cell r="G6155" t="str">
            <v>25718-00</v>
          </cell>
          <cell r="H6155" t="str">
            <v>TAMPAX</v>
          </cell>
          <cell r="I6155">
            <v>0</v>
          </cell>
        </row>
        <row r="6156">
          <cell r="A6156" t="str">
            <v>19-06156</v>
          </cell>
          <cell r="B6156" t="str">
            <v>TDL</v>
          </cell>
          <cell r="C6156" t="str">
            <v>A</v>
          </cell>
          <cell r="D6156" t="str">
            <v>SI</v>
          </cell>
          <cell r="E6156" t="str">
            <v>25726-00 TAMPAX RADIANT SUPER PLASTIC TAMPONS (BOX 3) 6X1</v>
          </cell>
          <cell r="F6156" t="str">
            <v>TAMPONES</v>
          </cell>
          <cell r="G6156" t="str">
            <v>25726-00</v>
          </cell>
          <cell r="H6156" t="str">
            <v>TAMPAX</v>
          </cell>
          <cell r="I6156">
            <v>0</v>
          </cell>
        </row>
        <row r="6157">
          <cell r="A6157" t="str">
            <v>19-06157</v>
          </cell>
          <cell r="B6157" t="str">
            <v>TDL</v>
          </cell>
          <cell r="C6157" t="str">
            <v>A</v>
          </cell>
          <cell r="D6157" t="str">
            <v>SI</v>
          </cell>
          <cell r="E6157" t="str">
            <v>29781 TOILET TISSUE PAPER TO GO</v>
          </cell>
          <cell r="F6157" t="str">
            <v>PAPEL HIGIENICO</v>
          </cell>
          <cell r="G6157">
            <v>29781</v>
          </cell>
          <cell r="H6157" t="str">
            <v>TOILET</v>
          </cell>
          <cell r="I6157">
            <v>0</v>
          </cell>
        </row>
        <row r="6158">
          <cell r="A6158" t="str">
            <v>19-06158</v>
          </cell>
          <cell r="B6158" t="str">
            <v>TDL</v>
          </cell>
          <cell r="C6158" t="str">
            <v>A</v>
          </cell>
          <cell r="D6158" t="str">
            <v>SI</v>
          </cell>
          <cell r="E6158" t="str">
            <v>29812-00 WET ONES ANTIBACTERIAL WIPES (PACK 20) 10X1</v>
          </cell>
          <cell r="F6158" t="str">
            <v>WIPES</v>
          </cell>
          <cell r="G6158" t="str">
            <v>29812-00</v>
          </cell>
          <cell r="H6158" t="str">
            <v>WET ONES</v>
          </cell>
          <cell r="I6158">
            <v>0</v>
          </cell>
        </row>
        <row r="6159">
          <cell r="A6159" t="str">
            <v>19-06159</v>
          </cell>
          <cell r="B6159" t="str">
            <v>TDL</v>
          </cell>
          <cell r="C6159" t="str">
            <v>A</v>
          </cell>
          <cell r="D6159" t="str">
            <v>SI</v>
          </cell>
          <cell r="E6159" t="str">
            <v>29818-00 WET ONES CITRUS SCENT ANTIBACTERIAL WIPES (PACK 20) 10X1</v>
          </cell>
          <cell r="F6159" t="str">
            <v>WIPES</v>
          </cell>
          <cell r="G6159" t="str">
            <v>29818-00</v>
          </cell>
          <cell r="H6159" t="str">
            <v>WET ONES</v>
          </cell>
          <cell r="I6159">
            <v>0</v>
          </cell>
        </row>
        <row r="6160">
          <cell r="A6160" t="str">
            <v>19-06160</v>
          </cell>
          <cell r="B6160" t="str">
            <v>SNI</v>
          </cell>
          <cell r="C6160" t="str">
            <v>A</v>
          </cell>
          <cell r="D6160" t="str">
            <v>NO</v>
          </cell>
          <cell r="E6160" t="str">
            <v>MAGIC INK ACTIVITY BOOK - TROLLS</v>
          </cell>
          <cell r="F6160" t="str">
            <v>LIBRO</v>
          </cell>
          <cell r="G6160" t="str">
            <v>TOY-026665-CAT</v>
          </cell>
          <cell r="H6160" t="str">
            <v>SEVA</v>
          </cell>
          <cell r="I6160">
            <v>3.55</v>
          </cell>
        </row>
        <row r="6161">
          <cell r="A6161" t="str">
            <v>19-06161</v>
          </cell>
          <cell r="B6161" t="str">
            <v>SNI</v>
          </cell>
          <cell r="C6161" t="str">
            <v>A</v>
          </cell>
          <cell r="D6161" t="str">
            <v>NO</v>
          </cell>
          <cell r="E6161" t="str">
            <v>IMAGINE INK MESS FREE - SHIMMER AND SHINE</v>
          </cell>
          <cell r="F6161" t="str">
            <v>LIBRO</v>
          </cell>
          <cell r="G6161" t="str">
            <v>TOY-416501-CAT</v>
          </cell>
          <cell r="H6161" t="str">
            <v>SEVA</v>
          </cell>
          <cell r="I6161">
            <v>3.55</v>
          </cell>
        </row>
        <row r="6162">
          <cell r="A6162" t="str">
            <v>19-06162</v>
          </cell>
          <cell r="B6162" t="str">
            <v>SNI</v>
          </cell>
          <cell r="C6162" t="str">
            <v>A</v>
          </cell>
          <cell r="D6162" t="str">
            <v>NO</v>
          </cell>
          <cell r="E6162" t="str">
            <v>CARRY ALONG ACTIVITY BOOK - SHIMMER AND SHINE</v>
          </cell>
          <cell r="F6162" t="str">
            <v>LIBRO</v>
          </cell>
          <cell r="G6162" t="str">
            <v>TOY-416563-CAT</v>
          </cell>
          <cell r="H6162" t="str">
            <v>SEVA</v>
          </cell>
          <cell r="I6162">
            <v>4.7</v>
          </cell>
        </row>
        <row r="6163">
          <cell r="A6163" t="str">
            <v>19-06163</v>
          </cell>
          <cell r="B6163" t="str">
            <v>SNI</v>
          </cell>
          <cell r="C6163" t="str">
            <v>A</v>
          </cell>
          <cell r="D6163" t="str">
            <v>NO</v>
          </cell>
          <cell r="E6163" t="str">
            <v>CARRY ALONG ACTIVITY BOOK - SPIDERMAN</v>
          </cell>
          <cell r="F6163" t="str">
            <v>LIBRO</v>
          </cell>
          <cell r="G6163" t="str">
            <v>TOY-416556-CAT</v>
          </cell>
          <cell r="H6163" t="str">
            <v>SEVA</v>
          </cell>
          <cell r="I6163">
            <v>4.7</v>
          </cell>
        </row>
        <row r="6164">
          <cell r="A6164" t="str">
            <v>19-06164</v>
          </cell>
          <cell r="B6164" t="str">
            <v>SNI</v>
          </cell>
          <cell r="C6164" t="str">
            <v>A</v>
          </cell>
          <cell r="D6164" t="str">
            <v>NO</v>
          </cell>
          <cell r="E6164" t="str">
            <v>MAGIC INK COLOR CHANGE - CARS</v>
          </cell>
          <cell r="F6164" t="str">
            <v>LIBRO</v>
          </cell>
          <cell r="G6164" t="str">
            <v>TOY-742952-CAT</v>
          </cell>
          <cell r="H6164" t="str">
            <v>SEVA</v>
          </cell>
          <cell r="I6164">
            <v>3.55</v>
          </cell>
        </row>
        <row r="6165">
          <cell r="A6165" t="str">
            <v>19-06165</v>
          </cell>
          <cell r="B6165" t="str">
            <v>DIST. LEWIS</v>
          </cell>
          <cell r="C6165" t="str">
            <v>A</v>
          </cell>
          <cell r="D6165" t="str">
            <v>SI</v>
          </cell>
          <cell r="E6165" t="str">
            <v>ATHLON SPORTS BASEBALL</v>
          </cell>
          <cell r="F6165" t="str">
            <v>REVISTA</v>
          </cell>
          <cell r="G6165">
            <v>68172</v>
          </cell>
          <cell r="H6165" t="str">
            <v>DIST. LEWIS</v>
          </cell>
          <cell r="I6165">
            <v>8.8000000000000007</v>
          </cell>
        </row>
        <row r="6166">
          <cell r="A6166" t="str">
            <v>19-06166</v>
          </cell>
          <cell r="B6166" t="str">
            <v>DIST. LEWIS</v>
          </cell>
          <cell r="C6166" t="str">
            <v>A</v>
          </cell>
          <cell r="D6166" t="str">
            <v>SI</v>
          </cell>
          <cell r="E6166" t="str">
            <v>INTERIORES IDEAS Y TENDENCIAS</v>
          </cell>
          <cell r="F6166" t="str">
            <v>REVISTA</v>
          </cell>
          <cell r="G6166">
            <v>854008</v>
          </cell>
          <cell r="H6166" t="str">
            <v>DIST. LEWIS</v>
          </cell>
          <cell r="I6166">
            <v>3.92</v>
          </cell>
        </row>
        <row r="6167">
          <cell r="A6167" t="str">
            <v>19-06167</v>
          </cell>
          <cell r="B6167" t="str">
            <v>DIST. LEWIS</v>
          </cell>
          <cell r="C6167" t="str">
            <v>A</v>
          </cell>
          <cell r="D6167" t="str">
            <v>SI</v>
          </cell>
          <cell r="E6167" t="str">
            <v>ARQUITECTURA Y DISENO</v>
          </cell>
          <cell r="F6167" t="str">
            <v>REVISTA</v>
          </cell>
          <cell r="G6167">
            <v>264004</v>
          </cell>
          <cell r="H6167" t="str">
            <v>DIST. LEWIS</v>
          </cell>
          <cell r="I6167">
            <v>3.92</v>
          </cell>
        </row>
        <row r="6168">
          <cell r="A6168" t="str">
            <v>19-06168</v>
          </cell>
          <cell r="B6168" t="str">
            <v>DIST. LEWIS</v>
          </cell>
          <cell r="C6168" t="str">
            <v>A</v>
          </cell>
          <cell r="D6168" t="str">
            <v>SI</v>
          </cell>
          <cell r="E6168" t="str">
            <v>COCINA LECTURAS</v>
          </cell>
          <cell r="F6168" t="str">
            <v>REVISTA</v>
          </cell>
          <cell r="G6168">
            <v>267208</v>
          </cell>
          <cell r="H6168" t="str">
            <v>DIST. LEWIS</v>
          </cell>
          <cell r="I6168">
            <v>4.5599999999999996</v>
          </cell>
        </row>
        <row r="6169">
          <cell r="A6169" t="str">
            <v>19-06169</v>
          </cell>
          <cell r="B6169" t="str">
            <v>DIST. LEWIS</v>
          </cell>
          <cell r="C6169" t="str">
            <v>A</v>
          </cell>
          <cell r="D6169" t="str">
            <v>SI</v>
          </cell>
          <cell r="E6169" t="str">
            <v>AXXIS</v>
          </cell>
          <cell r="F6169" t="str">
            <v>REVISTA</v>
          </cell>
          <cell r="G6169">
            <v>720616</v>
          </cell>
          <cell r="H6169" t="str">
            <v>DIST. LEWIS</v>
          </cell>
          <cell r="I6169">
            <v>5.6</v>
          </cell>
        </row>
        <row r="6170">
          <cell r="A6170" t="str">
            <v>19-06170</v>
          </cell>
          <cell r="B6170" t="str">
            <v>DIST. LEWIS</v>
          </cell>
          <cell r="C6170" t="str">
            <v>A</v>
          </cell>
          <cell r="D6170" t="str">
            <v>SI</v>
          </cell>
          <cell r="E6170" t="str">
            <v>DINERS</v>
          </cell>
          <cell r="F6170" t="str">
            <v>REVISTA</v>
          </cell>
          <cell r="G6170">
            <v>720623</v>
          </cell>
          <cell r="H6170" t="str">
            <v>DIST. LEWIS</v>
          </cell>
          <cell r="I6170">
            <v>2.96</v>
          </cell>
        </row>
        <row r="6171">
          <cell r="A6171" t="str">
            <v>19-06171</v>
          </cell>
          <cell r="B6171" t="str">
            <v>DIST. LEWIS</v>
          </cell>
          <cell r="C6171" t="str">
            <v>A</v>
          </cell>
          <cell r="D6171" t="str">
            <v>SI</v>
          </cell>
          <cell r="E6171" t="str">
            <v>HISTORIA NATIONAL GEOGRAPHIC</v>
          </cell>
          <cell r="F6171" t="str">
            <v>REVISTA</v>
          </cell>
          <cell r="G6171">
            <v>775008</v>
          </cell>
          <cell r="H6171" t="str">
            <v>DIST. LEWIS</v>
          </cell>
          <cell r="I6171">
            <v>3.6</v>
          </cell>
        </row>
        <row r="6172">
          <cell r="A6172" t="str">
            <v>19-06172</v>
          </cell>
          <cell r="B6172" t="str">
            <v>DIST. LEWIS</v>
          </cell>
          <cell r="C6172" t="str">
            <v>A</v>
          </cell>
          <cell r="D6172" t="str">
            <v>SI</v>
          </cell>
          <cell r="E6172" t="str">
            <v>SABER VIVIR</v>
          </cell>
          <cell r="F6172" t="str">
            <v>REVISTA</v>
          </cell>
          <cell r="G6172">
            <v>816005</v>
          </cell>
          <cell r="H6172" t="str">
            <v>DIST. LEWIS</v>
          </cell>
          <cell r="I6172">
            <v>3.04</v>
          </cell>
        </row>
        <row r="6173">
          <cell r="A6173" t="str">
            <v>19-06173</v>
          </cell>
          <cell r="B6173" t="str">
            <v>TDL</v>
          </cell>
          <cell r="C6173" t="str">
            <v>A</v>
          </cell>
          <cell r="D6173" t="str">
            <v>N/A</v>
          </cell>
          <cell r="E6173" t="str">
            <v>A70822 AG SPF 50 SPRAY GEL W/BRONZER  8OZ</v>
          </cell>
          <cell r="F6173" t="str">
            <v>SUN BLOCK</v>
          </cell>
          <cell r="G6173" t="str">
            <v>A70822</v>
          </cell>
          <cell r="H6173" t="str">
            <v>AUSTRALIAN GOLD</v>
          </cell>
          <cell r="I6173">
            <v>6.55</v>
          </cell>
        </row>
        <row r="6174">
          <cell r="A6174" t="str">
            <v>19-06174</v>
          </cell>
          <cell r="B6174" t="str">
            <v>TDL</v>
          </cell>
          <cell r="C6174" t="str">
            <v>A</v>
          </cell>
          <cell r="D6174" t="str">
            <v>N/A</v>
          </cell>
          <cell r="E6174" t="str">
            <v>A70773 AG SPF 50 KIDS LOTION 8OZ</v>
          </cell>
          <cell r="F6174" t="str">
            <v>SUN BLOCK</v>
          </cell>
          <cell r="G6174" t="str">
            <v>A70773</v>
          </cell>
          <cell r="H6174" t="str">
            <v>AUSTRALIAN GOLD</v>
          </cell>
          <cell r="I6174">
            <v>5.5510000000000002</v>
          </cell>
        </row>
        <row r="6175">
          <cell r="A6175" t="str">
            <v>19-06175</v>
          </cell>
          <cell r="B6175" t="str">
            <v>TDL</v>
          </cell>
          <cell r="C6175" t="str">
            <v>A</v>
          </cell>
          <cell r="D6175" t="str">
            <v>N/A</v>
          </cell>
          <cell r="E6175" t="str">
            <v>A70582 AG SPF 50 BABY LOTION 8OZ</v>
          </cell>
          <cell r="F6175" t="str">
            <v>SUN BLOCK</v>
          </cell>
          <cell r="G6175" t="str">
            <v>A70582</v>
          </cell>
          <cell r="H6175" t="str">
            <v>AUSTRALIAN GOLD</v>
          </cell>
          <cell r="I6175">
            <v>5.98</v>
          </cell>
        </row>
        <row r="6176">
          <cell r="A6176" t="str">
            <v>19-06176</v>
          </cell>
          <cell r="B6176" t="str">
            <v>TDL</v>
          </cell>
          <cell r="C6176" t="str">
            <v>A</v>
          </cell>
          <cell r="D6176" t="str">
            <v>N/A</v>
          </cell>
          <cell r="E6176" t="str">
            <v>A00428 AG GRADUAL BUILD SUNLESS LOTION 6OZ</v>
          </cell>
          <cell r="F6176" t="str">
            <v>SUN BLOCK</v>
          </cell>
          <cell r="G6176" t="str">
            <v>A00428</v>
          </cell>
          <cell r="H6176" t="str">
            <v>AUSTRALIAN GOLD</v>
          </cell>
          <cell r="I6176">
            <v>7.42</v>
          </cell>
        </row>
        <row r="6177">
          <cell r="A6177" t="str">
            <v>19-06177</v>
          </cell>
          <cell r="B6177" t="str">
            <v>TDL</v>
          </cell>
          <cell r="C6177" t="str">
            <v>A</v>
          </cell>
          <cell r="D6177" t="str">
            <v>N/A</v>
          </cell>
          <cell r="E6177" t="str">
            <v>A00429 AG INSTANT SUNLESS LOTION 6OZ</v>
          </cell>
          <cell r="F6177" t="str">
            <v>SUN BLOCK</v>
          </cell>
          <cell r="G6177" t="str">
            <v>A00429</v>
          </cell>
          <cell r="H6177" t="str">
            <v>AUSTRALIAN GOLD</v>
          </cell>
          <cell r="I6177">
            <v>7.42</v>
          </cell>
        </row>
        <row r="6178">
          <cell r="A6178" t="str">
            <v>19-06178</v>
          </cell>
          <cell r="B6178" t="str">
            <v>TDL</v>
          </cell>
          <cell r="C6178" t="str">
            <v>A</v>
          </cell>
          <cell r="D6178" t="str">
            <v>N/A</v>
          </cell>
          <cell r="E6178" t="str">
            <v>A00430 AG INSTANT SUNLESS SPRAY 6OZ</v>
          </cell>
          <cell r="F6178" t="str">
            <v>SUN BLOCK</v>
          </cell>
          <cell r="G6178" t="str">
            <v>A00430</v>
          </cell>
          <cell r="H6178" t="str">
            <v>AUSTRALIAN GOLD</v>
          </cell>
          <cell r="I6178">
            <v>7.42</v>
          </cell>
        </row>
        <row r="6179">
          <cell r="A6179" t="str">
            <v>19-06179</v>
          </cell>
          <cell r="B6179" t="str">
            <v>DIST. LEWIS</v>
          </cell>
          <cell r="C6179" t="str">
            <v>A</v>
          </cell>
          <cell r="D6179" t="str">
            <v>SI</v>
          </cell>
          <cell r="E6179" t="str">
            <v>GQ EN ESPANOL</v>
          </cell>
          <cell r="F6179" t="str">
            <v>MAGAZINE</v>
          </cell>
          <cell r="G6179">
            <v>21141</v>
          </cell>
          <cell r="H6179" t="str">
            <v>DIST. LEWIS</v>
          </cell>
          <cell r="I6179">
            <v>2.8</v>
          </cell>
        </row>
        <row r="6180">
          <cell r="A6180" t="str">
            <v>19-06180</v>
          </cell>
          <cell r="B6180" t="str">
            <v>WORLD WISHES</v>
          </cell>
          <cell r="C6180" t="str">
            <v>A</v>
          </cell>
          <cell r="D6180" t="str">
            <v>SI</v>
          </cell>
          <cell r="E6180" t="str">
            <v>75-2023 CRAYOLA COLOR WONDER MESS FREE PAINTBRUSH PENS</v>
          </cell>
          <cell r="F6180" t="str">
            <v>SCHOOL SUPPLIES</v>
          </cell>
          <cell r="G6180" t="str">
            <v>75-2023</v>
          </cell>
          <cell r="H6180" t="str">
            <v>CRAYOLA</v>
          </cell>
          <cell r="I6180">
            <v>6.7</v>
          </cell>
        </row>
        <row r="6181">
          <cell r="A6181" t="str">
            <v>19-06181</v>
          </cell>
          <cell r="B6181" t="str">
            <v>WORLD WISHES</v>
          </cell>
          <cell r="C6181" t="str">
            <v>A</v>
          </cell>
          <cell r="D6181" t="str">
            <v>SI</v>
          </cell>
          <cell r="E6181" t="str">
            <v>58-6501 CRAYOLA SIGNATURE BRUSH AND DETAIL DUAL ENDED MARKERS</v>
          </cell>
          <cell r="F6181" t="str">
            <v>CRAYONES</v>
          </cell>
          <cell r="G6181" t="str">
            <v>58-6501</v>
          </cell>
          <cell r="H6181" t="str">
            <v>CRAYOLA</v>
          </cell>
          <cell r="I6181">
            <v>8.25</v>
          </cell>
        </row>
        <row r="6182">
          <cell r="A6182" t="str">
            <v>19-06182</v>
          </cell>
          <cell r="B6182" t="str">
            <v>WORLD WISHES</v>
          </cell>
          <cell r="C6182" t="str">
            <v>A</v>
          </cell>
          <cell r="D6182" t="str">
            <v>SI</v>
          </cell>
          <cell r="E6182" t="str">
            <v>58-6511 CRAYOLA SIGNATURE SKETCH AND DETAIL DUAL ENDED MARKERS</v>
          </cell>
          <cell r="F6182" t="str">
            <v>CRAYONES</v>
          </cell>
          <cell r="G6182" t="str">
            <v>58-6511</v>
          </cell>
          <cell r="H6182" t="str">
            <v>CRAYOLA</v>
          </cell>
          <cell r="I6182">
            <v>8.25</v>
          </cell>
        </row>
        <row r="6183">
          <cell r="A6183" t="str">
            <v>19-06183</v>
          </cell>
          <cell r="B6183" t="str">
            <v>WORLD WISHES</v>
          </cell>
          <cell r="C6183" t="str">
            <v>A</v>
          </cell>
          <cell r="D6183" t="str">
            <v>SI</v>
          </cell>
          <cell r="E6183" t="str">
            <v>04-0115 CRAYOLA SILLY SCENTES MARKER ACTIVITY KIT</v>
          </cell>
          <cell r="F6183" t="str">
            <v>SCHOOL SUPPLIES</v>
          </cell>
          <cell r="G6183" t="str">
            <v>04-0115</v>
          </cell>
          <cell r="H6183" t="str">
            <v>CRAYOLA</v>
          </cell>
          <cell r="I6183">
            <v>6.5</v>
          </cell>
        </row>
        <row r="6184">
          <cell r="A6184" t="str">
            <v>19-06184</v>
          </cell>
          <cell r="B6184" t="str">
            <v>WORLD WISHES</v>
          </cell>
          <cell r="C6184" t="str">
            <v>A</v>
          </cell>
          <cell r="D6184" t="str">
            <v>SI</v>
          </cell>
          <cell r="E6184" t="str">
            <v>75-2452 CRAYOLA COLOR WONDER SCENTED STAMPERS</v>
          </cell>
          <cell r="F6184" t="str">
            <v>SCHOOL SUPPLIES</v>
          </cell>
          <cell r="G6184" t="str">
            <v>75-2452</v>
          </cell>
          <cell r="H6184" t="str">
            <v>CRAYOLA</v>
          </cell>
          <cell r="I6184">
            <v>6.5</v>
          </cell>
        </row>
        <row r="6185">
          <cell r="A6185" t="str">
            <v>19-06185</v>
          </cell>
          <cell r="B6185" t="str">
            <v>WORLD WISHES</v>
          </cell>
          <cell r="C6185" t="str">
            <v>A</v>
          </cell>
          <cell r="D6185" t="str">
            <v>SI</v>
          </cell>
          <cell r="E6185" t="str">
            <v>68-2010 CRAYOLA 12 CT TRI-COLOR PENCILS WITH TIN</v>
          </cell>
          <cell r="F6185" t="str">
            <v>CRAYONES</v>
          </cell>
          <cell r="G6185" t="str">
            <v>68-2010</v>
          </cell>
          <cell r="H6185" t="str">
            <v>CRAYOLA</v>
          </cell>
          <cell r="I6185">
            <v>0</v>
          </cell>
        </row>
        <row r="6186">
          <cell r="A6186" t="str">
            <v>19-06186</v>
          </cell>
          <cell r="B6186" t="str">
            <v>WORLD WISHES</v>
          </cell>
          <cell r="C6186" t="str">
            <v>A</v>
          </cell>
          <cell r="D6186" t="str">
            <v>NO</v>
          </cell>
          <cell r="E6186" t="str">
            <v>04-0015 CRAYOLA SILLY SCENTES MINI ART CASE</v>
          </cell>
          <cell r="F6186" t="str">
            <v>SCHOOL SUPPLIES</v>
          </cell>
          <cell r="G6186" t="str">
            <v>04-0015</v>
          </cell>
          <cell r="H6186" t="str">
            <v>CRAYOLA</v>
          </cell>
          <cell r="I6186">
            <v>12.9</v>
          </cell>
        </row>
        <row r="6187">
          <cell r="A6187" t="str">
            <v>19-06187</v>
          </cell>
          <cell r="B6187" t="str">
            <v>WORLD WISHES</v>
          </cell>
          <cell r="C6187" t="str">
            <v>A</v>
          </cell>
          <cell r="D6187" t="str">
            <v>NO</v>
          </cell>
          <cell r="E6187" t="str">
            <v>04-6887 CRAYOLA ALL THAT GLITTERA ART CASE</v>
          </cell>
          <cell r="F6187" t="str">
            <v>SCHOOL SUPPLIES</v>
          </cell>
          <cell r="G6187">
            <v>1821557</v>
          </cell>
          <cell r="H6187" t="str">
            <v>CRAYOLA</v>
          </cell>
          <cell r="I6187">
            <v>8.9</v>
          </cell>
        </row>
        <row r="6188">
          <cell r="A6188" t="str">
            <v>19-06188</v>
          </cell>
          <cell r="B6188" t="str">
            <v>WORLD WISHES</v>
          </cell>
          <cell r="C6188" t="str">
            <v>A</v>
          </cell>
          <cell r="D6188" t="str">
            <v>SI</v>
          </cell>
          <cell r="E6188" t="str">
            <v>04-0124 CRAYOLA ADULT COLORING ELABORATE ESCAPES</v>
          </cell>
          <cell r="F6188" t="str">
            <v>LIBRO</v>
          </cell>
          <cell r="G6188" t="str">
            <v>04-0124</v>
          </cell>
          <cell r="H6188" t="str">
            <v>CRAYOLA</v>
          </cell>
          <cell r="I6188">
            <v>4</v>
          </cell>
        </row>
        <row r="6189">
          <cell r="A6189" t="str">
            <v>19-06189</v>
          </cell>
          <cell r="B6189" t="str">
            <v>WORLD WISHES</v>
          </cell>
          <cell r="C6189" t="str">
            <v>A</v>
          </cell>
          <cell r="D6189" t="str">
            <v>SI</v>
          </cell>
          <cell r="E6189" t="str">
            <v>04-0125 CRAYOLA ADULT COLORING NATURE ESCAPES</v>
          </cell>
          <cell r="F6189" t="str">
            <v>LIBRO</v>
          </cell>
          <cell r="G6189" t="str">
            <v>04-0125</v>
          </cell>
          <cell r="H6189" t="str">
            <v>CRAYOLA</v>
          </cell>
          <cell r="I6189">
            <v>4</v>
          </cell>
        </row>
        <row r="6190">
          <cell r="A6190" t="str">
            <v>19-06190</v>
          </cell>
          <cell r="B6190" t="str">
            <v>DIST. LEWIS</v>
          </cell>
          <cell r="C6190" t="str">
            <v>A</v>
          </cell>
          <cell r="D6190" t="str">
            <v>SI</v>
          </cell>
          <cell r="E6190" t="str">
            <v>NATIONAL GEOGRAPHIC TRAVELER</v>
          </cell>
          <cell r="F6190" t="str">
            <v>MAGAZINE</v>
          </cell>
          <cell r="G6190">
            <v>36822</v>
          </cell>
          <cell r="H6190" t="str">
            <v>DIST. LEWIS</v>
          </cell>
          <cell r="I6190">
            <v>5.56</v>
          </cell>
        </row>
        <row r="6191">
          <cell r="A6191" t="str">
            <v>19-06191</v>
          </cell>
          <cell r="B6191" t="str">
            <v>MELO FARMA</v>
          </cell>
          <cell r="C6191" t="str">
            <v>A</v>
          </cell>
          <cell r="D6191" t="str">
            <v>SI</v>
          </cell>
          <cell r="E6191" t="str">
            <v>KLEENEX BOLSILLO 4X1</v>
          </cell>
          <cell r="F6191" t="str">
            <v>WIPES</v>
          </cell>
          <cell r="H6191" t="str">
            <v>KLEENEX</v>
          </cell>
          <cell r="I6191">
            <v>1.35</v>
          </cell>
        </row>
        <row r="6192">
          <cell r="A6192" t="str">
            <v>19-06192</v>
          </cell>
          <cell r="B6192" t="str">
            <v>MELO FARMA</v>
          </cell>
          <cell r="C6192" t="str">
            <v>A</v>
          </cell>
          <cell r="D6192" t="str">
            <v>SI</v>
          </cell>
          <cell r="E6192" t="str">
            <v>KLEENEX VIAJERO (CAJA)</v>
          </cell>
          <cell r="F6192" t="str">
            <v>WIPES</v>
          </cell>
          <cell r="H6192" t="str">
            <v>KLEENEX</v>
          </cell>
          <cell r="I6192">
            <v>0.79600000000000004</v>
          </cell>
        </row>
        <row r="6193">
          <cell r="A6193" t="str">
            <v>19-06193</v>
          </cell>
          <cell r="B6193" t="str">
            <v>MELO FARMA</v>
          </cell>
          <cell r="C6193" t="str">
            <v>A</v>
          </cell>
          <cell r="D6193" t="str">
            <v>SI</v>
          </cell>
          <cell r="E6193" t="str">
            <v>KOTEX EVOLUTION CON ALAS PACK 10</v>
          </cell>
          <cell r="F6193" t="str">
            <v>TOALLAS SANITARIAS</v>
          </cell>
          <cell r="H6193" t="str">
            <v>KOTEX</v>
          </cell>
          <cell r="I6193">
            <v>2.1</v>
          </cell>
        </row>
        <row r="6194">
          <cell r="A6194" t="str">
            <v>19-06194</v>
          </cell>
          <cell r="B6194" t="str">
            <v>MELO FARMA</v>
          </cell>
          <cell r="C6194" t="str">
            <v>A</v>
          </cell>
          <cell r="D6194" t="str">
            <v>SI</v>
          </cell>
          <cell r="E6194" t="str">
            <v>KOTEX EVOLUTION SIN ALAS PACK 8</v>
          </cell>
          <cell r="F6194" t="str">
            <v>TOALLAS SANITARIAS</v>
          </cell>
          <cell r="H6194" t="str">
            <v>KOTEX</v>
          </cell>
          <cell r="I6194">
            <v>1.84</v>
          </cell>
        </row>
        <row r="6195">
          <cell r="A6195" t="str">
            <v>19-06195</v>
          </cell>
          <cell r="B6195" t="str">
            <v>MELO FARMA</v>
          </cell>
          <cell r="C6195" t="str">
            <v>A</v>
          </cell>
          <cell r="D6195" t="str">
            <v>SI</v>
          </cell>
          <cell r="E6195" t="str">
            <v>HUGGIES ACTIVE SEC MEDIUM PACK 4</v>
          </cell>
          <cell r="F6195" t="str">
            <v>PANAL</v>
          </cell>
          <cell r="H6195" t="str">
            <v>HUGGIES</v>
          </cell>
          <cell r="I6195">
            <v>1.28</v>
          </cell>
        </row>
        <row r="6196">
          <cell r="A6196" t="str">
            <v>19-06196</v>
          </cell>
          <cell r="B6196" t="str">
            <v>MELO FARMA</v>
          </cell>
          <cell r="C6196" t="str">
            <v>A</v>
          </cell>
          <cell r="D6196" t="str">
            <v>SI</v>
          </cell>
          <cell r="E6196" t="str">
            <v>HUGGIES ACTIVE SEC X-GRANDE PACK 4</v>
          </cell>
          <cell r="F6196" t="str">
            <v>PANAL</v>
          </cell>
          <cell r="H6196" t="str">
            <v>HUGGIES</v>
          </cell>
          <cell r="I6196">
            <v>1.28</v>
          </cell>
        </row>
        <row r="6197">
          <cell r="A6197" t="str">
            <v>19-06197</v>
          </cell>
          <cell r="B6197" t="str">
            <v>MELO FARMA</v>
          </cell>
          <cell r="C6197" t="str">
            <v>A</v>
          </cell>
          <cell r="D6197" t="str">
            <v>SI</v>
          </cell>
          <cell r="E6197" t="str">
            <v>HUGGIES TOALLITAS HUMEDAS 16 UNIDADES</v>
          </cell>
          <cell r="F6197" t="str">
            <v>WIPES</v>
          </cell>
          <cell r="H6197" t="str">
            <v>HUGGIES</v>
          </cell>
          <cell r="I6197">
            <v>1.29</v>
          </cell>
        </row>
        <row r="6198">
          <cell r="A6198" t="str">
            <v>19-06198</v>
          </cell>
          <cell r="B6198" t="str">
            <v>MELO FARMA</v>
          </cell>
          <cell r="C6198" t="str">
            <v>A</v>
          </cell>
          <cell r="D6198" t="str">
            <v>SI</v>
          </cell>
          <cell r="E6198" t="str">
            <v>HUGGIES TOALLITAS HUMEDAS 48 UNIDADES</v>
          </cell>
          <cell r="F6198" t="str">
            <v>WIPES</v>
          </cell>
          <cell r="H6198" t="str">
            <v>HUGGIES</v>
          </cell>
          <cell r="I6198">
            <v>1.95</v>
          </cell>
        </row>
        <row r="6199">
          <cell r="A6199" t="str">
            <v>19-06199</v>
          </cell>
          <cell r="B6199" t="str">
            <v>CESAR ARROCHA</v>
          </cell>
          <cell r="C6199" t="str">
            <v>A</v>
          </cell>
          <cell r="D6199" t="str">
            <v>SI</v>
          </cell>
          <cell r="E6199" t="str">
            <v>BP-2426 BIC BOLIGRAFO CRISTAL NEEDLE NEGRO 3-PACK</v>
          </cell>
          <cell r="F6199" t="str">
            <v>BOLIGRAFO</v>
          </cell>
          <cell r="G6199" t="str">
            <v>BP-2426</v>
          </cell>
          <cell r="H6199" t="str">
            <v>BIC</v>
          </cell>
          <cell r="I6199">
            <v>0</v>
          </cell>
        </row>
        <row r="6200">
          <cell r="A6200" t="str">
            <v>19-06200</v>
          </cell>
          <cell r="B6200" t="str">
            <v>CESAR ARROCHA</v>
          </cell>
          <cell r="C6200" t="str">
            <v>A</v>
          </cell>
          <cell r="D6200" t="str">
            <v>SI</v>
          </cell>
          <cell r="E6200" t="str">
            <v>BP-2427 BIC BOLIGRAFO CRISTAL NEEDLE AZUL 3-PACK</v>
          </cell>
          <cell r="F6200" t="str">
            <v>BOLIGRAFO</v>
          </cell>
          <cell r="G6200" t="str">
            <v>BP-2427</v>
          </cell>
          <cell r="H6200" t="str">
            <v>BIC</v>
          </cell>
          <cell r="I6200">
            <v>0.6</v>
          </cell>
        </row>
        <row r="6201">
          <cell r="A6201" t="str">
            <v>19-06201</v>
          </cell>
          <cell r="B6201" t="str">
            <v>WEFORT LATAM</v>
          </cell>
          <cell r="C6201" t="str">
            <v>A</v>
          </cell>
          <cell r="D6201">
            <v>0</v>
          </cell>
          <cell r="E6201" t="str">
            <v>WA9312 HASBRO RUBIKS CUBE</v>
          </cell>
          <cell r="F6201" t="str">
            <v>JUGUETES</v>
          </cell>
          <cell r="G6201" t="str">
            <v>WA9312</v>
          </cell>
          <cell r="H6201" t="str">
            <v>HASBRO</v>
          </cell>
          <cell r="I6201">
            <v>9.32</v>
          </cell>
        </row>
        <row r="6202">
          <cell r="A6202" t="str">
            <v>19-06202</v>
          </cell>
          <cell r="B6202" t="str">
            <v>WEFORT LATAM</v>
          </cell>
          <cell r="C6202" t="str">
            <v>A</v>
          </cell>
          <cell r="D6202">
            <v>0</v>
          </cell>
          <cell r="E6202" t="str">
            <v>WB7962 HASBRO CLASSIC SIMON</v>
          </cell>
          <cell r="F6202" t="str">
            <v>JUGUETES</v>
          </cell>
          <cell r="G6202" t="str">
            <v>WB7962</v>
          </cell>
          <cell r="H6202" t="str">
            <v>HASBRO</v>
          </cell>
          <cell r="I6202">
            <v>17.5</v>
          </cell>
        </row>
        <row r="6203">
          <cell r="A6203" t="str">
            <v>19-06203</v>
          </cell>
          <cell r="B6203" t="str">
            <v>WEFORT LATAM</v>
          </cell>
          <cell r="C6203" t="str">
            <v>A</v>
          </cell>
          <cell r="D6203">
            <v>0</v>
          </cell>
          <cell r="E6203" t="str">
            <v>WC0544 HASBRO DISNEY PRINCESS FASHION REVEAL CINDERELLA</v>
          </cell>
          <cell r="F6203" t="str">
            <v>JUGUETES</v>
          </cell>
          <cell r="G6203" t="str">
            <v>WC0544</v>
          </cell>
          <cell r="H6203" t="str">
            <v>HASBRO</v>
          </cell>
          <cell r="I6203">
            <v>19.41</v>
          </cell>
        </row>
        <row r="6204">
          <cell r="A6204" t="str">
            <v>19-06204</v>
          </cell>
          <cell r="B6204" t="str">
            <v>WEFORT LATAM</v>
          </cell>
          <cell r="C6204" t="str">
            <v>A</v>
          </cell>
          <cell r="D6204">
            <v>0</v>
          </cell>
          <cell r="E6204" t="str">
            <v>WC0628 HASBRO TRANSFORMERS RID CRASH COMBINERS ASSORTED</v>
          </cell>
          <cell r="F6204" t="str">
            <v>JUGUETES</v>
          </cell>
          <cell r="G6204" t="str">
            <v>WC0628</v>
          </cell>
          <cell r="H6204" t="str">
            <v>HASBRO</v>
          </cell>
          <cell r="I6204">
            <v>14.26</v>
          </cell>
        </row>
        <row r="6205">
          <cell r="A6205" t="str">
            <v>19-06205</v>
          </cell>
          <cell r="B6205" t="str">
            <v>WEFORT LATAM</v>
          </cell>
          <cell r="C6205" t="str">
            <v>A</v>
          </cell>
          <cell r="D6205">
            <v>0</v>
          </cell>
          <cell r="E6205" t="str">
            <v>WC0693 HASBRO JENGA MINI</v>
          </cell>
          <cell r="F6205" t="str">
            <v>JUGUETES</v>
          </cell>
          <cell r="G6205" t="str">
            <v>WC0693</v>
          </cell>
          <cell r="H6205" t="str">
            <v>HASBRO</v>
          </cell>
          <cell r="I6205">
            <v>4.53</v>
          </cell>
        </row>
        <row r="6206">
          <cell r="A6206" t="str">
            <v>19-06206</v>
          </cell>
          <cell r="B6206" t="str">
            <v>WEFORT LATAM</v>
          </cell>
          <cell r="C6206" t="str">
            <v>A</v>
          </cell>
          <cell r="D6206">
            <v>0</v>
          </cell>
          <cell r="E6206" t="str">
            <v>WC1556 HASBRO RUBIKS 2X2 CUBE</v>
          </cell>
          <cell r="F6206" t="str">
            <v>JUGUETES</v>
          </cell>
          <cell r="G6206" t="str">
            <v>WC1556</v>
          </cell>
          <cell r="H6206" t="str">
            <v>HASBRO</v>
          </cell>
          <cell r="I6206">
            <v>7.2439999999999998</v>
          </cell>
        </row>
        <row r="6207">
          <cell r="A6207" t="str">
            <v>19-06207</v>
          </cell>
          <cell r="B6207" t="str">
            <v>WEFORT LATAM</v>
          </cell>
          <cell r="C6207" t="str">
            <v>A</v>
          </cell>
          <cell r="D6207">
            <v>0</v>
          </cell>
          <cell r="E6207" t="str">
            <v>WC1737 HASBRO LITTLE PET SHOP VALUE CHAIN ASSORTED</v>
          </cell>
          <cell r="F6207" t="str">
            <v>JUGUETES</v>
          </cell>
          <cell r="G6207" t="str">
            <v>WC1737</v>
          </cell>
          <cell r="H6207" t="str">
            <v>HASBRO</v>
          </cell>
          <cell r="I6207">
            <v>4.5199999999999996</v>
          </cell>
        </row>
        <row r="6208">
          <cell r="A6208" t="str">
            <v>19-06208</v>
          </cell>
          <cell r="B6208" t="str">
            <v>WEFORT LATAM</v>
          </cell>
          <cell r="C6208" t="str">
            <v>A</v>
          </cell>
          <cell r="D6208">
            <v>0</v>
          </cell>
          <cell r="E6208" t="str">
            <v>WE0602 HASBRO TRANSFORMERS GEN PRIME LEGENDS ASSORTED</v>
          </cell>
          <cell r="F6208" t="str">
            <v>JUGUETES</v>
          </cell>
          <cell r="G6208" t="str">
            <v>WE0602</v>
          </cell>
          <cell r="H6208" t="str">
            <v>HASBRO</v>
          </cell>
          <cell r="I6208">
            <v>9.81</v>
          </cell>
        </row>
        <row r="6209">
          <cell r="A6209" t="str">
            <v>19-06209</v>
          </cell>
          <cell r="B6209" t="str">
            <v>WEFORT LATAM</v>
          </cell>
          <cell r="C6209" t="str">
            <v>A</v>
          </cell>
          <cell r="D6209">
            <v>0</v>
          </cell>
          <cell r="E6209" t="str">
            <v>WGDG79 MATTEL BARBIE CRAYOLA RAINBOW DESIGN ASSORTED</v>
          </cell>
          <cell r="F6209" t="str">
            <v>JUGUETES</v>
          </cell>
          <cell r="G6209" t="str">
            <v>WGDG79</v>
          </cell>
          <cell r="H6209" t="str">
            <v>MATTEL</v>
          </cell>
          <cell r="I6209">
            <v>12.25</v>
          </cell>
        </row>
        <row r="6210">
          <cell r="A6210" t="str">
            <v>19-06210</v>
          </cell>
          <cell r="B6210" t="str">
            <v>WEFORT LATAM</v>
          </cell>
          <cell r="C6210" t="str">
            <v>A</v>
          </cell>
          <cell r="D6210">
            <v>0</v>
          </cell>
          <cell r="E6210" t="str">
            <v>WFJC84 MATTEL BARBIE HADA</v>
          </cell>
          <cell r="F6210" t="str">
            <v>JUGUETES</v>
          </cell>
          <cell r="G6210" t="str">
            <v>WFJC84</v>
          </cell>
          <cell r="H6210" t="str">
            <v>MATTEL</v>
          </cell>
          <cell r="I6210">
            <v>10.58</v>
          </cell>
        </row>
        <row r="6211">
          <cell r="A6211" t="str">
            <v>19-06211</v>
          </cell>
          <cell r="B6211" t="str">
            <v>WEFORT LATAM</v>
          </cell>
          <cell r="C6211" t="str">
            <v>A</v>
          </cell>
          <cell r="D6211">
            <v>0</v>
          </cell>
          <cell r="E6211" t="str">
            <v>WFJC94 MATTEL BARBIE PRINCESA</v>
          </cell>
          <cell r="F6211" t="str">
            <v>JUGUETES</v>
          </cell>
          <cell r="G6211" t="str">
            <v>WFJC94</v>
          </cell>
          <cell r="H6211" t="str">
            <v>MATTEL</v>
          </cell>
          <cell r="I6211">
            <v>10.58</v>
          </cell>
        </row>
        <row r="6212">
          <cell r="A6212" t="str">
            <v>19-06212</v>
          </cell>
          <cell r="B6212" t="str">
            <v>WEFORT LATAM</v>
          </cell>
          <cell r="C6212" t="str">
            <v>A</v>
          </cell>
          <cell r="D6212">
            <v>0</v>
          </cell>
          <cell r="E6212" t="str">
            <v>WFVT33 MATTEL BARBIE SIRENA</v>
          </cell>
          <cell r="F6212" t="str">
            <v>JUGUETES</v>
          </cell>
          <cell r="G6212" t="str">
            <v>WFVT33</v>
          </cell>
          <cell r="H6212" t="str">
            <v>MATTEL</v>
          </cell>
          <cell r="I6212">
            <v>10.58</v>
          </cell>
        </row>
        <row r="6213">
          <cell r="A6213" t="str">
            <v>19-06213</v>
          </cell>
          <cell r="B6213" t="str">
            <v>WEFORT LATAM</v>
          </cell>
          <cell r="C6213" t="str">
            <v>A</v>
          </cell>
          <cell r="D6213">
            <v>0</v>
          </cell>
          <cell r="E6213" t="str">
            <v>WDWJ33 MATTEL BARBIE CLUB CHELSEA SURTIDO</v>
          </cell>
          <cell r="F6213" t="str">
            <v>JUGUETES</v>
          </cell>
          <cell r="G6213" t="str">
            <v>WDWJ33</v>
          </cell>
          <cell r="H6213" t="str">
            <v>MATTEL</v>
          </cell>
          <cell r="I6213">
            <v>4.3600000000000003</v>
          </cell>
        </row>
        <row r="6214">
          <cell r="A6214" t="str">
            <v>19-06214</v>
          </cell>
          <cell r="B6214" t="str">
            <v>WEFORT LATAM</v>
          </cell>
          <cell r="C6214" t="str">
            <v>A</v>
          </cell>
          <cell r="D6214">
            <v>0</v>
          </cell>
          <cell r="E6214" t="str">
            <v>WFKD66 MATTEL HOT WHEELS THEMED DISNEY ASSORTED</v>
          </cell>
          <cell r="F6214" t="str">
            <v>JUGUETES</v>
          </cell>
          <cell r="G6214" t="str">
            <v>WFKD66</v>
          </cell>
          <cell r="H6214" t="str">
            <v>MATTEL</v>
          </cell>
          <cell r="I6214">
            <v>2.1800000000000002</v>
          </cell>
        </row>
        <row r="6215">
          <cell r="A6215" t="str">
            <v>19-06215</v>
          </cell>
          <cell r="B6215" t="str">
            <v>WEFORT LATAM</v>
          </cell>
          <cell r="C6215" t="str">
            <v>A</v>
          </cell>
          <cell r="D6215">
            <v>0</v>
          </cell>
          <cell r="E6215" t="str">
            <v>WFKF06 MATTEL HOT WHEELS THEMED FAST &amp; FURIOUS ASSORTED</v>
          </cell>
          <cell r="F6215" t="str">
            <v>JUGUETES</v>
          </cell>
          <cell r="G6215" t="str">
            <v>WFKF06</v>
          </cell>
          <cell r="H6215" t="str">
            <v>MATTEL</v>
          </cell>
          <cell r="I6215">
            <v>2.1800000000000002</v>
          </cell>
        </row>
        <row r="6216">
          <cell r="A6216" t="str">
            <v>19-06216</v>
          </cell>
          <cell r="B6216" t="str">
            <v>WEFORT LATAM</v>
          </cell>
          <cell r="C6216" t="str">
            <v>A</v>
          </cell>
          <cell r="D6216">
            <v>0</v>
          </cell>
          <cell r="E6216" t="str">
            <v>WFKV70 MATTEL HOT WHEELS THEMED 50TH ANNIVERSARY CAMARO ASSORTED</v>
          </cell>
          <cell r="F6216" t="str">
            <v>JUGUETES</v>
          </cell>
          <cell r="G6216" t="str">
            <v>WFKV70</v>
          </cell>
          <cell r="H6216" t="str">
            <v>MATTEL</v>
          </cell>
          <cell r="I6216">
            <v>2.1800000000000002</v>
          </cell>
        </row>
        <row r="6217">
          <cell r="A6217" t="str">
            <v>19-06217</v>
          </cell>
          <cell r="B6217" t="str">
            <v>WEFORT LATAM</v>
          </cell>
          <cell r="C6217" t="str">
            <v>A</v>
          </cell>
          <cell r="D6217">
            <v>0</v>
          </cell>
          <cell r="E6217" t="str">
            <v>WFRN33 MATTEL HOT WHEELS THEMED 50TH ANNIVERSARY BLACK &amp; GOLD ASSORTED</v>
          </cell>
          <cell r="F6217" t="str">
            <v>JUGUETES</v>
          </cell>
          <cell r="G6217" t="str">
            <v>WFRN33</v>
          </cell>
          <cell r="H6217" t="str">
            <v>MATTEL</v>
          </cell>
          <cell r="I6217">
            <v>2.1800000000000002</v>
          </cell>
        </row>
        <row r="6218">
          <cell r="A6218" t="str">
            <v>19-06218</v>
          </cell>
          <cell r="B6218" t="str">
            <v>WEFORT LATAM</v>
          </cell>
          <cell r="C6218" t="str">
            <v>A</v>
          </cell>
          <cell r="D6218">
            <v>0</v>
          </cell>
          <cell r="E6218" t="str">
            <v>WFLF35 MATTEL HOT WHEELS PREMIUM 50TH ANNIVERSARY FAV ASST</v>
          </cell>
          <cell r="F6218" t="str">
            <v>JUGUETES</v>
          </cell>
          <cell r="G6218" t="str">
            <v>WFLF35</v>
          </cell>
          <cell r="H6218" t="str">
            <v>MATTEL</v>
          </cell>
          <cell r="I6218">
            <v>5.79</v>
          </cell>
        </row>
        <row r="6219">
          <cell r="A6219" t="str">
            <v>19-06219</v>
          </cell>
          <cell r="B6219" t="str">
            <v>WEFORT LATAM</v>
          </cell>
          <cell r="C6219" t="str">
            <v>A</v>
          </cell>
          <cell r="D6219">
            <v>0</v>
          </cell>
          <cell r="E6219" t="str">
            <v>WFKD48 MATTEL HOT WHEELS AVENGERS 3 ASSORTED</v>
          </cell>
          <cell r="F6219" t="str">
            <v>JUGUETES</v>
          </cell>
          <cell r="G6219" t="str">
            <v>WFKD48</v>
          </cell>
          <cell r="H6219" t="str">
            <v>MATTEL</v>
          </cell>
          <cell r="I6219">
            <v>2.1800000000000002</v>
          </cell>
        </row>
        <row r="6220">
          <cell r="A6220" t="str">
            <v>19-06220</v>
          </cell>
          <cell r="B6220" t="str">
            <v>WEFORT LATAM</v>
          </cell>
          <cell r="C6220" t="str">
            <v>A</v>
          </cell>
          <cell r="D6220">
            <v>0</v>
          </cell>
          <cell r="E6220" t="str">
            <v>WFKF66 MATTEL HOT WHEELS THEMED SPIDER-MAN ANIMATED MOVIE ASSORTED</v>
          </cell>
          <cell r="F6220" t="str">
            <v>JUGUETES</v>
          </cell>
          <cell r="G6220" t="str">
            <v>WFKF66</v>
          </cell>
          <cell r="H6220" t="str">
            <v>MATTEL</v>
          </cell>
          <cell r="I6220">
            <v>2.1800000000000002</v>
          </cell>
        </row>
        <row r="6221">
          <cell r="A6221" t="str">
            <v>19-06221</v>
          </cell>
          <cell r="B6221" t="str">
            <v>WEFORT LATAM</v>
          </cell>
          <cell r="C6221" t="str">
            <v>A</v>
          </cell>
          <cell r="D6221">
            <v>0</v>
          </cell>
          <cell r="E6221" t="str">
            <v>WFJF77 MATTEL HOT WHEELS STAR WARS HS MOVIE CHARACTER CAR/CARSHIP ASSORTED</v>
          </cell>
          <cell r="F6221" t="str">
            <v>JUGUETES</v>
          </cell>
          <cell r="G6221" t="str">
            <v>WFJF77</v>
          </cell>
          <cell r="H6221" t="str">
            <v>MATTEL</v>
          </cell>
          <cell r="I6221">
            <v>6.05</v>
          </cell>
        </row>
        <row r="6222">
          <cell r="A6222" t="str">
            <v>19-06222</v>
          </cell>
          <cell r="B6222" t="str">
            <v>WEFORT LATAM</v>
          </cell>
          <cell r="C6222" t="str">
            <v>A</v>
          </cell>
          <cell r="D6222">
            <v>0</v>
          </cell>
          <cell r="E6222" t="str">
            <v>WFKF36 MATTEL HOT WHEELS THEMED BATMAN VEHICLES ASSORTED</v>
          </cell>
          <cell r="F6222" t="str">
            <v>JUGUETES</v>
          </cell>
          <cell r="G6222" t="str">
            <v>WFKF36</v>
          </cell>
          <cell r="H6222" t="str">
            <v>MATTEL</v>
          </cell>
          <cell r="I6222">
            <v>2.1800000000000002</v>
          </cell>
        </row>
        <row r="6223">
          <cell r="A6223" t="str">
            <v>19-06223</v>
          </cell>
          <cell r="B6223" t="str">
            <v>WEFORT LATAM</v>
          </cell>
          <cell r="C6223" t="str">
            <v>A</v>
          </cell>
          <cell r="D6223">
            <v>0</v>
          </cell>
          <cell r="E6223" t="str">
            <v>WDKJ66 MATTEL HOT WHEELS DC UNIVERSE SURTIDO AUTOS PERSONIFICADOS</v>
          </cell>
          <cell r="F6223" t="str">
            <v>JUGUETES</v>
          </cell>
          <cell r="G6223" t="str">
            <v>WDKJ66</v>
          </cell>
          <cell r="H6223" t="str">
            <v>MATTEL</v>
          </cell>
          <cell r="I6223">
            <v>6.05</v>
          </cell>
        </row>
        <row r="6224">
          <cell r="A6224" t="str">
            <v>19-06224</v>
          </cell>
          <cell r="B6224" t="str">
            <v>WEFORT LATAM</v>
          </cell>
          <cell r="C6224" t="str">
            <v>A</v>
          </cell>
          <cell r="D6224">
            <v>0</v>
          </cell>
          <cell r="E6224" t="str">
            <v>WFHF83 MATTEL FISHER PRICE MINIMONSTRUOS</v>
          </cell>
          <cell r="F6224" t="str">
            <v>JUGUETES</v>
          </cell>
          <cell r="G6224" t="str">
            <v>WFHF83</v>
          </cell>
          <cell r="H6224" t="str">
            <v>MATTEL</v>
          </cell>
          <cell r="I6224">
            <v>3.21</v>
          </cell>
        </row>
        <row r="6225">
          <cell r="A6225" t="str">
            <v>19-06225</v>
          </cell>
          <cell r="B6225" t="str">
            <v>WEFORT LATAM</v>
          </cell>
          <cell r="C6225" t="str">
            <v>A</v>
          </cell>
          <cell r="D6225">
            <v>0</v>
          </cell>
          <cell r="E6225" t="str">
            <v>WY6979 MATTEL FISHER PRICE TELEFONO SONIDOS DIVERTIDOS</v>
          </cell>
          <cell r="F6225" t="str">
            <v>JUGUETES</v>
          </cell>
          <cell r="G6225" t="str">
            <v>WY6979</v>
          </cell>
          <cell r="H6225" t="str">
            <v>MATTEL</v>
          </cell>
          <cell r="I6225">
            <v>6.44</v>
          </cell>
        </row>
        <row r="6226">
          <cell r="A6226" t="str">
            <v>19-06226</v>
          </cell>
          <cell r="B6226" t="str">
            <v>WEFORT LATAM</v>
          </cell>
          <cell r="C6226" t="str">
            <v>A</v>
          </cell>
          <cell r="D6226">
            <v>0</v>
          </cell>
          <cell r="E6226" t="str">
            <v>WW4121 MATTEL FISHER PRICE GO BABY GO! RANA SONIDOS DIVERTIDOS</v>
          </cell>
          <cell r="F6226" t="str">
            <v>JUGUETES</v>
          </cell>
          <cell r="G6226" t="str">
            <v>WW4121</v>
          </cell>
          <cell r="H6226" t="str">
            <v>MATTEL</v>
          </cell>
          <cell r="I6226">
            <v>9.02</v>
          </cell>
        </row>
        <row r="6227">
          <cell r="A6227" t="str">
            <v>19-06227</v>
          </cell>
          <cell r="B6227" t="str">
            <v>WEFORT LATAM</v>
          </cell>
          <cell r="C6227" t="str">
            <v>A</v>
          </cell>
          <cell r="D6227">
            <v>0</v>
          </cell>
          <cell r="E6227" t="str">
            <v>WDRG16 MATTEL FISHER PRICE MONSTRUO PRESIONA Y PERSIGUE</v>
          </cell>
          <cell r="F6227" t="str">
            <v>JUGUETES</v>
          </cell>
          <cell r="G6227" t="str">
            <v>WDRG16</v>
          </cell>
          <cell r="H6227" t="str">
            <v>MATTEL</v>
          </cell>
          <cell r="I6227">
            <v>10.31</v>
          </cell>
        </row>
        <row r="6228">
          <cell r="A6228" t="str">
            <v>19-06228</v>
          </cell>
          <cell r="B6228" t="str">
            <v>WEFORT LATAM</v>
          </cell>
          <cell r="C6228" t="str">
            <v>A</v>
          </cell>
          <cell r="D6228">
            <v>0</v>
          </cell>
          <cell r="E6228" t="str">
            <v>WFHP38 MATTEL FISHER PRICE SURTIDO BI BOT Y BEL BOT BAILA CONMIGO</v>
          </cell>
          <cell r="F6228" t="str">
            <v>JUGUETES</v>
          </cell>
          <cell r="G6228" t="str">
            <v>WFHP38</v>
          </cell>
          <cell r="H6228" t="str">
            <v>MATTEL</v>
          </cell>
          <cell r="I6228">
            <v>15.47</v>
          </cell>
        </row>
        <row r="6229">
          <cell r="A6229" t="str">
            <v>19-06229</v>
          </cell>
          <cell r="B6229" t="str">
            <v>WEFORT LATAM</v>
          </cell>
          <cell r="C6229" t="str">
            <v>A</v>
          </cell>
          <cell r="D6229">
            <v>0</v>
          </cell>
          <cell r="E6229" t="str">
            <v>WFJB04 MATTEL FISHER PRICE MI PRIMER MONSTRUO</v>
          </cell>
          <cell r="F6229" t="str">
            <v>JUGUETES</v>
          </cell>
          <cell r="G6229" t="str">
            <v>WFJB04</v>
          </cell>
          <cell r="H6229" t="str">
            <v>MATTEL</v>
          </cell>
          <cell r="I6229">
            <v>16.760000000000002</v>
          </cell>
        </row>
        <row r="6230">
          <cell r="A6230" t="str">
            <v>19-06230</v>
          </cell>
          <cell r="B6230" t="str">
            <v>WEFORT LATAM</v>
          </cell>
          <cell r="C6230" t="str">
            <v>A</v>
          </cell>
          <cell r="D6230">
            <v>0</v>
          </cell>
          <cell r="E6230" t="str">
            <v>WDLH83 MATTEL FISHER PRICE RIE Y APRENDE CONTROL REMOTO DE HERMANITA</v>
          </cell>
          <cell r="F6230" t="str">
            <v>JUGUETES</v>
          </cell>
          <cell r="G6230" t="str">
            <v>WDLH83</v>
          </cell>
          <cell r="H6230" t="str">
            <v>MATTEL</v>
          </cell>
          <cell r="I6230">
            <v>9.02</v>
          </cell>
        </row>
        <row r="6231">
          <cell r="A6231" t="str">
            <v>19-06231</v>
          </cell>
          <cell r="B6231" t="str">
            <v>WEFORT LATAM</v>
          </cell>
          <cell r="C6231" t="str">
            <v>A</v>
          </cell>
          <cell r="D6231">
            <v>0</v>
          </cell>
          <cell r="E6231" t="str">
            <v>WFDV64 MATTEL FISHER PRICE RIE Y APRENDE PERRITO VÍSTETE CONMIGO</v>
          </cell>
          <cell r="F6231" t="str">
            <v>JUGUETES</v>
          </cell>
          <cell r="G6231" t="str">
            <v>WFDV64</v>
          </cell>
          <cell r="H6231" t="str">
            <v>MATTEL</v>
          </cell>
          <cell r="I6231">
            <v>18.05</v>
          </cell>
        </row>
        <row r="6232">
          <cell r="A6232" t="str">
            <v>19-06232</v>
          </cell>
          <cell r="B6232" t="str">
            <v>WEFORT LATAM</v>
          </cell>
          <cell r="C6232" t="str">
            <v>A</v>
          </cell>
          <cell r="D6232">
            <v>0</v>
          </cell>
          <cell r="E6232" t="str">
            <v>WFDV65 MATTEL FISHER PRICE RIE Y APRENDE HERMANITA VÍSTETE CONMIGO</v>
          </cell>
          <cell r="F6232" t="str">
            <v>JUGUETES</v>
          </cell>
          <cell r="G6232" t="str">
            <v>WFDV65</v>
          </cell>
          <cell r="H6232" t="str">
            <v>MATTEL</v>
          </cell>
          <cell r="I6232">
            <v>18.05</v>
          </cell>
        </row>
        <row r="6233">
          <cell r="A6233" t="str">
            <v>19-06233</v>
          </cell>
          <cell r="B6233" t="str">
            <v>WEFORT LATAM</v>
          </cell>
          <cell r="C6233" t="str">
            <v>A</v>
          </cell>
          <cell r="D6233">
            <v>0</v>
          </cell>
          <cell r="E6233" t="str">
            <v>WG6677 MATTEL FISHER PRICE MORDEDERAS DE ANILLO SURTIDO</v>
          </cell>
          <cell r="F6233" t="str">
            <v>JUGUETES</v>
          </cell>
          <cell r="G6233" t="str">
            <v>WG6677</v>
          </cell>
          <cell r="H6233" t="str">
            <v>MATTEL</v>
          </cell>
          <cell r="I6233">
            <v>2.0499999999999998</v>
          </cell>
        </row>
        <row r="6234">
          <cell r="A6234" t="str">
            <v>19-06234</v>
          </cell>
          <cell r="B6234" t="str">
            <v>WEFORT LATAM</v>
          </cell>
          <cell r="C6234" t="str">
            <v>A</v>
          </cell>
          <cell r="D6234">
            <v>0</v>
          </cell>
          <cell r="E6234" t="str">
            <v>WDYF90 MATTEL FISHER PRICE SONAJAS Y MORDEDERAS AMIGUITOS DE LA SELVA SURTIDO</v>
          </cell>
          <cell r="F6234" t="str">
            <v>JUGUETES</v>
          </cell>
          <cell r="G6234" t="str">
            <v>WDYF90</v>
          </cell>
          <cell r="H6234" t="str">
            <v>MATTEL</v>
          </cell>
          <cell r="I6234">
            <v>5.15</v>
          </cell>
        </row>
        <row r="6235">
          <cell r="A6235" t="str">
            <v>19-06235</v>
          </cell>
          <cell r="B6235" t="str">
            <v>WEFORT LATAM</v>
          </cell>
          <cell r="C6235" t="str">
            <v>A</v>
          </cell>
          <cell r="D6235">
            <v>0</v>
          </cell>
          <cell r="E6235" t="str">
            <v>WFJG62 MATTEL DC SUPER HERO GIRLS ENTRENAMIENTO SURTIDO</v>
          </cell>
          <cell r="F6235" t="str">
            <v>JUGUETES</v>
          </cell>
          <cell r="G6235" t="str">
            <v>WFJG62</v>
          </cell>
          <cell r="H6235" t="str">
            <v>MATTEL</v>
          </cell>
          <cell r="I6235">
            <v>9.02</v>
          </cell>
        </row>
        <row r="6236">
          <cell r="A6236" t="str">
            <v>19-06236</v>
          </cell>
          <cell r="B6236" t="str">
            <v>WEFORT LATAM</v>
          </cell>
          <cell r="C6236" t="str">
            <v>A</v>
          </cell>
          <cell r="D6236">
            <v>0</v>
          </cell>
          <cell r="E6236" t="str">
            <v>WDLT61 MATTEL DC SUPER HERO GIRLS WONDER WOMAN</v>
          </cell>
          <cell r="F6236" t="str">
            <v>JUGUETES</v>
          </cell>
          <cell r="G6236" t="str">
            <v>WDLT61</v>
          </cell>
          <cell r="H6236" t="str">
            <v>MATTEL</v>
          </cell>
          <cell r="I6236">
            <v>20.63</v>
          </cell>
        </row>
        <row r="6237">
          <cell r="A6237" t="str">
            <v>19-06237</v>
          </cell>
          <cell r="B6237" t="str">
            <v>WEFORT LATAM</v>
          </cell>
          <cell r="C6237" t="str">
            <v>A</v>
          </cell>
          <cell r="D6237">
            <v>0</v>
          </cell>
          <cell r="E6237" t="str">
            <v>WDWC21 MATTEL POLLY POCKET! MUÑECAS SURTIDO</v>
          </cell>
          <cell r="F6237" t="str">
            <v>JUGUETES</v>
          </cell>
          <cell r="G6237" t="str">
            <v>WDWC21</v>
          </cell>
          <cell r="H6237" t="str">
            <v>MATTEL</v>
          </cell>
          <cell r="I6237">
            <v>3.47</v>
          </cell>
        </row>
        <row r="6238">
          <cell r="A6238" t="str">
            <v>19-06238</v>
          </cell>
          <cell r="B6238" t="str">
            <v>WEFORT LATAM</v>
          </cell>
          <cell r="C6238" t="str">
            <v>A</v>
          </cell>
          <cell r="D6238">
            <v>0</v>
          </cell>
          <cell r="E6238" t="str">
            <v>WDVT74 MATTEL MYMINIMIXIEQ'S PACK DE 2</v>
          </cell>
          <cell r="F6238" t="str">
            <v>JUGUETES</v>
          </cell>
          <cell r="G6238" t="str">
            <v>WDVT74</v>
          </cell>
          <cell r="H6238" t="str">
            <v>MATTEL</v>
          </cell>
          <cell r="I6238">
            <v>2.97</v>
          </cell>
        </row>
        <row r="6239">
          <cell r="A6239" t="str">
            <v>19-06239</v>
          </cell>
          <cell r="B6239" t="str">
            <v>WEFORT LATAM</v>
          </cell>
          <cell r="C6239" t="str">
            <v>A</v>
          </cell>
          <cell r="D6239">
            <v>0</v>
          </cell>
          <cell r="E6239" t="str">
            <v>WDVV01 MATTEL MYMINIMIXIEQ'S SURTIDO PACK DE 4</v>
          </cell>
          <cell r="F6239" t="str">
            <v>JUGUETES</v>
          </cell>
          <cell r="G6239" t="str">
            <v>WDVV01</v>
          </cell>
          <cell r="H6239" t="str">
            <v>MATTEL</v>
          </cell>
          <cell r="I6239">
            <v>7.1</v>
          </cell>
        </row>
        <row r="6240">
          <cell r="A6240" t="str">
            <v>19-06240</v>
          </cell>
          <cell r="B6240" t="str">
            <v>WEFORT LATAM</v>
          </cell>
          <cell r="C6240" t="str">
            <v>A</v>
          </cell>
          <cell r="D6240">
            <v>0</v>
          </cell>
          <cell r="E6240" t="str">
            <v>WDXD63 MATTEL MYMINIMIXIEQ'S SURTIDO PACK DE MODAS</v>
          </cell>
          <cell r="F6240" t="str">
            <v>JUGUETES</v>
          </cell>
          <cell r="G6240" t="str">
            <v>WDXD63</v>
          </cell>
          <cell r="H6240" t="str">
            <v>MATTEL</v>
          </cell>
          <cell r="I6240">
            <v>14.18</v>
          </cell>
        </row>
        <row r="6241">
          <cell r="A6241" t="str">
            <v>19-06241</v>
          </cell>
          <cell r="B6241" t="str">
            <v>WEFORT LATAM</v>
          </cell>
          <cell r="C6241" t="str">
            <v>A</v>
          </cell>
          <cell r="D6241">
            <v>0</v>
          </cell>
          <cell r="E6241" t="str">
            <v>WDXD59 MATTEL MYMINIMIXIEQ'S ESTUCHE PORTÁTIL</v>
          </cell>
          <cell r="F6241" t="str">
            <v>JUGUETES</v>
          </cell>
          <cell r="G6241" t="str">
            <v>WDXD59</v>
          </cell>
          <cell r="H6241" t="str">
            <v>MATTEL</v>
          </cell>
          <cell r="I6241">
            <v>14.18</v>
          </cell>
        </row>
        <row r="6242">
          <cell r="A6242" t="str">
            <v>19-06242</v>
          </cell>
          <cell r="B6242" t="str">
            <v>WEFORT LATAM</v>
          </cell>
          <cell r="C6242" t="str">
            <v>A</v>
          </cell>
          <cell r="D6242">
            <v>0</v>
          </cell>
          <cell r="E6242" t="str">
            <v>WDVH87 MATTEL ENCHANTIMALS SURTIDO MUÑECAS</v>
          </cell>
          <cell r="F6242" t="str">
            <v>JUGUETES</v>
          </cell>
          <cell r="G6242" t="str">
            <v>WDVH87</v>
          </cell>
          <cell r="H6242" t="str">
            <v>MATTEL</v>
          </cell>
          <cell r="I6242">
            <v>6.57</v>
          </cell>
        </row>
        <row r="6243">
          <cell r="A6243" t="str">
            <v>19-06243</v>
          </cell>
          <cell r="B6243" t="str">
            <v>WEFORT LATAM</v>
          </cell>
          <cell r="C6243" t="str">
            <v>A</v>
          </cell>
          <cell r="D6243">
            <v>0</v>
          </cell>
          <cell r="E6243" t="str">
            <v>WFNH22 MATTEL ENCHANTIMALS VARIETY DOLL + ANIMAL ASSORTED</v>
          </cell>
          <cell r="F6243" t="str">
            <v>JUGUETES</v>
          </cell>
          <cell r="G6243" t="str">
            <v>WFNH22</v>
          </cell>
          <cell r="H6243" t="str">
            <v>MATTEL</v>
          </cell>
          <cell r="I6243">
            <v>6.57</v>
          </cell>
        </row>
        <row r="6244">
          <cell r="A6244" t="str">
            <v>19-06244</v>
          </cell>
          <cell r="B6244" t="str">
            <v>WEFORT LATAM</v>
          </cell>
          <cell r="C6244" t="str">
            <v>A</v>
          </cell>
          <cell r="D6244">
            <v>0</v>
          </cell>
          <cell r="E6244" t="str">
            <v>WDRD00 MATTEL GAMES UNO SUPER MARIO</v>
          </cell>
          <cell r="F6244" t="str">
            <v>JUGUETES</v>
          </cell>
          <cell r="G6244" t="str">
            <v>WDRD00</v>
          </cell>
          <cell r="H6244" t="str">
            <v>MATTEL</v>
          </cell>
          <cell r="I6244">
            <v>5.15</v>
          </cell>
        </row>
        <row r="6245">
          <cell r="A6245" t="str">
            <v>19-06245</v>
          </cell>
          <cell r="B6245" t="str">
            <v>WEFORT LATAM</v>
          </cell>
          <cell r="C6245" t="str">
            <v>A</v>
          </cell>
          <cell r="D6245">
            <v>0</v>
          </cell>
          <cell r="E6245" t="str">
            <v>WFLK66 MATTEL GAMES UNO JURRASIC WORLD</v>
          </cell>
          <cell r="F6245" t="str">
            <v>JUGUETES</v>
          </cell>
          <cell r="G6245" t="str">
            <v>WFLK66</v>
          </cell>
          <cell r="H6245" t="str">
            <v>MATTEL</v>
          </cell>
          <cell r="I6245">
            <v>5.15</v>
          </cell>
        </row>
        <row r="6246">
          <cell r="A6246" t="str">
            <v>19-06246</v>
          </cell>
          <cell r="B6246" t="str">
            <v>WEFORT LATAM</v>
          </cell>
          <cell r="C6246" t="str">
            <v>A</v>
          </cell>
          <cell r="D6246">
            <v>0</v>
          </cell>
          <cell r="E6246" t="str">
            <v>WFMW90 MATTEL JURASSIC WORLD VEHÍCULOS DE METAL SURTIDO</v>
          </cell>
          <cell r="F6246" t="str">
            <v>JUGUETES</v>
          </cell>
          <cell r="G6246" t="str">
            <v>WFMW90</v>
          </cell>
          <cell r="H6246" t="str">
            <v>MATTEL</v>
          </cell>
          <cell r="I6246">
            <v>1.54</v>
          </cell>
        </row>
        <row r="6247">
          <cell r="A6247" t="str">
            <v>19-06247</v>
          </cell>
          <cell r="B6247" t="str">
            <v>WEFORT LATAM</v>
          </cell>
          <cell r="C6247" t="str">
            <v>A</v>
          </cell>
          <cell r="D6247">
            <v>0</v>
          </cell>
          <cell r="E6247" t="str">
            <v>WFKL39 MATTEL CARS MINI CORREDORES</v>
          </cell>
          <cell r="F6247" t="str">
            <v>JUGUETES</v>
          </cell>
          <cell r="G6247" t="str">
            <v>WFKL39</v>
          </cell>
          <cell r="H6247" t="str">
            <v>MATTEL</v>
          </cell>
          <cell r="I6247">
            <v>1.92</v>
          </cell>
        </row>
        <row r="6248">
          <cell r="A6248" t="str">
            <v>19-06248</v>
          </cell>
          <cell r="B6248" t="str">
            <v>WEFORT LATAM</v>
          </cell>
          <cell r="C6248" t="str">
            <v>A</v>
          </cell>
          <cell r="D6248">
            <v>0</v>
          </cell>
          <cell r="E6248" t="str">
            <v>WFFR70 MATTEL FISHER PRICE MICKEY VEHÍCULOS BÁSICOS SURTIDO</v>
          </cell>
          <cell r="F6248" t="str">
            <v>JUGUETES</v>
          </cell>
          <cell r="G6248" t="str">
            <v>WFFR70</v>
          </cell>
          <cell r="H6248" t="str">
            <v>MATTEL</v>
          </cell>
          <cell r="I6248">
            <v>4.8899999999999997</v>
          </cell>
        </row>
        <row r="6249">
          <cell r="A6249" t="str">
            <v>19-06249</v>
          </cell>
          <cell r="B6249" t="str">
            <v>WEFORT LATAM</v>
          </cell>
          <cell r="C6249" t="str">
            <v>A</v>
          </cell>
          <cell r="D6249">
            <v>0</v>
          </cell>
          <cell r="E6249" t="str">
            <v>WFJJ23 MATTEL FISHER PRICE DISNEY FIGURAS DE CARRERAS</v>
          </cell>
          <cell r="F6249" t="str">
            <v>JUGUETES</v>
          </cell>
          <cell r="G6249" t="str">
            <v>WFJJ23</v>
          </cell>
          <cell r="H6249" t="str">
            <v>MATTEL</v>
          </cell>
          <cell r="I6249">
            <v>6.44</v>
          </cell>
        </row>
        <row r="6250">
          <cell r="A6250" t="str">
            <v>19-06250</v>
          </cell>
          <cell r="B6250" t="str">
            <v>WEFORT LATAM</v>
          </cell>
          <cell r="C6250" t="str">
            <v>A</v>
          </cell>
          <cell r="D6250">
            <v>0</v>
          </cell>
          <cell r="E6250" t="str">
            <v>WDVP66 MATTEL FISHER PRICE DISNEY FIGURAS BÁSICAS SURTIDO</v>
          </cell>
          <cell r="F6250" t="str">
            <v>JUGUETES</v>
          </cell>
          <cell r="G6250" t="str">
            <v>WDVP66</v>
          </cell>
          <cell r="H6250" t="str">
            <v>MATTEL</v>
          </cell>
          <cell r="I6250">
            <v>10.31</v>
          </cell>
        </row>
        <row r="6251">
          <cell r="A6251" t="str">
            <v>19-06251</v>
          </cell>
          <cell r="B6251" t="str">
            <v>WEFORT LATAM</v>
          </cell>
          <cell r="C6251" t="str">
            <v>A</v>
          </cell>
          <cell r="D6251">
            <v>0</v>
          </cell>
          <cell r="E6251" t="str">
            <v>WFFR66 MATTEL FISHER PRICE MICKEY VEHÍCULOS DE VELOCIDAD SURTIDO</v>
          </cell>
          <cell r="F6251" t="str">
            <v>JUGUETES</v>
          </cell>
          <cell r="G6251" t="str">
            <v>WFFR66</v>
          </cell>
          <cell r="H6251" t="str">
            <v>MATTEL</v>
          </cell>
          <cell r="I6251">
            <v>7.47</v>
          </cell>
        </row>
        <row r="6252">
          <cell r="A6252" t="str">
            <v>19-06252</v>
          </cell>
          <cell r="B6252" t="str">
            <v>WEFORT LATAM</v>
          </cell>
          <cell r="C6252" t="str">
            <v>A</v>
          </cell>
          <cell r="D6252">
            <v>0</v>
          </cell>
          <cell r="E6252" t="str">
            <v>WDTR56 MATTEL FISHER PRICE MINNIE MOUSE FIGURAS BÁSICAS SURTIDO</v>
          </cell>
          <cell r="F6252" t="str">
            <v>JUGUETES</v>
          </cell>
          <cell r="G6252" t="str">
            <v>WDTR56</v>
          </cell>
          <cell r="H6252" t="str">
            <v>MATTEL</v>
          </cell>
          <cell r="I6252">
            <v>9.02</v>
          </cell>
        </row>
        <row r="6253">
          <cell r="A6253" t="str">
            <v>19-06253</v>
          </cell>
          <cell r="B6253" t="str">
            <v>WEFORT LATAM</v>
          </cell>
          <cell r="C6253" t="str">
            <v>A</v>
          </cell>
          <cell r="D6253">
            <v>0</v>
          </cell>
          <cell r="E6253" t="str">
            <v>WFFX34 MATTEL DC COMICS JLA FIGURAS ARTICULADAS 12"</v>
          </cell>
          <cell r="F6253" t="str">
            <v>JUGUETES</v>
          </cell>
          <cell r="G6253" t="str">
            <v>WFFX34</v>
          </cell>
          <cell r="H6253" t="str">
            <v>MATTEL</v>
          </cell>
          <cell r="I6253">
            <v>7.73</v>
          </cell>
        </row>
        <row r="6254">
          <cell r="A6254" t="str">
            <v>19-06254</v>
          </cell>
          <cell r="B6254" t="str">
            <v>WEFORT LATAM</v>
          </cell>
          <cell r="C6254" t="str">
            <v>A</v>
          </cell>
          <cell r="D6254">
            <v>0</v>
          </cell>
          <cell r="E6254" t="str">
            <v>WFDK51 MATTEL DC COMICS BATMAN FIGURAS DE 6" SURTIDO</v>
          </cell>
          <cell r="F6254" t="str">
            <v>JUGUETES</v>
          </cell>
          <cell r="G6254" t="str">
            <v>WFDK51</v>
          </cell>
          <cell r="H6254" t="str">
            <v>MATTEL</v>
          </cell>
          <cell r="I6254">
            <v>3.86</v>
          </cell>
        </row>
        <row r="6255">
          <cell r="A6255" t="str">
            <v>19-06255</v>
          </cell>
          <cell r="B6255" t="str">
            <v>WEFORT LATAM</v>
          </cell>
          <cell r="C6255" t="str">
            <v>A</v>
          </cell>
          <cell r="D6255">
            <v>0</v>
          </cell>
          <cell r="E6255" t="str">
            <v>WFXF90 MATTEL AQUAMAN 12" FIGURAS ASSORTED</v>
          </cell>
          <cell r="F6255" t="str">
            <v>JUGUETES</v>
          </cell>
          <cell r="G6255" t="str">
            <v>WFXF90</v>
          </cell>
          <cell r="H6255" t="str">
            <v>MATTEL</v>
          </cell>
          <cell r="I6255">
            <v>7.73</v>
          </cell>
        </row>
        <row r="6256">
          <cell r="A6256" t="str">
            <v>19-06256</v>
          </cell>
          <cell r="B6256" t="str">
            <v>WEFORT LATAM</v>
          </cell>
          <cell r="C6256" t="str">
            <v>A</v>
          </cell>
          <cell r="D6256">
            <v>0</v>
          </cell>
          <cell r="E6256" t="str">
            <v>WFPF11 MATTEL JURASSIC WORLD ATTACK PACK ASSORTED</v>
          </cell>
          <cell r="F6256" t="str">
            <v>JUGUETES</v>
          </cell>
          <cell r="G6256" t="str">
            <v>WFPF11</v>
          </cell>
          <cell r="H6256" t="str">
            <v>MATTEL</v>
          </cell>
          <cell r="I6256">
            <v>9.02</v>
          </cell>
        </row>
        <row r="6257">
          <cell r="A6257" t="str">
            <v>19-06257</v>
          </cell>
          <cell r="B6257" t="str">
            <v>WEFORT LATAM</v>
          </cell>
          <cell r="C6257" t="str">
            <v>A</v>
          </cell>
          <cell r="D6257">
            <v>0</v>
          </cell>
          <cell r="E6257" t="str">
            <v>WFMY87 MATTEL JURASSIC WORLD FIGURA BÁSICA 12"</v>
          </cell>
          <cell r="F6257" t="str">
            <v>JUGUETES</v>
          </cell>
          <cell r="G6257" t="str">
            <v>WFMY87</v>
          </cell>
          <cell r="H6257" t="str">
            <v>MATTEL</v>
          </cell>
          <cell r="I6257">
            <v>7.73</v>
          </cell>
        </row>
        <row r="6258">
          <cell r="A6258" t="str">
            <v>19-06258</v>
          </cell>
          <cell r="B6258" t="str">
            <v>WEFORT LATAM</v>
          </cell>
          <cell r="C6258" t="str">
            <v>A</v>
          </cell>
          <cell r="D6258">
            <v>0</v>
          </cell>
          <cell r="E6258" t="str">
            <v>WFVG81 MATTEL JURASSIC WORLD MINI DINOS SORPRESA SURTIDO</v>
          </cell>
          <cell r="F6258" t="str">
            <v>JUGUETES</v>
          </cell>
          <cell r="G6258" t="str">
            <v>WFVG81</v>
          </cell>
          <cell r="H6258" t="str">
            <v>MATTEL</v>
          </cell>
          <cell r="I6258">
            <v>2.57</v>
          </cell>
        </row>
        <row r="6259">
          <cell r="A6259" t="str">
            <v>19-06259</v>
          </cell>
          <cell r="B6259" t="str">
            <v>WEFORT LATAM</v>
          </cell>
          <cell r="C6259" t="str">
            <v>A</v>
          </cell>
          <cell r="D6259">
            <v>0</v>
          </cell>
          <cell r="E6259" t="str">
            <v>WFPN72 MATTEL JURASSIC WORLD MINI DINO 3-PACK ASSORTED</v>
          </cell>
          <cell r="F6259" t="str">
            <v>JUGUETES</v>
          </cell>
          <cell r="G6259" t="str">
            <v>WFPN72</v>
          </cell>
          <cell r="H6259" t="str">
            <v>MATTEL</v>
          </cell>
          <cell r="I6259">
            <v>9.02</v>
          </cell>
        </row>
        <row r="6260">
          <cell r="A6260" t="str">
            <v>19-06260</v>
          </cell>
          <cell r="B6260" t="str">
            <v>WEFORT LATAM</v>
          </cell>
          <cell r="C6260" t="str">
            <v>A</v>
          </cell>
          <cell r="D6260">
            <v>0</v>
          </cell>
          <cell r="E6260" t="str">
            <v>WFTC16 MATTEL PLAZA SESAMO BASIC PLUSH ASSORTED</v>
          </cell>
          <cell r="F6260" t="str">
            <v>JUGUETES</v>
          </cell>
          <cell r="G6260" t="str">
            <v>WFTC16</v>
          </cell>
          <cell r="H6260" t="str">
            <v>MATTEL</v>
          </cell>
          <cell r="I6260">
            <v>7.73</v>
          </cell>
        </row>
        <row r="6261">
          <cell r="A6261" t="str">
            <v>19-06261</v>
          </cell>
          <cell r="B6261" t="str">
            <v>WEFORT LATAM</v>
          </cell>
          <cell r="C6261" t="str">
            <v>A</v>
          </cell>
          <cell r="D6261">
            <v>0</v>
          </cell>
          <cell r="E6261" t="str">
            <v>WFTC33 MATTEL PLAZA SESAMOVEHICLE ASSORTED</v>
          </cell>
          <cell r="F6261" t="str">
            <v>JUGUETES</v>
          </cell>
          <cell r="G6261" t="str">
            <v>WFTC33</v>
          </cell>
          <cell r="H6261" t="str">
            <v>MATTEL</v>
          </cell>
          <cell r="I6261">
            <v>9.02</v>
          </cell>
        </row>
        <row r="6262">
          <cell r="A6262" t="str">
            <v>19-06262</v>
          </cell>
          <cell r="B6262" t="str">
            <v>WEFORT LATAM</v>
          </cell>
          <cell r="C6262" t="str">
            <v>A</v>
          </cell>
          <cell r="D6262">
            <v>0</v>
          </cell>
          <cell r="E6262" t="str">
            <v>WFTC20 MATTEL PLAZA SESAMO HUG-EEZE ASSORTED</v>
          </cell>
          <cell r="F6262" t="str">
            <v>JUGUETES</v>
          </cell>
          <cell r="G6262" t="str">
            <v>WFTC20</v>
          </cell>
          <cell r="H6262" t="str">
            <v>MATTEL</v>
          </cell>
          <cell r="I6262">
            <v>10.31</v>
          </cell>
        </row>
        <row r="6263">
          <cell r="A6263" t="str">
            <v>19-06263</v>
          </cell>
          <cell r="B6263" t="str">
            <v>WEFORT LATAM</v>
          </cell>
          <cell r="C6263" t="str">
            <v>A</v>
          </cell>
          <cell r="D6263">
            <v>0</v>
          </cell>
          <cell r="E6263" t="str">
            <v>WFTC36 MATTEL PLAZA SESAMO HABLA CON ELMO</v>
          </cell>
          <cell r="F6263" t="str">
            <v>JUGUETES</v>
          </cell>
          <cell r="G6263" t="str">
            <v>WFTC36</v>
          </cell>
          <cell r="H6263" t="str">
            <v>MATTEL</v>
          </cell>
          <cell r="I6263">
            <v>10.31</v>
          </cell>
        </row>
        <row r="6264">
          <cell r="A6264" t="str">
            <v>19-06264</v>
          </cell>
          <cell r="B6264" t="str">
            <v>WEFORT LATAM</v>
          </cell>
          <cell r="C6264" t="str">
            <v>A</v>
          </cell>
          <cell r="D6264">
            <v>0</v>
          </cell>
          <cell r="E6264" t="str">
            <v>WFTC38 MATTEL PLAZA SESAMO 5PK FIGURE 3"</v>
          </cell>
          <cell r="F6264" t="str">
            <v>JUGUETES</v>
          </cell>
          <cell r="G6264" t="str">
            <v>WFTC38</v>
          </cell>
          <cell r="H6264" t="str">
            <v>MATTEL</v>
          </cell>
          <cell r="I6264">
            <v>11.6</v>
          </cell>
        </row>
        <row r="6265">
          <cell r="A6265" t="str">
            <v>19-06265</v>
          </cell>
          <cell r="B6265" t="str">
            <v>WEFORT LATAM</v>
          </cell>
          <cell r="C6265" t="str">
            <v>A</v>
          </cell>
          <cell r="D6265">
            <v>0</v>
          </cell>
          <cell r="E6265" t="str">
            <v>WDYK82 MATTEL SOCCER PLAYER FIGURES 12</v>
          </cell>
          <cell r="F6265" t="str">
            <v>JUGUETES</v>
          </cell>
          <cell r="G6265" t="str">
            <v>WDYK82</v>
          </cell>
          <cell r="H6265" t="str">
            <v>MATTEL</v>
          </cell>
          <cell r="I6265">
            <v>6.75</v>
          </cell>
        </row>
        <row r="6266">
          <cell r="A6266" t="str">
            <v>19-06266</v>
          </cell>
          <cell r="B6266" t="str">
            <v>DIST. LEWIS</v>
          </cell>
          <cell r="C6266" t="str">
            <v>A</v>
          </cell>
          <cell r="D6266" t="str">
            <v>SI</v>
          </cell>
          <cell r="E6266" t="str">
            <v>MEGA SOPA DE LETRAS</v>
          </cell>
          <cell r="F6266" t="str">
            <v>LIBRO</v>
          </cell>
          <cell r="G6266">
            <v>352409</v>
          </cell>
          <cell r="H6266" t="str">
            <v>DIST. LEWIS</v>
          </cell>
          <cell r="I6266">
            <v>1.28</v>
          </cell>
        </row>
        <row r="6267">
          <cell r="A6267" t="str">
            <v>19-06267</v>
          </cell>
          <cell r="B6267" t="str">
            <v>DIST. LEWIS</v>
          </cell>
          <cell r="C6267" t="str">
            <v>A</v>
          </cell>
          <cell r="D6267" t="str">
            <v>SI</v>
          </cell>
          <cell r="E6267" t="str">
            <v>SUPER SOPA DE LETRAS</v>
          </cell>
          <cell r="F6267" t="str">
            <v>LIBRO</v>
          </cell>
          <cell r="G6267">
            <v>754097</v>
          </cell>
          <cell r="H6267" t="str">
            <v>DIST. LEWIS</v>
          </cell>
          <cell r="I6267">
            <v>1.28</v>
          </cell>
        </row>
        <row r="6268">
          <cell r="A6268" t="str">
            <v>19-06268</v>
          </cell>
          <cell r="B6268" t="str">
            <v>DIST. LEWIS</v>
          </cell>
          <cell r="C6268" t="str">
            <v>A</v>
          </cell>
          <cell r="D6268" t="str">
            <v>SI</v>
          </cell>
          <cell r="E6268" t="str">
            <v>SELECCIÓN CRUZADAS</v>
          </cell>
          <cell r="F6268" t="str">
            <v>LIBRO</v>
          </cell>
          <cell r="G6268">
            <v>754127</v>
          </cell>
          <cell r="H6268" t="str">
            <v>DIST. LEWIS</v>
          </cell>
          <cell r="I6268">
            <v>1.04</v>
          </cell>
        </row>
        <row r="6269">
          <cell r="A6269" t="str">
            <v>19-06269</v>
          </cell>
          <cell r="B6269" t="str">
            <v>HAITI</v>
          </cell>
          <cell r="C6269" t="str">
            <v>A</v>
          </cell>
          <cell r="D6269" t="str">
            <v>NO</v>
          </cell>
          <cell r="E6269" t="str">
            <v>HAITI REDISCOVERED BOOK - FRENCH</v>
          </cell>
          <cell r="F6269" t="str">
            <v>LIBRO</v>
          </cell>
          <cell r="G6269">
            <v>754127</v>
          </cell>
          <cell r="H6269" t="str">
            <v>HAITI</v>
          </cell>
          <cell r="I6269">
            <v>0</v>
          </cell>
        </row>
        <row r="6270">
          <cell r="A6270" t="str">
            <v>19-06270</v>
          </cell>
          <cell r="B6270" t="str">
            <v>HAITI</v>
          </cell>
          <cell r="C6270" t="str">
            <v>A</v>
          </cell>
          <cell r="D6270" t="str">
            <v>NO</v>
          </cell>
          <cell r="E6270" t="str">
            <v>HAITI REDISCOVERED BOOK - ENGLISH</v>
          </cell>
          <cell r="F6270" t="str">
            <v>LIBRO</v>
          </cell>
          <cell r="G6270">
            <v>754127</v>
          </cell>
          <cell r="H6270" t="str">
            <v>HAITI</v>
          </cell>
          <cell r="I6270">
            <v>0</v>
          </cell>
        </row>
        <row r="6271">
          <cell r="A6271" t="str">
            <v>19-06271</v>
          </cell>
          <cell r="B6271" t="str">
            <v>WEFORT LATAM</v>
          </cell>
          <cell r="C6271" t="str">
            <v>A</v>
          </cell>
          <cell r="E6271" t="str">
            <v>W10859 LEGO DUPLO MY FIRST LADYBUG</v>
          </cell>
          <cell r="F6271" t="str">
            <v>JUGUETES</v>
          </cell>
          <cell r="G6271" t="str">
            <v>W10859</v>
          </cell>
          <cell r="H6271" t="str">
            <v>LEGO</v>
          </cell>
          <cell r="I6271">
            <v>5.3</v>
          </cell>
        </row>
        <row r="6272">
          <cell r="A6272" t="str">
            <v>19-06272</v>
          </cell>
          <cell r="B6272" t="str">
            <v>WEFORT LATAM</v>
          </cell>
          <cell r="C6272" t="str">
            <v>A</v>
          </cell>
          <cell r="E6272" t="str">
            <v>W10860 LEGO DUPLO MY FIRST RACE CAR</v>
          </cell>
          <cell r="F6272" t="str">
            <v>JUGUETES</v>
          </cell>
          <cell r="G6272" t="str">
            <v>W10860</v>
          </cell>
          <cell r="H6272" t="str">
            <v>LEGO</v>
          </cell>
          <cell r="I6272">
            <v>5.3</v>
          </cell>
        </row>
        <row r="6273">
          <cell r="A6273" t="str">
            <v>19-06273</v>
          </cell>
          <cell r="B6273" t="str">
            <v>WEFORT LATAM</v>
          </cell>
          <cell r="C6273" t="str">
            <v>A</v>
          </cell>
          <cell r="E6273" t="str">
            <v>W10849 LEGO DUPLO MY FIRST PLANE</v>
          </cell>
          <cell r="F6273" t="str">
            <v>JUGUETES</v>
          </cell>
          <cell r="G6273" t="str">
            <v>W10849</v>
          </cell>
          <cell r="H6273" t="str">
            <v>LEGO</v>
          </cell>
          <cell r="I6273">
            <v>5.3</v>
          </cell>
        </row>
        <row r="6274">
          <cell r="A6274" t="str">
            <v>19-06274</v>
          </cell>
          <cell r="B6274" t="str">
            <v>WEFORT LATAM</v>
          </cell>
          <cell r="C6274" t="str">
            <v>A</v>
          </cell>
          <cell r="E6274" t="str">
            <v>W10850 LEGO DUPLO MY FIRST CAKES</v>
          </cell>
          <cell r="F6274" t="str">
            <v>JUGUETES</v>
          </cell>
          <cell r="G6274" t="str">
            <v>W10850</v>
          </cell>
          <cell r="H6274" t="str">
            <v>LEGO</v>
          </cell>
          <cell r="I6274">
            <v>5.3</v>
          </cell>
        </row>
        <row r="6275">
          <cell r="A6275" t="str">
            <v>19-06275</v>
          </cell>
          <cell r="B6275" t="str">
            <v>WEFORT LATAM</v>
          </cell>
          <cell r="C6275" t="str">
            <v>A</v>
          </cell>
          <cell r="E6275" t="str">
            <v>W10808 LEGO DUPLO LITTLE PLANE</v>
          </cell>
          <cell r="F6275" t="str">
            <v>JUGUETES</v>
          </cell>
          <cell r="G6275" t="str">
            <v>W10808</v>
          </cell>
          <cell r="H6275" t="str">
            <v>LEGO</v>
          </cell>
          <cell r="I6275">
            <v>10.49</v>
          </cell>
        </row>
        <row r="6276">
          <cell r="A6276" t="str">
            <v>19-06276</v>
          </cell>
          <cell r="B6276" t="str">
            <v>WEFORT LATAM</v>
          </cell>
          <cell r="C6276" t="str">
            <v>A</v>
          </cell>
          <cell r="E6276" t="str">
            <v>W10838 LEGO DUPLO FAMILY PETS</v>
          </cell>
          <cell r="F6276" t="str">
            <v>JUGUETES</v>
          </cell>
          <cell r="G6276" t="str">
            <v>W10838</v>
          </cell>
          <cell r="H6276" t="str">
            <v>LEGO</v>
          </cell>
          <cell r="I6276">
            <v>10.49</v>
          </cell>
        </row>
        <row r="6277">
          <cell r="A6277" t="str">
            <v>19-06277</v>
          </cell>
          <cell r="B6277" t="str">
            <v>WEFORT LATAM</v>
          </cell>
          <cell r="C6277" t="str">
            <v>A</v>
          </cell>
          <cell r="E6277" t="str">
            <v>W10870 LEGO DUPLO FARM ANIMALS</v>
          </cell>
          <cell r="F6277" t="str">
            <v>JUGUETES</v>
          </cell>
          <cell r="G6277" t="str">
            <v>W10870</v>
          </cell>
          <cell r="H6277" t="str">
            <v>LEGO</v>
          </cell>
          <cell r="I6277">
            <v>10.6</v>
          </cell>
        </row>
        <row r="6278">
          <cell r="A6278" t="str">
            <v>19-06278</v>
          </cell>
          <cell r="B6278" t="str">
            <v>WEFORT LATAM</v>
          </cell>
          <cell r="C6278" t="str">
            <v>A</v>
          </cell>
          <cell r="E6278" t="str">
            <v>W10843 LEGO DUPLO MICKEY RACER</v>
          </cell>
          <cell r="F6278" t="str">
            <v>JUGUETES</v>
          </cell>
          <cell r="G6278" t="str">
            <v>W10843</v>
          </cell>
          <cell r="H6278" t="str">
            <v>LEGO</v>
          </cell>
          <cell r="I6278">
            <v>15.94</v>
          </cell>
        </row>
        <row r="6279">
          <cell r="A6279" t="str">
            <v>19-06279</v>
          </cell>
          <cell r="B6279" t="str">
            <v>WEFORT LATAM</v>
          </cell>
          <cell r="C6279" t="str">
            <v>A</v>
          </cell>
          <cell r="E6279" t="str">
            <v>W10731 LEGO JUNIORS CRUZ RAMIREZ RACE SIMULATOR</v>
          </cell>
          <cell r="F6279" t="str">
            <v>JUGUETES</v>
          </cell>
          <cell r="G6279" t="str">
            <v>W10731</v>
          </cell>
          <cell r="H6279" t="str">
            <v>LEGO</v>
          </cell>
          <cell r="I6279">
            <v>9.6300000000000008</v>
          </cell>
        </row>
        <row r="6280">
          <cell r="A6280" t="str">
            <v>19-06280</v>
          </cell>
          <cell r="B6280" t="str">
            <v>WEFORT LATAM</v>
          </cell>
          <cell r="C6280" t="str">
            <v>A</v>
          </cell>
          <cell r="E6280" t="str">
            <v>W10748 LEGO JUNIORS EMMA'S PET PARTY</v>
          </cell>
          <cell r="F6280" t="str">
            <v>JUGUETES</v>
          </cell>
          <cell r="G6280" t="str">
            <v>W10748</v>
          </cell>
          <cell r="H6280" t="str">
            <v>LEGO</v>
          </cell>
          <cell r="I6280">
            <v>10.6</v>
          </cell>
        </row>
        <row r="6281">
          <cell r="A6281" t="str">
            <v>19-06281</v>
          </cell>
          <cell r="B6281" t="str">
            <v>WEFORT LATAM</v>
          </cell>
          <cell r="C6281" t="str">
            <v>A</v>
          </cell>
          <cell r="E6281" t="str">
            <v>W10750 LEGO JUNIORS ROAD REPAIR TRUCK</v>
          </cell>
          <cell r="F6281" t="str">
            <v>JUGUETES</v>
          </cell>
          <cell r="G6281" t="str">
            <v>W10750</v>
          </cell>
          <cell r="H6281" t="str">
            <v>LEGO</v>
          </cell>
          <cell r="I6281">
            <v>10.6</v>
          </cell>
        </row>
        <row r="6282">
          <cell r="A6282" t="str">
            <v>19-06282</v>
          </cell>
          <cell r="B6282" t="str">
            <v>WEFORT LATAM</v>
          </cell>
          <cell r="C6282" t="str">
            <v>A</v>
          </cell>
          <cell r="E6282" t="str">
            <v>W10706 LEGO CLASSIC BLUE CREATIVITY BOX</v>
          </cell>
          <cell r="F6282" t="str">
            <v>JUGUETES</v>
          </cell>
          <cell r="G6282" t="str">
            <v>W10706</v>
          </cell>
          <cell r="H6282" t="str">
            <v>LEGO</v>
          </cell>
          <cell r="I6282">
            <v>5.3</v>
          </cell>
        </row>
        <row r="6283">
          <cell r="A6283" t="str">
            <v>19-06283</v>
          </cell>
          <cell r="B6283" t="str">
            <v>WEFORT LATAM</v>
          </cell>
          <cell r="C6283" t="str">
            <v>A</v>
          </cell>
          <cell r="E6283" t="str">
            <v>W10707 LEGO CLASSIC RED CREATIVITY BOX</v>
          </cell>
          <cell r="F6283" t="str">
            <v>JUGUETES</v>
          </cell>
          <cell r="G6283" t="str">
            <v>W10707</v>
          </cell>
          <cell r="H6283" t="str">
            <v>LEGO</v>
          </cell>
          <cell r="I6283">
            <v>5.3</v>
          </cell>
        </row>
        <row r="6284">
          <cell r="A6284" t="str">
            <v>19-06284</v>
          </cell>
          <cell r="B6284" t="str">
            <v>WEFORT LATAM</v>
          </cell>
          <cell r="C6284" t="str">
            <v>A</v>
          </cell>
          <cell r="E6284" t="str">
            <v>W10708 LEGO CLASSIC GREEN CREATIVITY BOX</v>
          </cell>
          <cell r="F6284" t="str">
            <v>JUGUETES</v>
          </cell>
          <cell r="G6284" t="str">
            <v>W10708</v>
          </cell>
          <cell r="H6284" t="str">
            <v>LEGO</v>
          </cell>
          <cell r="I6284">
            <v>5.3</v>
          </cell>
        </row>
        <row r="6285">
          <cell r="A6285" t="str">
            <v>19-06285</v>
          </cell>
          <cell r="B6285" t="str">
            <v>WEFORT LATAM</v>
          </cell>
          <cell r="C6285" t="str">
            <v>A</v>
          </cell>
          <cell r="E6285" t="str">
            <v>W10709 LEGO CLASSIC ORANGE CREATIVITY BOX</v>
          </cell>
          <cell r="F6285" t="str">
            <v>JUGUETES</v>
          </cell>
          <cell r="G6285" t="str">
            <v>W10709</v>
          </cell>
          <cell r="H6285" t="str">
            <v>LEGO</v>
          </cell>
          <cell r="I6285">
            <v>5.3</v>
          </cell>
        </row>
        <row r="6286">
          <cell r="A6286" t="str">
            <v>19-06286</v>
          </cell>
          <cell r="B6286" t="str">
            <v>WEFORT LATAM</v>
          </cell>
          <cell r="C6286" t="str">
            <v>A</v>
          </cell>
          <cell r="E6286" t="str">
            <v>W41327 LEGO FRIENDS MIA'S BEDROOM</v>
          </cell>
          <cell r="F6286" t="str">
            <v>JUGUETES</v>
          </cell>
          <cell r="G6286" t="str">
            <v>W41327</v>
          </cell>
          <cell r="H6286" t="str">
            <v>LEGO</v>
          </cell>
          <cell r="I6286">
            <v>9.93</v>
          </cell>
        </row>
        <row r="6287">
          <cell r="A6287" t="str">
            <v>19-06287</v>
          </cell>
          <cell r="B6287" t="str">
            <v>WEFORT LATAM</v>
          </cell>
          <cell r="C6287" t="str">
            <v>A</v>
          </cell>
          <cell r="E6287" t="str">
            <v>W41328 LEGO FRIENDS STEPHANIE'S BEDROOM</v>
          </cell>
          <cell r="F6287" t="str">
            <v>JUGUETES</v>
          </cell>
          <cell r="G6287" t="str">
            <v>W41328</v>
          </cell>
          <cell r="H6287" t="str">
            <v>LEGO</v>
          </cell>
          <cell r="I6287">
            <v>9.93</v>
          </cell>
        </row>
        <row r="6288">
          <cell r="A6288" t="str">
            <v>19-06288</v>
          </cell>
          <cell r="B6288" t="str">
            <v>WEFORT LATAM</v>
          </cell>
          <cell r="C6288" t="str">
            <v>A</v>
          </cell>
          <cell r="E6288" t="str">
            <v>W41309 LEGO FRIENDS ANDREA'S MUSICAL DUET</v>
          </cell>
          <cell r="F6288" t="str">
            <v>JUGUETES</v>
          </cell>
          <cell r="G6288" t="str">
            <v>W41309</v>
          </cell>
          <cell r="H6288" t="str">
            <v>LEGO</v>
          </cell>
          <cell r="I6288">
            <v>9.6300000000000008</v>
          </cell>
        </row>
        <row r="6289">
          <cell r="A6289" t="str">
            <v>19-06289</v>
          </cell>
          <cell r="B6289" t="str">
            <v>WEFORT LATAM</v>
          </cell>
          <cell r="C6289" t="str">
            <v>A</v>
          </cell>
          <cell r="E6289" t="str">
            <v>W41306 LEGO FRIENDS MIA'S BEACH SCOOTER</v>
          </cell>
          <cell r="F6289" t="str">
            <v>JUGUETES</v>
          </cell>
          <cell r="G6289" t="str">
            <v>W41306</v>
          </cell>
          <cell r="H6289" t="str">
            <v>LEGO</v>
          </cell>
          <cell r="I6289">
            <v>9.6300000000000008</v>
          </cell>
        </row>
        <row r="6290">
          <cell r="A6290" t="str">
            <v>19-06290</v>
          </cell>
          <cell r="B6290" t="str">
            <v>WEFORT LATAM</v>
          </cell>
          <cell r="C6290" t="str">
            <v>A</v>
          </cell>
          <cell r="E6290" t="str">
            <v>W41127 LEGO FRIENDS AMUSEMENT PARK</v>
          </cell>
          <cell r="F6290" t="str">
            <v>JUGUETES</v>
          </cell>
          <cell r="G6290" t="str">
            <v>W41127</v>
          </cell>
          <cell r="H6290" t="str">
            <v>LEGO</v>
          </cell>
          <cell r="I6290">
            <v>15.72</v>
          </cell>
        </row>
        <row r="6291">
          <cell r="A6291" t="str">
            <v>19-06291</v>
          </cell>
          <cell r="B6291" t="str">
            <v>WEFORT LATAM</v>
          </cell>
          <cell r="C6291" t="str">
            <v>A</v>
          </cell>
          <cell r="E6291" t="str">
            <v>W60170 LEGO CITY POLICE CITY OFF-ROAD CHASE</v>
          </cell>
          <cell r="F6291" t="str">
            <v>JUGUETES</v>
          </cell>
          <cell r="G6291" t="str">
            <v>W60170</v>
          </cell>
          <cell r="H6291" t="str">
            <v>LEGO</v>
          </cell>
          <cell r="I6291">
            <v>7.45</v>
          </cell>
        </row>
        <row r="6292">
          <cell r="A6292" t="str">
            <v>19-06292</v>
          </cell>
          <cell r="B6292" t="str">
            <v>WEFORT LATAM</v>
          </cell>
          <cell r="C6292" t="str">
            <v>A</v>
          </cell>
          <cell r="E6292" t="str">
            <v>W60156 LEGO CITY JUNGLE BUGGY</v>
          </cell>
          <cell r="F6292" t="str">
            <v>JUGUETES</v>
          </cell>
          <cell r="G6292" t="str">
            <v>W60156</v>
          </cell>
          <cell r="H6292" t="str">
            <v>LEGO</v>
          </cell>
          <cell r="I6292">
            <v>7.45</v>
          </cell>
        </row>
        <row r="6293">
          <cell r="A6293" t="str">
            <v>19-06293</v>
          </cell>
          <cell r="B6293" t="str">
            <v>WEFORT LATAM</v>
          </cell>
          <cell r="C6293" t="str">
            <v>A</v>
          </cell>
          <cell r="E6293" t="str">
            <v>W60157 LEGO CITY JUNGLE STARTER SET</v>
          </cell>
          <cell r="F6293" t="str">
            <v>JUGUETES</v>
          </cell>
          <cell r="G6293" t="str">
            <v>W60157</v>
          </cell>
          <cell r="H6293" t="str">
            <v>LEGO</v>
          </cell>
          <cell r="I6293">
            <v>9.59</v>
          </cell>
        </row>
        <row r="6294">
          <cell r="A6294" t="str">
            <v>19-06294</v>
          </cell>
          <cell r="B6294" t="str">
            <v>WEFORT LATAM</v>
          </cell>
          <cell r="C6294" t="str">
            <v>A</v>
          </cell>
          <cell r="E6294" t="str">
            <v>W60177 LEGO CITY AIRSHOW JET</v>
          </cell>
          <cell r="F6294" t="str">
            <v>JUGUETES</v>
          </cell>
          <cell r="G6294" t="str">
            <v>W60177</v>
          </cell>
          <cell r="H6294" t="str">
            <v>LEGO</v>
          </cell>
          <cell r="I6294">
            <v>9.93</v>
          </cell>
        </row>
        <row r="6295">
          <cell r="A6295" t="str">
            <v>19-06295</v>
          </cell>
          <cell r="B6295" t="str">
            <v>WEFORT LATAM</v>
          </cell>
          <cell r="C6295" t="str">
            <v>A</v>
          </cell>
          <cell r="E6295" t="str">
            <v>W60178 LEGO CITY SPEED RECORD CAR</v>
          </cell>
          <cell r="F6295" t="str">
            <v>JUGUETES</v>
          </cell>
          <cell r="G6295" t="str">
            <v>W60178</v>
          </cell>
          <cell r="H6295" t="str">
            <v>LEGO</v>
          </cell>
          <cell r="I6295">
            <v>9.93</v>
          </cell>
        </row>
        <row r="6296">
          <cell r="A6296" t="str">
            <v>19-06296</v>
          </cell>
          <cell r="B6296" t="str">
            <v>WEFORT LATAM</v>
          </cell>
          <cell r="C6296" t="str">
            <v>A</v>
          </cell>
          <cell r="E6296" t="str">
            <v>W60145 LEGO CITY BUGGY</v>
          </cell>
          <cell r="F6296" t="str">
            <v>JUGUETES</v>
          </cell>
          <cell r="G6296" t="str">
            <v>W60145</v>
          </cell>
          <cell r="H6296" t="str">
            <v>LEGO</v>
          </cell>
          <cell r="I6296">
            <v>9.6300000000000008</v>
          </cell>
        </row>
        <row r="6297">
          <cell r="A6297" t="str">
            <v>19-06297</v>
          </cell>
          <cell r="B6297" t="str">
            <v>WEFORT LATAM</v>
          </cell>
          <cell r="C6297" t="str">
            <v>A</v>
          </cell>
          <cell r="E6297" t="str">
            <v>W60146 LEGO CITY STUNT TRUCK</v>
          </cell>
          <cell r="F6297" t="str">
            <v>JUGUETES</v>
          </cell>
          <cell r="G6297" t="str">
            <v>W60146</v>
          </cell>
          <cell r="H6297" t="str">
            <v>LEGO</v>
          </cell>
          <cell r="I6297">
            <v>9.6300000000000008</v>
          </cell>
        </row>
        <row r="6298">
          <cell r="A6298" t="str">
            <v>19-06298</v>
          </cell>
          <cell r="B6298" t="str">
            <v>WEFORT LATAM</v>
          </cell>
          <cell r="C6298" t="str">
            <v>A</v>
          </cell>
          <cell r="E6298" t="str">
            <v>W76091 LEGO MARVEL MIGHTY MICROS: THOR VS. LOKI</v>
          </cell>
          <cell r="F6298" t="str">
            <v>JUGUETES</v>
          </cell>
          <cell r="G6298" t="str">
            <v>W76091</v>
          </cell>
          <cell r="H6298" t="str">
            <v>LEGO</v>
          </cell>
          <cell r="I6298">
            <v>9.93</v>
          </cell>
        </row>
        <row r="6299">
          <cell r="A6299" t="str">
            <v>19-06299</v>
          </cell>
          <cell r="B6299" t="str">
            <v>WEFORT LATAM</v>
          </cell>
          <cell r="C6299" t="str">
            <v>A</v>
          </cell>
          <cell r="E6299" t="str">
            <v>W31055 LEGO CREATOR RED RACER</v>
          </cell>
          <cell r="F6299" t="str">
            <v>JUGUETES</v>
          </cell>
          <cell r="G6299" t="str">
            <v>W31055</v>
          </cell>
          <cell r="H6299" t="str">
            <v>LEGO</v>
          </cell>
          <cell r="I6299">
            <v>5.3</v>
          </cell>
        </row>
        <row r="6300">
          <cell r="A6300" t="str">
            <v>19-06300</v>
          </cell>
          <cell r="B6300" t="str">
            <v>WEFORT LATAM</v>
          </cell>
          <cell r="C6300" t="str">
            <v>A</v>
          </cell>
          <cell r="E6300" t="str">
            <v>W31072 LEGO CREATOR EXTREME ENGINES</v>
          </cell>
          <cell r="F6300" t="str">
            <v>JUGUETES</v>
          </cell>
          <cell r="G6300" t="str">
            <v>W31072</v>
          </cell>
          <cell r="H6300" t="str">
            <v>LEGO</v>
          </cell>
          <cell r="I6300">
            <v>9.93</v>
          </cell>
        </row>
        <row r="6301">
          <cell r="A6301" t="str">
            <v>19-06301</v>
          </cell>
          <cell r="B6301" t="str">
            <v>WEFORT LATAM</v>
          </cell>
          <cell r="C6301" t="str">
            <v>A</v>
          </cell>
          <cell r="E6301" t="str">
            <v>W71020 LEGO CONFIDENTIAL MINIFIGURES 2018</v>
          </cell>
          <cell r="F6301" t="str">
            <v>JUGUETES</v>
          </cell>
          <cell r="G6301" t="str">
            <v>W71020</v>
          </cell>
          <cell r="H6301" t="str">
            <v>LEGO</v>
          </cell>
          <cell r="I6301">
            <v>2.6</v>
          </cell>
        </row>
        <row r="6302">
          <cell r="A6302" t="str">
            <v>19-06302</v>
          </cell>
          <cell r="B6302" t="str">
            <v>WEFORT LATAM</v>
          </cell>
          <cell r="C6302" t="str">
            <v>A</v>
          </cell>
          <cell r="E6302" t="str">
            <v>W70628 LEGO NINJAGO MOVIE LLOYD</v>
          </cell>
          <cell r="F6302" t="str">
            <v>JUGUETES</v>
          </cell>
          <cell r="G6302" t="str">
            <v>W70628</v>
          </cell>
          <cell r="H6302" t="str">
            <v>LEGO</v>
          </cell>
          <cell r="I6302">
            <v>8.6999999999999993</v>
          </cell>
        </row>
        <row r="6303">
          <cell r="A6303" t="str">
            <v>19-06303</v>
          </cell>
          <cell r="B6303" t="str">
            <v>WEFORT LATAM</v>
          </cell>
          <cell r="C6303" t="str">
            <v>A</v>
          </cell>
          <cell r="E6303" t="str">
            <v>W70633 LEGO NINJAGO MOVIE KAI - SPINJITZU MASTER</v>
          </cell>
          <cell r="F6303" t="str">
            <v>JUGUETES</v>
          </cell>
          <cell r="G6303" t="str">
            <v>W70633</v>
          </cell>
          <cell r="H6303" t="str">
            <v>LEGO</v>
          </cell>
          <cell r="I6303">
            <v>8.6999999999999993</v>
          </cell>
        </row>
        <row r="6304">
          <cell r="A6304" t="str">
            <v>19-06304</v>
          </cell>
          <cell r="B6304" t="str">
            <v>WEFORT LATAM</v>
          </cell>
          <cell r="C6304" t="str">
            <v>A</v>
          </cell>
          <cell r="E6304" t="str">
            <v>W70634 LEGO NINJAGO MOVIE NYA - SPINJITZU MASTER</v>
          </cell>
          <cell r="F6304" t="str">
            <v>JUGUETES</v>
          </cell>
          <cell r="G6304" t="str">
            <v>W70634</v>
          </cell>
          <cell r="H6304" t="str">
            <v>LEGO</v>
          </cell>
          <cell r="I6304">
            <v>8.6999999999999993</v>
          </cell>
        </row>
        <row r="6305">
          <cell r="A6305" t="str">
            <v>19-06305</v>
          </cell>
          <cell r="B6305" t="str">
            <v>WEFORT LATAM</v>
          </cell>
          <cell r="C6305" t="str">
            <v>A</v>
          </cell>
          <cell r="E6305" t="str">
            <v>W70635 LEGO NINJAGO MOVIE JAY - SPINJITZU MASTER</v>
          </cell>
          <cell r="F6305" t="str">
            <v>JUGUETES</v>
          </cell>
          <cell r="G6305" t="str">
            <v>W70635</v>
          </cell>
          <cell r="H6305" t="str">
            <v>LEGO</v>
          </cell>
          <cell r="I6305">
            <v>8.6999999999999993</v>
          </cell>
        </row>
        <row r="6306">
          <cell r="A6306" t="str">
            <v>19-06306</v>
          </cell>
          <cell r="B6306" t="str">
            <v>WEFORT LATAM</v>
          </cell>
          <cell r="C6306" t="str">
            <v>A</v>
          </cell>
          <cell r="E6306" t="str">
            <v>W70636 LEGO NINJAGO MOVIE ZANE - SPINJITZU MASTER</v>
          </cell>
          <cell r="F6306" t="str">
            <v>JUGUETES</v>
          </cell>
          <cell r="G6306" t="str">
            <v>W70636</v>
          </cell>
          <cell r="H6306" t="str">
            <v>LEGO</v>
          </cell>
          <cell r="I6306">
            <v>8.6999999999999993</v>
          </cell>
        </row>
        <row r="6307">
          <cell r="A6307" t="str">
            <v>19-06307</v>
          </cell>
          <cell r="B6307" t="str">
            <v>WEFORT LATAM</v>
          </cell>
          <cell r="C6307" t="str">
            <v>A</v>
          </cell>
          <cell r="E6307" t="str">
            <v>W70637 LEGO NINJAGO MOVIE COLE - SPINJITZU MASTER</v>
          </cell>
          <cell r="F6307" t="str">
            <v>JUGUETES</v>
          </cell>
          <cell r="G6307" t="str">
            <v>W70637</v>
          </cell>
          <cell r="H6307" t="str">
            <v>LEGO</v>
          </cell>
          <cell r="I6307">
            <v>8.6999999999999993</v>
          </cell>
        </row>
        <row r="6308">
          <cell r="A6308" t="str">
            <v>19-06308</v>
          </cell>
          <cell r="B6308" t="str">
            <v>WEFORT LATAM</v>
          </cell>
          <cell r="C6308" t="str">
            <v>A</v>
          </cell>
          <cell r="E6308" t="str">
            <v>W41598 LEGO BRICKHEADZ THE FLASH</v>
          </cell>
          <cell r="F6308" t="str">
            <v>JUGUETES</v>
          </cell>
          <cell r="G6308" t="str">
            <v>W41598</v>
          </cell>
          <cell r="H6308" t="str">
            <v>LEGO</v>
          </cell>
          <cell r="I6308">
            <v>9.59</v>
          </cell>
        </row>
        <row r="6309">
          <cell r="A6309" t="str">
            <v>19-06309</v>
          </cell>
          <cell r="B6309" t="str">
            <v>WEFORT LATAM</v>
          </cell>
          <cell r="C6309" t="str">
            <v>A</v>
          </cell>
          <cell r="E6309" t="str">
            <v>W41599 LEGO BRICKHEADZ WONDER WOMAN</v>
          </cell>
          <cell r="F6309" t="str">
            <v>JUGUETES</v>
          </cell>
          <cell r="G6309" t="str">
            <v>W41599</v>
          </cell>
          <cell r="H6309" t="str">
            <v>LEGO</v>
          </cell>
          <cell r="I6309">
            <v>9.59</v>
          </cell>
        </row>
        <row r="6310">
          <cell r="A6310" t="str">
            <v>19-06310</v>
          </cell>
          <cell r="B6310" t="str">
            <v>WEFORT LATAM</v>
          </cell>
          <cell r="C6310" t="str">
            <v>A</v>
          </cell>
          <cell r="E6310" t="str">
            <v>W41600 LEGO BRICKHEADZ AQUAMAN</v>
          </cell>
          <cell r="F6310" t="str">
            <v>JUGUETES</v>
          </cell>
          <cell r="G6310" t="str">
            <v>W41600</v>
          </cell>
          <cell r="H6310" t="str">
            <v>LEGO</v>
          </cell>
          <cell r="I6310">
            <v>9.59</v>
          </cell>
        </row>
        <row r="6311">
          <cell r="A6311" t="str">
            <v>19-06311</v>
          </cell>
          <cell r="B6311" t="str">
            <v>WEFORT LATAM</v>
          </cell>
          <cell r="C6311" t="str">
            <v>A</v>
          </cell>
          <cell r="E6311" t="str">
            <v>W41609 LEGO BRICKHEADZ CHEWBACCA</v>
          </cell>
          <cell r="F6311" t="str">
            <v>JUGUETES</v>
          </cell>
          <cell r="G6311" t="str">
            <v>W41609</v>
          </cell>
          <cell r="H6311" t="str">
            <v>LEGO</v>
          </cell>
          <cell r="I6311">
            <v>9.59</v>
          </cell>
        </row>
        <row r="6312">
          <cell r="A6312" t="str">
            <v>19-06312</v>
          </cell>
          <cell r="B6312" t="str">
            <v>WEFORT LATAM</v>
          </cell>
          <cell r="C6312" t="str">
            <v>A</v>
          </cell>
          <cell r="E6312" t="str">
            <v>W30326 LEGO DUPLO® FARM BAGS</v>
          </cell>
          <cell r="F6312" t="str">
            <v>JUGUETES</v>
          </cell>
          <cell r="G6312" t="str">
            <v>W30326</v>
          </cell>
          <cell r="H6312" t="str">
            <v>LEGO</v>
          </cell>
          <cell r="I6312">
            <v>2.59</v>
          </cell>
        </row>
        <row r="6313">
          <cell r="A6313" t="str">
            <v>19-06313</v>
          </cell>
          <cell r="B6313" t="str">
            <v>WEFORT LATAM</v>
          </cell>
          <cell r="C6313" t="str">
            <v>A</v>
          </cell>
          <cell r="E6313" t="str">
            <v>W30552 LEGO DISNEY PRINCESS ARIEL'S UNDERWATER SYMPHONY BAGS</v>
          </cell>
          <cell r="F6313" t="str">
            <v>JUGUETES</v>
          </cell>
          <cell r="G6313" t="str">
            <v>W30552</v>
          </cell>
          <cell r="H6313" t="str">
            <v>LEGO</v>
          </cell>
          <cell r="I6313">
            <v>2.59</v>
          </cell>
        </row>
        <row r="6314">
          <cell r="A6314" t="str">
            <v>19-06314</v>
          </cell>
          <cell r="B6314" t="str">
            <v>WEFORT LATAM</v>
          </cell>
          <cell r="C6314" t="str">
            <v>A</v>
          </cell>
          <cell r="E6314" t="str">
            <v>W30358 LEGO CITY GREAT VEHICLE - DRAGSTER BAGS</v>
          </cell>
          <cell r="F6314" t="str">
            <v>JUGUETES</v>
          </cell>
          <cell r="G6314" t="str">
            <v>W30358</v>
          </cell>
          <cell r="H6314" t="str">
            <v>LEGO</v>
          </cell>
          <cell r="I6314">
            <v>2.59</v>
          </cell>
        </row>
        <row r="6315">
          <cell r="A6315" t="str">
            <v>19-06315</v>
          </cell>
          <cell r="B6315" t="str">
            <v>WEFORT LATAM</v>
          </cell>
          <cell r="C6315" t="str">
            <v>A</v>
          </cell>
          <cell r="E6315" t="str">
            <v>W30526 LEGO BATMAN THE MINI ULTIMATE BATMOBILE BAGS</v>
          </cell>
          <cell r="F6315" t="str">
            <v>JUGUETES</v>
          </cell>
          <cell r="G6315" t="str">
            <v>W30526</v>
          </cell>
          <cell r="H6315" t="str">
            <v>LEGO</v>
          </cell>
          <cell r="I6315">
            <v>2.59</v>
          </cell>
        </row>
        <row r="6316">
          <cell r="A6316" t="str">
            <v>19-06316</v>
          </cell>
          <cell r="B6316" t="str">
            <v>WEFORT LATAM</v>
          </cell>
          <cell r="C6316" t="str">
            <v>A</v>
          </cell>
          <cell r="E6316" t="str">
            <v>W30450 LEGO SUPER HEROES  BLACK PANTHER BAGS</v>
          </cell>
          <cell r="F6316" t="str">
            <v>JUGUETES</v>
          </cell>
          <cell r="G6316" t="str">
            <v>W30450</v>
          </cell>
          <cell r="H6316" t="str">
            <v>LEGO</v>
          </cell>
          <cell r="I6316">
            <v>2.59</v>
          </cell>
        </row>
        <row r="6317">
          <cell r="A6317" t="str">
            <v>19-06317</v>
          </cell>
          <cell r="B6317" t="str">
            <v>WEFORT LATAM</v>
          </cell>
          <cell r="C6317" t="str">
            <v>A</v>
          </cell>
          <cell r="E6317" t="str">
            <v>W30551 LEGO DISNEY PRINCESS CINDERELLA'S KITCHEN BAGS</v>
          </cell>
          <cell r="F6317" t="str">
            <v>JUGUETES</v>
          </cell>
          <cell r="G6317" t="str">
            <v>W30551</v>
          </cell>
          <cell r="H6317" t="str">
            <v>LEGO</v>
          </cell>
          <cell r="I6317">
            <v>2.59</v>
          </cell>
        </row>
        <row r="6318">
          <cell r="A6318" t="str">
            <v>19-06318</v>
          </cell>
          <cell r="B6318" t="str">
            <v>P&amp;G</v>
          </cell>
          <cell r="C6318" t="str">
            <v>A</v>
          </cell>
          <cell r="D6318" t="str">
            <v>SI</v>
          </cell>
          <cell r="E6318" t="str">
            <v>80290007 OLD SPICE PURE SPORT PLUS EXTRA-STRONG DEODORANT 24X0.5OZ</v>
          </cell>
          <cell r="F6318" t="str">
            <v>DESODORANTE</v>
          </cell>
          <cell r="G6318">
            <v>80290007</v>
          </cell>
          <cell r="H6318" t="str">
            <v>OLD SPICE</v>
          </cell>
          <cell r="I6318">
            <v>35.926000000000002</v>
          </cell>
        </row>
        <row r="6319">
          <cell r="A6319" t="str">
            <v>19-06319</v>
          </cell>
          <cell r="B6319" t="str">
            <v>P&amp;G</v>
          </cell>
          <cell r="C6319" t="str">
            <v>A</v>
          </cell>
          <cell r="D6319" t="str">
            <v>SI</v>
          </cell>
          <cell r="E6319" t="str">
            <v>80291522 CREST MULTIPROTECTION CLEAN MINT MOUTH WASH 48X36ML</v>
          </cell>
          <cell r="F6319" t="str">
            <v>ENJUAGUE BUCAL</v>
          </cell>
          <cell r="G6319">
            <v>80291522</v>
          </cell>
          <cell r="H6319" t="str">
            <v>CREST</v>
          </cell>
          <cell r="I6319">
            <v>20.933</v>
          </cell>
        </row>
        <row r="6320">
          <cell r="A6320" t="str">
            <v>19-06320</v>
          </cell>
          <cell r="B6320" t="str">
            <v>P&amp;G</v>
          </cell>
          <cell r="C6320" t="str">
            <v>A</v>
          </cell>
          <cell r="D6320" t="str">
            <v>SI</v>
          </cell>
          <cell r="E6320" t="str">
            <v>80287594 ORAL B PRO HEALTH TOOTHBRUSH 1X72CT</v>
          </cell>
          <cell r="F6320" t="str">
            <v>CEPILLO DENTAL</v>
          </cell>
          <cell r="G6320">
            <v>80287594</v>
          </cell>
          <cell r="H6320" t="str">
            <v>ORAL B</v>
          </cell>
          <cell r="I6320">
            <v>183.54499999999999</v>
          </cell>
        </row>
        <row r="6321">
          <cell r="A6321" t="str">
            <v>19-06321</v>
          </cell>
          <cell r="B6321" t="str">
            <v>P&amp;G</v>
          </cell>
          <cell r="C6321" t="str">
            <v>A</v>
          </cell>
          <cell r="D6321" t="str">
            <v>SI</v>
          </cell>
          <cell r="E6321" t="str">
            <v>80302471 CREST COMPLETE MINTY FRESH TOOTHPASTE 36X0.85OZ</v>
          </cell>
          <cell r="F6321" t="str">
            <v>PASTA DENTAL</v>
          </cell>
          <cell r="G6321">
            <v>80302471</v>
          </cell>
          <cell r="H6321" t="str">
            <v>CREST</v>
          </cell>
          <cell r="I6321">
            <v>0</v>
          </cell>
        </row>
        <row r="6322">
          <cell r="A6322" t="str">
            <v>19-06322</v>
          </cell>
          <cell r="B6322" t="str">
            <v>P&amp;G</v>
          </cell>
          <cell r="C6322" t="str">
            <v>A</v>
          </cell>
          <cell r="D6322" t="str">
            <v>SI</v>
          </cell>
          <cell r="E6322" t="str">
            <v>80297294 CREST CAVITY PROTECTION TOOTHPASTE 36X0.85OZ</v>
          </cell>
          <cell r="F6322" t="str">
            <v>PASTA DENTAL</v>
          </cell>
          <cell r="G6322">
            <v>80297294</v>
          </cell>
          <cell r="H6322" t="str">
            <v>CREST</v>
          </cell>
          <cell r="I6322">
            <v>0</v>
          </cell>
        </row>
        <row r="6323">
          <cell r="A6323" t="str">
            <v>19-06323</v>
          </cell>
          <cell r="B6323" t="str">
            <v>P&amp;G</v>
          </cell>
          <cell r="C6323" t="str">
            <v>A</v>
          </cell>
          <cell r="D6323" t="str">
            <v>SI</v>
          </cell>
          <cell r="E6323" t="str">
            <v>80285228 GILLETTE FOAMY REGULAR SHAVING FOAM 48X2OZ</v>
          </cell>
          <cell r="F6323" t="str">
            <v>ESPUMA DE AFEITAR</v>
          </cell>
          <cell r="G6323">
            <v>80285228</v>
          </cell>
          <cell r="H6323" t="str">
            <v>GILLETTE</v>
          </cell>
          <cell r="I6323">
            <v>26.652000000000001</v>
          </cell>
        </row>
        <row r="6324">
          <cell r="A6324" t="str">
            <v>19-06324</v>
          </cell>
          <cell r="B6324" t="str">
            <v>P&amp;G</v>
          </cell>
          <cell r="C6324" t="str">
            <v>A</v>
          </cell>
          <cell r="D6324" t="str">
            <v>SI</v>
          </cell>
          <cell r="E6324" t="str">
            <v>80248247 GILLETTE VENUS RAZOR 1X36CT</v>
          </cell>
          <cell r="F6324" t="str">
            <v>RASURADORA</v>
          </cell>
          <cell r="G6324">
            <v>80248247</v>
          </cell>
          <cell r="H6324" t="str">
            <v>GILLETTE</v>
          </cell>
          <cell r="I6324">
            <v>129.858</v>
          </cell>
        </row>
        <row r="6325">
          <cell r="A6325" t="str">
            <v>19-06325</v>
          </cell>
          <cell r="B6325" t="str">
            <v>P&amp;G</v>
          </cell>
          <cell r="C6325" t="str">
            <v>A</v>
          </cell>
          <cell r="D6325" t="str">
            <v>SI</v>
          </cell>
          <cell r="E6325" t="str">
            <v>80307840 GILLETTE MACH3 RAZOR 1X36CT</v>
          </cell>
          <cell r="F6325" t="str">
            <v>RASURADORA</v>
          </cell>
          <cell r="G6325">
            <v>80307840</v>
          </cell>
          <cell r="H6325" t="str">
            <v>GILLETTE</v>
          </cell>
          <cell r="I6325">
            <v>177.90299999999999</v>
          </cell>
        </row>
        <row r="6326">
          <cell r="A6326" t="str">
            <v>19-06326</v>
          </cell>
          <cell r="B6326" t="str">
            <v>P&amp;G</v>
          </cell>
          <cell r="C6326" t="str">
            <v>A</v>
          </cell>
          <cell r="D6326" t="str">
            <v>SI</v>
          </cell>
          <cell r="E6326" t="str">
            <v>80299706 GILLETTE VENUS SHAVE GEL VANILLA CASHMERE 24X2.5OZ</v>
          </cell>
          <cell r="F6326" t="str">
            <v>ESPUMA DE AFEITAR</v>
          </cell>
          <cell r="G6326">
            <v>80299706</v>
          </cell>
          <cell r="H6326" t="str">
            <v>GILLETTE</v>
          </cell>
          <cell r="I6326">
            <v>18.538</v>
          </cell>
        </row>
        <row r="6327">
          <cell r="A6327" t="str">
            <v>19-06327</v>
          </cell>
          <cell r="B6327" t="str">
            <v>P&amp;G</v>
          </cell>
          <cell r="C6327" t="str">
            <v>A</v>
          </cell>
          <cell r="D6327" t="str">
            <v>SI</v>
          </cell>
          <cell r="E6327" t="str">
            <v>80301779 PANTENE CONDITIONER SMOOTH &amp; SLEEK 24X3.38OZ</v>
          </cell>
          <cell r="F6327" t="str">
            <v>ACONDICIONADOR</v>
          </cell>
          <cell r="G6327">
            <v>80301779</v>
          </cell>
          <cell r="H6327" t="str">
            <v>PANTENE</v>
          </cell>
          <cell r="I6327">
            <v>22.753</v>
          </cell>
        </row>
        <row r="6328">
          <cell r="A6328" t="str">
            <v>19-06328</v>
          </cell>
          <cell r="B6328" t="str">
            <v>P&amp;G</v>
          </cell>
          <cell r="C6328" t="str">
            <v>A</v>
          </cell>
          <cell r="D6328" t="str">
            <v>SI</v>
          </cell>
          <cell r="E6328" t="str">
            <v>80301778 PANTENE SHAMPOO SMOOTH &amp; SLEEK 24X3.38OZ</v>
          </cell>
          <cell r="F6328" t="str">
            <v>SHAMPOO</v>
          </cell>
          <cell r="G6328">
            <v>80301778</v>
          </cell>
          <cell r="H6328" t="str">
            <v>PANTENE</v>
          </cell>
          <cell r="I6328">
            <v>22.753</v>
          </cell>
        </row>
        <row r="6329">
          <cell r="A6329" t="str">
            <v>19-06329</v>
          </cell>
          <cell r="B6329" t="str">
            <v>P&amp;G</v>
          </cell>
          <cell r="C6329" t="str">
            <v>A</v>
          </cell>
          <cell r="D6329" t="str">
            <v>SI</v>
          </cell>
          <cell r="E6329" t="str">
            <v>80301776 PANTENE CONDITIONER DAILY MOISTURE RENEWAL 24X3.38OZ</v>
          </cell>
          <cell r="F6329" t="str">
            <v>ACONDICIONADOR</v>
          </cell>
          <cell r="G6329">
            <v>80301776</v>
          </cell>
          <cell r="H6329" t="str">
            <v>PANTENE</v>
          </cell>
          <cell r="I6329">
            <v>22.753</v>
          </cell>
        </row>
        <row r="6330">
          <cell r="A6330" t="str">
            <v>19-06330</v>
          </cell>
          <cell r="B6330" t="str">
            <v>P&amp;G</v>
          </cell>
          <cell r="C6330" t="str">
            <v>A</v>
          </cell>
          <cell r="D6330" t="str">
            <v>SI</v>
          </cell>
          <cell r="E6330" t="str">
            <v>80301775 PANTENE SHAMPOO DAILY MOISTURE RENEWAL 24X3.38OZ</v>
          </cell>
          <cell r="F6330" t="str">
            <v>SHAMPOO</v>
          </cell>
          <cell r="G6330">
            <v>80301775</v>
          </cell>
          <cell r="H6330" t="str">
            <v>PANTENE</v>
          </cell>
          <cell r="I6330">
            <v>0</v>
          </cell>
        </row>
        <row r="6331">
          <cell r="A6331" t="str">
            <v>19-06331</v>
          </cell>
          <cell r="B6331" t="str">
            <v>P&amp;G</v>
          </cell>
          <cell r="C6331" t="str">
            <v>A</v>
          </cell>
          <cell r="D6331" t="str">
            <v>SI</v>
          </cell>
          <cell r="E6331" t="str">
            <v>80282396 HEAD &amp; SHOULDERS SHAMPOO CLASSIC CLEAN 24X3OZ</v>
          </cell>
          <cell r="F6331" t="str">
            <v>SHAMPOO</v>
          </cell>
          <cell r="G6331">
            <v>80282396</v>
          </cell>
          <cell r="H6331" t="str">
            <v>HEAD AND SHOULDERS</v>
          </cell>
          <cell r="I6331">
            <v>0</v>
          </cell>
        </row>
        <row r="6332">
          <cell r="A6332" t="str">
            <v>19-06332</v>
          </cell>
          <cell r="B6332" t="str">
            <v>P&amp;G</v>
          </cell>
          <cell r="C6332" t="str">
            <v>A</v>
          </cell>
          <cell r="D6332" t="str">
            <v>SI</v>
          </cell>
          <cell r="E6332" t="str">
            <v>80282392 HEAD &amp; SHOULDERS SHAMPOO NOURISH CARE 24X3OZ</v>
          </cell>
          <cell r="F6332" t="str">
            <v>SHAMPOO</v>
          </cell>
          <cell r="G6332">
            <v>80282392</v>
          </cell>
          <cell r="H6332" t="str">
            <v>HEAD AND SHOULDERS</v>
          </cell>
          <cell r="I6332">
            <v>0</v>
          </cell>
        </row>
        <row r="6333">
          <cell r="A6333" t="str">
            <v>19-06333</v>
          </cell>
          <cell r="B6333" t="str">
            <v>P&amp;G</v>
          </cell>
          <cell r="C6333" t="str">
            <v>A</v>
          </cell>
          <cell r="D6333" t="str">
            <v>SI</v>
          </cell>
          <cell r="E6333" t="str">
            <v>80298308 OLAY ULTRA MOISTURE SHEA BUTTER BODY LOTION 36X1.7OZ</v>
          </cell>
          <cell r="F6333" t="str">
            <v>CREMA CORPORAL</v>
          </cell>
          <cell r="G6333">
            <v>80298308</v>
          </cell>
          <cell r="H6333" t="str">
            <v>OLAY</v>
          </cell>
          <cell r="I6333">
            <v>21.890999999999998</v>
          </cell>
        </row>
        <row r="6334">
          <cell r="A6334" t="str">
            <v>19-06334</v>
          </cell>
          <cell r="B6334" t="str">
            <v>P&amp;G</v>
          </cell>
          <cell r="C6334" t="str">
            <v>A</v>
          </cell>
          <cell r="D6334" t="str">
            <v>SI</v>
          </cell>
          <cell r="E6334" t="str">
            <v>80296451 ALWAYS WIPES TO-GO FRESH CLEAN 20WIPES 1X12CT</v>
          </cell>
          <cell r="F6334" t="str">
            <v>WIPES</v>
          </cell>
          <cell r="G6334">
            <v>80296451</v>
          </cell>
          <cell r="H6334" t="str">
            <v>ALWAYS</v>
          </cell>
          <cell r="I6334">
            <v>25.138000000000002</v>
          </cell>
        </row>
        <row r="6335">
          <cell r="A6335" t="str">
            <v>19-06335</v>
          </cell>
          <cell r="B6335" t="str">
            <v>P&amp;G</v>
          </cell>
          <cell r="C6335" t="str">
            <v>A</v>
          </cell>
          <cell r="D6335" t="str">
            <v>SI</v>
          </cell>
          <cell r="E6335" t="str">
            <v>80310649 ALWAYS ULTRA REGULAR 16PADS 1X12CT</v>
          </cell>
          <cell r="F6335" t="str">
            <v>TOALLAS SANITARIAS</v>
          </cell>
          <cell r="G6335">
            <v>80310649</v>
          </cell>
          <cell r="H6335" t="str">
            <v>ALWAYS</v>
          </cell>
          <cell r="I6335">
            <v>29.056999999999999</v>
          </cell>
        </row>
        <row r="6336">
          <cell r="A6336" t="str">
            <v>19-06336</v>
          </cell>
          <cell r="B6336" t="str">
            <v>P&amp;G</v>
          </cell>
          <cell r="C6336" t="str">
            <v>A</v>
          </cell>
          <cell r="D6336" t="str">
            <v>SI</v>
          </cell>
          <cell r="E6336" t="str">
            <v>80285390 OLD SPICE PURE SPORT BODY WASH 24X3OZ</v>
          </cell>
          <cell r="F6336" t="str">
            <v>JABON</v>
          </cell>
          <cell r="G6336">
            <v>80285390</v>
          </cell>
          <cell r="H6336" t="str">
            <v>OLD SPICE</v>
          </cell>
          <cell r="I6336">
            <v>0</v>
          </cell>
        </row>
        <row r="6337">
          <cell r="A6337" t="str">
            <v>19-06337</v>
          </cell>
          <cell r="B6337" t="str">
            <v>P&amp;G</v>
          </cell>
          <cell r="C6337" t="str">
            <v>A</v>
          </cell>
          <cell r="D6337" t="str">
            <v>SI</v>
          </cell>
          <cell r="E6337" t="str">
            <v>80290697 OLAY BODY WASH 24X3OZ</v>
          </cell>
          <cell r="F6337" t="str">
            <v>JABON</v>
          </cell>
          <cell r="G6337">
            <v>80290697</v>
          </cell>
          <cell r="H6337" t="str">
            <v>OLAY</v>
          </cell>
          <cell r="I6337">
            <v>23.95</v>
          </cell>
        </row>
        <row r="6338">
          <cell r="A6338" t="str">
            <v>19-06338</v>
          </cell>
          <cell r="B6338" t="str">
            <v>P&amp;G</v>
          </cell>
          <cell r="C6338" t="str">
            <v>A</v>
          </cell>
          <cell r="D6338" t="str">
            <v>SI</v>
          </cell>
          <cell r="E6338" t="str">
            <v>80234083 OLAY FRESH EFFECTS WIPES 1X12CT</v>
          </cell>
          <cell r="F6338" t="str">
            <v>WIPES</v>
          </cell>
          <cell r="G6338">
            <v>80234083</v>
          </cell>
          <cell r="H6338" t="str">
            <v>OLAY</v>
          </cell>
          <cell r="I6338">
            <v>0</v>
          </cell>
        </row>
        <row r="6339">
          <cell r="A6339" t="str">
            <v>19-06339</v>
          </cell>
          <cell r="B6339" t="str">
            <v>P&amp;G</v>
          </cell>
          <cell r="C6339" t="str">
            <v>A</v>
          </cell>
          <cell r="D6339" t="str">
            <v>SI</v>
          </cell>
          <cell r="E6339" t="str">
            <v>80291967 FEBREZE FABRIC REFRESHER TO-GO 36X2.8OZ</v>
          </cell>
          <cell r="F6339" t="str">
            <v>DESODORANTE</v>
          </cell>
          <cell r="G6339">
            <v>80291967</v>
          </cell>
          <cell r="H6339" t="str">
            <v>FEBREZE</v>
          </cell>
          <cell r="I6339">
            <v>42.823</v>
          </cell>
        </row>
        <row r="6340">
          <cell r="A6340" t="str">
            <v>19-06340</v>
          </cell>
          <cell r="B6340" t="str">
            <v>P&amp;G</v>
          </cell>
          <cell r="C6340" t="str">
            <v>A</v>
          </cell>
          <cell r="D6340" t="str">
            <v>SI</v>
          </cell>
          <cell r="E6340" t="str">
            <v>80253379 TIDE TO-GO 1X6CT</v>
          </cell>
          <cell r="F6340" t="str">
            <v>DESINFECTANTE</v>
          </cell>
          <cell r="G6340">
            <v>80253379</v>
          </cell>
          <cell r="H6340" t="str">
            <v>TIDE</v>
          </cell>
          <cell r="I6340">
            <v>19.946000000000002</v>
          </cell>
        </row>
        <row r="6341">
          <cell r="A6341" t="str">
            <v>19-06341</v>
          </cell>
          <cell r="B6341" t="str">
            <v>P&amp;G</v>
          </cell>
          <cell r="C6341" t="str">
            <v>A</v>
          </cell>
          <cell r="D6341" t="str">
            <v>SI</v>
          </cell>
          <cell r="E6341" t="str">
            <v>80301667 PUFFS TO-GO 1X144CT</v>
          </cell>
          <cell r="F6341" t="str">
            <v>PANUELO DE PAPEL</v>
          </cell>
          <cell r="G6341">
            <v>80301667</v>
          </cell>
          <cell r="H6341" t="str">
            <v>PUFFS</v>
          </cell>
          <cell r="I6341">
            <v>0</v>
          </cell>
        </row>
        <row r="6342">
          <cell r="A6342" t="str">
            <v>19-06342</v>
          </cell>
          <cell r="B6342" t="str">
            <v>P&amp;G</v>
          </cell>
          <cell r="C6342" t="str">
            <v>A</v>
          </cell>
          <cell r="D6342" t="str">
            <v>SI</v>
          </cell>
          <cell r="E6342" t="str">
            <v>80275750 SECRET OUTLAST COMPLETELY CLEAN DEODORANT 24X0.5OZ</v>
          </cell>
          <cell r="F6342" t="str">
            <v>DESODORANTE</v>
          </cell>
          <cell r="G6342">
            <v>80275750</v>
          </cell>
          <cell r="H6342" t="str">
            <v>SECRET</v>
          </cell>
          <cell r="I6342">
            <v>35.924999999999997</v>
          </cell>
        </row>
        <row r="6343">
          <cell r="A6343" t="str">
            <v>19-06343</v>
          </cell>
          <cell r="B6343" t="str">
            <v>WEFORT LATAM</v>
          </cell>
          <cell r="C6343" t="str">
            <v>A</v>
          </cell>
          <cell r="E6343" t="str">
            <v>WFPK86 MATTEL MI PRIMERA TAZA DE CAFE</v>
          </cell>
          <cell r="F6343" t="str">
            <v>JUGUETES</v>
          </cell>
          <cell r="G6343" t="str">
            <v>WFPK86</v>
          </cell>
          <cell r="H6343" t="str">
            <v>MATTEL</v>
          </cell>
          <cell r="I6343">
            <v>3.86</v>
          </cell>
        </row>
        <row r="6344">
          <cell r="A6344" t="str">
            <v>19-06344</v>
          </cell>
          <cell r="B6344" t="str">
            <v>ASTOR</v>
          </cell>
          <cell r="C6344" t="str">
            <v>A</v>
          </cell>
          <cell r="D6344" t="str">
            <v>SI</v>
          </cell>
          <cell r="E6344" t="str">
            <v>469336 HANSAPLAST 20 CURITAS IMPERMEABLES</v>
          </cell>
          <cell r="F6344" t="str">
            <v>CURITA</v>
          </cell>
          <cell r="G6344">
            <v>469336</v>
          </cell>
          <cell r="H6344" t="str">
            <v>HANSAPLAST</v>
          </cell>
          <cell r="I6344">
            <v>1.23</v>
          </cell>
        </row>
        <row r="6345">
          <cell r="A6345" t="str">
            <v>19-06345</v>
          </cell>
          <cell r="B6345" t="str">
            <v>ASTOR</v>
          </cell>
          <cell r="C6345" t="str">
            <v>A</v>
          </cell>
          <cell r="D6345" t="str">
            <v>SI</v>
          </cell>
          <cell r="E6345" t="str">
            <v>009389 HANSAPLAST 100 CURITAS STANDARD TRANSPARENTES</v>
          </cell>
          <cell r="F6345" t="str">
            <v>VENDA ADHESIVA</v>
          </cell>
          <cell r="G6345">
            <v>9389</v>
          </cell>
          <cell r="H6345" t="str">
            <v>HANSAPLAST</v>
          </cell>
          <cell r="I6345">
            <v>1.84</v>
          </cell>
        </row>
        <row r="6346">
          <cell r="A6346" t="str">
            <v>19-06346</v>
          </cell>
          <cell r="B6346" t="str">
            <v>MELO FARMA</v>
          </cell>
          <cell r="C6346" t="str">
            <v>A</v>
          </cell>
          <cell r="D6346" t="str">
            <v>SI</v>
          </cell>
          <cell r="E6346" t="str">
            <v>PEPTO BISMOL 4OZ</v>
          </cell>
          <cell r="F6346" t="str">
            <v>MEDICINA</v>
          </cell>
          <cell r="G6346" t="str">
            <v>002INTER</v>
          </cell>
          <cell r="H6346" t="str">
            <v>PEPTO BISMOL</v>
          </cell>
          <cell r="I6346">
            <v>2.95</v>
          </cell>
        </row>
        <row r="6347">
          <cell r="A6347" t="str">
            <v>19-06347</v>
          </cell>
          <cell r="B6347" t="str">
            <v>CESAR ARROCHA</v>
          </cell>
          <cell r="C6347" t="str">
            <v>A</v>
          </cell>
          <cell r="D6347" t="str">
            <v>SI</v>
          </cell>
          <cell r="E6347" t="str">
            <v>GOODY OUCHLESS  ELASTICS THIN BEAUTY</v>
          </cell>
          <cell r="I6347">
            <v>0</v>
          </cell>
        </row>
        <row r="6348">
          <cell r="A6348" t="str">
            <v>19-06348</v>
          </cell>
          <cell r="B6348" t="str">
            <v>CESAR ARROCHA</v>
          </cell>
          <cell r="C6348" t="str">
            <v>A</v>
          </cell>
          <cell r="D6348" t="str">
            <v>SI</v>
          </cell>
          <cell r="E6348" t="str">
            <v>GOODY POLYPROPYLENE DRESSING COMB</v>
          </cell>
          <cell r="I6348">
            <v>0.93</v>
          </cell>
        </row>
        <row r="6349">
          <cell r="A6349" t="str">
            <v>19-06349</v>
          </cell>
          <cell r="B6349" t="str">
            <v>ASTOR</v>
          </cell>
          <cell r="C6349" t="str">
            <v>A</v>
          </cell>
          <cell r="D6349" t="str">
            <v>SI</v>
          </cell>
          <cell r="E6349" t="str">
            <v>DRAMAMINE NAUSEA  MAREO Y VOMITO  50MG</v>
          </cell>
          <cell r="F6349" t="str">
            <v>MEDICINA</v>
          </cell>
          <cell r="I6349">
            <v>4.0999999999999996</v>
          </cell>
        </row>
        <row r="6350">
          <cell r="A6350" t="str">
            <v>19-06350</v>
          </cell>
          <cell r="B6350" t="str">
            <v>CESAR ARROCHA</v>
          </cell>
          <cell r="C6350" t="str">
            <v>A</v>
          </cell>
          <cell r="D6350" t="str">
            <v>SI</v>
          </cell>
          <cell r="E6350" t="str">
            <v>KISS WIDE BOARD NAIL FILE</v>
          </cell>
          <cell r="F6350" t="str">
            <v>LIMA DE UNAS</v>
          </cell>
          <cell r="I6350">
            <v>1.26</v>
          </cell>
        </row>
        <row r="6351">
          <cell r="A6351" t="str">
            <v>19-06351</v>
          </cell>
          <cell r="B6351" t="str">
            <v>DIST. LEWIS</v>
          </cell>
          <cell r="C6351" t="str">
            <v>A</v>
          </cell>
          <cell r="D6351" t="str">
            <v>SI</v>
          </cell>
          <cell r="E6351" t="str">
            <v>MAXI CRUZADAS</v>
          </cell>
          <cell r="F6351" t="str">
            <v>REVISTA</v>
          </cell>
          <cell r="H6351" t="str">
            <v>DIST.LEWIS</v>
          </cell>
          <cell r="I6351">
            <v>1.4039999999999999</v>
          </cell>
        </row>
        <row r="6352">
          <cell r="A6352" t="str">
            <v>19-51871</v>
          </cell>
          <cell r="B6352" t="str">
            <v>REXCEL</v>
          </cell>
          <cell r="C6352" t="str">
            <v>A</v>
          </cell>
          <cell r="D6352" t="str">
            <v>SI</v>
          </cell>
          <cell r="E6352" t="str">
            <v>TAC104 THULE ASPECT DSLR/ILC SHOULDER BAG BLACK</v>
          </cell>
          <cell r="F6352" t="str">
            <v>MOCHILA</v>
          </cell>
          <cell r="G6352" t="str">
            <v xml:space="preserve">TAC104 </v>
          </cell>
          <cell r="H6352" t="str">
            <v>THULE</v>
          </cell>
          <cell r="I6352">
            <v>0</v>
          </cell>
        </row>
        <row r="6353">
          <cell r="A6353" t="str">
            <v>19-51872</v>
          </cell>
          <cell r="B6353" t="str">
            <v>REXCEL</v>
          </cell>
          <cell r="C6353" t="str">
            <v>A</v>
          </cell>
          <cell r="D6353" t="str">
            <v>SI</v>
          </cell>
          <cell r="E6353" t="str">
            <v>TAC106 THULE ASPECT DSLR BACKPACK BLACK</v>
          </cell>
          <cell r="F6353" t="str">
            <v>MOCHILA</v>
          </cell>
          <cell r="G6353" t="str">
            <v xml:space="preserve">TAC106 </v>
          </cell>
          <cell r="H6353" t="str">
            <v>THULE</v>
          </cell>
          <cell r="I6353">
            <v>0</v>
          </cell>
        </row>
        <row r="6354">
          <cell r="A6354" t="str">
            <v>19-51873</v>
          </cell>
          <cell r="B6354" t="str">
            <v>REXCEL</v>
          </cell>
          <cell r="C6354" t="str">
            <v>A</v>
          </cell>
          <cell r="D6354" t="str">
            <v>SI</v>
          </cell>
          <cell r="E6354" t="str">
            <v>TCBP317 THULE CROSSOVER BACKPACK 25L BLACK</v>
          </cell>
          <cell r="F6354" t="str">
            <v>MOCHILA</v>
          </cell>
          <cell r="G6354" t="str">
            <v xml:space="preserve">TCBP317 </v>
          </cell>
          <cell r="H6354" t="str">
            <v>THULE</v>
          </cell>
          <cell r="I6354">
            <v>0</v>
          </cell>
        </row>
        <row r="6355">
          <cell r="A6355" t="str">
            <v>19-51874</v>
          </cell>
          <cell r="B6355" t="str">
            <v>REXCEL</v>
          </cell>
          <cell r="C6355" t="str">
            <v>A</v>
          </cell>
          <cell r="D6355" t="str">
            <v>SI</v>
          </cell>
          <cell r="E6355" t="str">
            <v>TCBP317 THULE CROSSOVER BACKPACK 25L COBALT</v>
          </cell>
          <cell r="F6355" t="str">
            <v>MOCHILA</v>
          </cell>
          <cell r="G6355" t="str">
            <v xml:space="preserve">TCBP317 </v>
          </cell>
          <cell r="H6355" t="str">
            <v>THULE</v>
          </cell>
          <cell r="I6355">
            <v>0</v>
          </cell>
        </row>
        <row r="6356">
          <cell r="A6356" t="str">
            <v>19-51875</v>
          </cell>
          <cell r="B6356" t="str">
            <v>REXCEL</v>
          </cell>
          <cell r="C6356" t="str">
            <v>A</v>
          </cell>
          <cell r="D6356" t="str">
            <v>SI</v>
          </cell>
          <cell r="E6356" t="str">
            <v>TCRD1 THULE CROSSOVER ROLLING DUFFEL 56L BLACK</v>
          </cell>
          <cell r="F6356" t="str">
            <v>MOCHILA</v>
          </cell>
          <cell r="G6356" t="str">
            <v xml:space="preserve">TCRD1 </v>
          </cell>
          <cell r="H6356" t="str">
            <v>THULE</v>
          </cell>
          <cell r="I6356">
            <v>0</v>
          </cell>
        </row>
        <row r="6357">
          <cell r="A6357" t="str">
            <v>19-51876</v>
          </cell>
          <cell r="B6357" t="str">
            <v>REXCEL</v>
          </cell>
          <cell r="C6357" t="str">
            <v>A</v>
          </cell>
          <cell r="D6357" t="str">
            <v>SI</v>
          </cell>
          <cell r="E6357" t="str">
            <v>TCRU115 THULE CROSSOVER CARRY-ON 56CM/22" BLACK</v>
          </cell>
          <cell r="F6357" t="str">
            <v>MOCHILA</v>
          </cell>
          <cell r="G6357" t="str">
            <v xml:space="preserve">TCRU115 </v>
          </cell>
          <cell r="H6357" t="str">
            <v>THULE</v>
          </cell>
          <cell r="I6357">
            <v>0</v>
          </cell>
        </row>
        <row r="6358">
          <cell r="A6358" t="str">
            <v>19-51877</v>
          </cell>
          <cell r="B6358" t="str">
            <v>REXCEL</v>
          </cell>
          <cell r="C6358" t="str">
            <v>A</v>
          </cell>
          <cell r="D6358" t="str">
            <v>SI</v>
          </cell>
          <cell r="E6358" t="str">
            <v>TDMB115 THULE DEPARTER 21L BLACK</v>
          </cell>
          <cell r="F6358" t="str">
            <v>MOCHILA</v>
          </cell>
          <cell r="G6358" t="str">
            <v xml:space="preserve">TDMB115 </v>
          </cell>
          <cell r="H6358" t="str">
            <v>THULE</v>
          </cell>
          <cell r="I6358">
            <v>0</v>
          </cell>
        </row>
        <row r="6359">
          <cell r="A6359" t="str">
            <v>19-51878</v>
          </cell>
          <cell r="B6359" t="str">
            <v>REXCEL</v>
          </cell>
          <cell r="C6359" t="str">
            <v>A</v>
          </cell>
          <cell r="D6359" t="str">
            <v>SI</v>
          </cell>
          <cell r="E6359" t="str">
            <v>TDMB115 THULE DEPARTER 21L DK BRDEUX/VIB ORANGE</v>
          </cell>
          <cell r="F6359" t="str">
            <v>MOCHILA</v>
          </cell>
          <cell r="G6359" t="str">
            <v xml:space="preserve">TDMB115 </v>
          </cell>
          <cell r="H6359" t="str">
            <v>THULE</v>
          </cell>
          <cell r="I6359">
            <v>0</v>
          </cell>
        </row>
        <row r="6360">
          <cell r="A6360" t="str">
            <v>19-51879</v>
          </cell>
          <cell r="B6360" t="str">
            <v>REXCEL</v>
          </cell>
          <cell r="C6360" t="str">
            <v>A</v>
          </cell>
          <cell r="D6360" t="str">
            <v>SI</v>
          </cell>
          <cell r="E6360" t="str">
            <v>TDMB115 THULE DEPARTER 21L LICHEN/DARK SHADOW</v>
          </cell>
          <cell r="F6360" t="str">
            <v>MOCHILA</v>
          </cell>
          <cell r="G6360" t="str">
            <v xml:space="preserve">TDMB115 </v>
          </cell>
          <cell r="H6360" t="str">
            <v>THULE</v>
          </cell>
          <cell r="I6360">
            <v>0</v>
          </cell>
        </row>
        <row r="6361">
          <cell r="A6361" t="str">
            <v>19-51880</v>
          </cell>
          <cell r="B6361" t="str">
            <v>REXCEL</v>
          </cell>
          <cell r="C6361" t="str">
            <v>A</v>
          </cell>
          <cell r="D6361" t="str">
            <v>SI</v>
          </cell>
          <cell r="E6361" t="str">
            <v>TDSB113 THULE DEPARTER 23L BLACK</v>
          </cell>
          <cell r="F6361" t="str">
            <v>MOCHILA</v>
          </cell>
          <cell r="G6361" t="str">
            <v xml:space="preserve">TDSB113 </v>
          </cell>
          <cell r="H6361" t="str">
            <v>THULE</v>
          </cell>
          <cell r="I6361">
            <v>0</v>
          </cell>
        </row>
        <row r="6362">
          <cell r="A6362" t="str">
            <v>19-51881</v>
          </cell>
          <cell r="B6362" t="str">
            <v>REXCEL</v>
          </cell>
          <cell r="C6362" t="str">
            <v>A</v>
          </cell>
          <cell r="D6362" t="str">
            <v>SI</v>
          </cell>
          <cell r="E6362" t="str">
            <v>TDSB113 THULE DEPARTER 23L LICHEN/DARK SHADOW</v>
          </cell>
          <cell r="F6362" t="str">
            <v>MOCHILA</v>
          </cell>
          <cell r="G6362" t="str">
            <v>TDSB113</v>
          </cell>
          <cell r="H6362" t="str">
            <v>THULE</v>
          </cell>
          <cell r="I6362">
            <v>0</v>
          </cell>
        </row>
        <row r="6363">
          <cell r="A6363" t="str">
            <v>19-51882</v>
          </cell>
          <cell r="B6363" t="str">
            <v>REXCEL</v>
          </cell>
          <cell r="C6363" t="str">
            <v>A</v>
          </cell>
          <cell r="D6363" t="str">
            <v>SI</v>
          </cell>
          <cell r="E6363" t="str">
            <v>TDSB113 THULE DEPARTER 23L DK BRDEUX/VIB ORANGE</v>
          </cell>
          <cell r="F6363" t="str">
            <v>MOCHILA</v>
          </cell>
          <cell r="G6363" t="str">
            <v>TDSB113</v>
          </cell>
          <cell r="H6363" t="str">
            <v>THULE</v>
          </cell>
          <cell r="I6363">
            <v>0</v>
          </cell>
        </row>
        <row r="6364">
          <cell r="A6364" t="str">
            <v>19-51883</v>
          </cell>
          <cell r="B6364" t="str">
            <v>REXCEL</v>
          </cell>
          <cell r="C6364" t="str">
            <v>A</v>
          </cell>
          <cell r="D6364" t="str">
            <v>SI</v>
          </cell>
          <cell r="E6364" t="str">
            <v>TEBD217 THULE ENROUTE BLUR 2 MONUMENT</v>
          </cell>
          <cell r="F6364" t="str">
            <v>MOCHILA</v>
          </cell>
          <cell r="G6364" t="str">
            <v xml:space="preserve">TEBD217 </v>
          </cell>
          <cell r="H6364" t="str">
            <v>THULE</v>
          </cell>
          <cell r="I6364">
            <v>0</v>
          </cell>
        </row>
        <row r="6365">
          <cell r="A6365" t="str">
            <v>19-51884</v>
          </cell>
          <cell r="B6365" t="str">
            <v>REXCEL</v>
          </cell>
          <cell r="C6365" t="str">
            <v>A</v>
          </cell>
          <cell r="D6365" t="str">
            <v>SI</v>
          </cell>
          <cell r="E6365" t="str">
            <v>TEBP213 THULE ENROUTE BACKPACK 13L BLACK</v>
          </cell>
          <cell r="F6365" t="str">
            <v>MOCHILA</v>
          </cell>
          <cell r="G6365" t="str">
            <v xml:space="preserve">TEBP213 </v>
          </cell>
          <cell r="H6365" t="str">
            <v>THULE</v>
          </cell>
          <cell r="I6365">
            <v>0</v>
          </cell>
        </row>
        <row r="6366">
          <cell r="A6366" t="str">
            <v>19-51885</v>
          </cell>
          <cell r="B6366" t="str">
            <v>REXCEL</v>
          </cell>
          <cell r="C6366" t="str">
            <v>A</v>
          </cell>
          <cell r="D6366" t="str">
            <v>SI</v>
          </cell>
          <cell r="E6366" t="str">
            <v>TEBP213 THULE ENROUTE BACKPACK 13L MIKADO</v>
          </cell>
          <cell r="F6366" t="str">
            <v>MOCHILA</v>
          </cell>
          <cell r="G6366" t="str">
            <v xml:space="preserve">TEBP213 </v>
          </cell>
          <cell r="H6366" t="str">
            <v>THULE</v>
          </cell>
          <cell r="I6366">
            <v>0</v>
          </cell>
        </row>
        <row r="6367">
          <cell r="A6367" t="str">
            <v>19-51886</v>
          </cell>
          <cell r="B6367" t="str">
            <v>REXCEL</v>
          </cell>
          <cell r="C6367" t="str">
            <v>A</v>
          </cell>
          <cell r="D6367" t="str">
            <v>SI</v>
          </cell>
          <cell r="E6367" t="str">
            <v>TEBP213 THULE ENROUTE BACKPACK 13L MONARCH</v>
          </cell>
          <cell r="F6367" t="str">
            <v>MOCHILA</v>
          </cell>
          <cell r="G6367" t="str">
            <v xml:space="preserve">TEBP213 </v>
          </cell>
          <cell r="H6367" t="str">
            <v>THULE</v>
          </cell>
          <cell r="I6367">
            <v>0</v>
          </cell>
        </row>
        <row r="6368">
          <cell r="A6368" t="str">
            <v>19-51887</v>
          </cell>
          <cell r="B6368" t="str">
            <v>REXCEL</v>
          </cell>
          <cell r="C6368" t="str">
            <v>A</v>
          </cell>
          <cell r="D6368" t="str">
            <v>SI</v>
          </cell>
          <cell r="E6368" t="str">
            <v>TETD215 THULE ENROUTE TRIUMPH 2 MIKADO</v>
          </cell>
          <cell r="F6368" t="str">
            <v>MOCHILA</v>
          </cell>
          <cell r="G6368" t="str">
            <v xml:space="preserve">TETD215 </v>
          </cell>
          <cell r="H6368" t="str">
            <v>THULE</v>
          </cell>
          <cell r="I6368">
            <v>0</v>
          </cell>
        </row>
        <row r="6369">
          <cell r="A6369" t="str">
            <v>19-51888</v>
          </cell>
          <cell r="B6369" t="str">
            <v>REXCEL</v>
          </cell>
          <cell r="C6369" t="str">
            <v>A</v>
          </cell>
          <cell r="D6369" t="str">
            <v>SI</v>
          </cell>
          <cell r="E6369" t="str">
            <v>TETD215 THULE ENROUTE TRIUMPH 2 MONUMENT</v>
          </cell>
          <cell r="F6369" t="str">
            <v>MOCHILA</v>
          </cell>
          <cell r="G6369" t="str">
            <v xml:space="preserve">TETD215 </v>
          </cell>
          <cell r="H6369" t="str">
            <v>THULE</v>
          </cell>
          <cell r="I6369">
            <v>0</v>
          </cell>
        </row>
        <row r="6370">
          <cell r="A6370" t="str">
            <v>19-51889</v>
          </cell>
          <cell r="B6370" t="str">
            <v>REXCEL</v>
          </cell>
          <cell r="C6370" t="str">
            <v>A</v>
          </cell>
          <cell r="D6370" t="str">
            <v>SI</v>
          </cell>
          <cell r="E6370" t="str">
            <v>TLGB101 THULE LEGEND GOPRO BACKPACK BLACK</v>
          </cell>
          <cell r="F6370" t="str">
            <v>MOCHILA</v>
          </cell>
          <cell r="G6370" t="str">
            <v xml:space="preserve">TLGB101 </v>
          </cell>
          <cell r="H6370" t="str">
            <v>THULE</v>
          </cell>
          <cell r="I6370">
            <v>0</v>
          </cell>
        </row>
        <row r="6371">
          <cell r="A6371" t="str">
            <v>19-51890</v>
          </cell>
          <cell r="B6371" t="str">
            <v>REXCEL</v>
          </cell>
          <cell r="C6371" t="str">
            <v>A</v>
          </cell>
          <cell r="D6371" t="str">
            <v>SI</v>
          </cell>
          <cell r="E6371" t="str">
            <v>TLGS101 THULE LEGEND GOPRO SLING PACK BLACK</v>
          </cell>
          <cell r="F6371" t="str">
            <v>MOCHILA</v>
          </cell>
          <cell r="G6371" t="str">
            <v xml:space="preserve">TLGS101 </v>
          </cell>
          <cell r="H6371" t="str">
            <v>THULE</v>
          </cell>
          <cell r="I6371">
            <v>0</v>
          </cell>
        </row>
        <row r="6372">
          <cell r="A6372" t="str">
            <v>19-51891</v>
          </cell>
          <cell r="B6372" t="str">
            <v>REXCEL</v>
          </cell>
          <cell r="C6372" t="str">
            <v>A</v>
          </cell>
          <cell r="D6372" t="str">
            <v>SI</v>
          </cell>
          <cell r="E6372" t="str">
            <v>TSS313 THULE SUBTERRA MACBOOK® SLEEVE 13" DARK SHADOW</v>
          </cell>
          <cell r="F6372" t="str">
            <v>MOCHILA</v>
          </cell>
          <cell r="G6372" t="str">
            <v xml:space="preserve">TSS313 </v>
          </cell>
          <cell r="H6372" t="str">
            <v>THULE</v>
          </cell>
          <cell r="I6372">
            <v>0</v>
          </cell>
        </row>
        <row r="6373">
          <cell r="A6373" t="str">
            <v>19-51892</v>
          </cell>
          <cell r="B6373" t="str">
            <v>REXCEL</v>
          </cell>
          <cell r="C6373" t="str">
            <v>A</v>
          </cell>
          <cell r="D6373" t="str">
            <v>SI</v>
          </cell>
          <cell r="E6373" t="str">
            <v>TSS315 THULE SUBTERRA MACBOOK® SLEEVE 15" DARK SHADOW</v>
          </cell>
          <cell r="F6373" t="str">
            <v>MOCHILA</v>
          </cell>
          <cell r="G6373" t="str">
            <v xml:space="preserve">TSS315 </v>
          </cell>
          <cell r="H6373" t="str">
            <v>THULE</v>
          </cell>
          <cell r="I6373">
            <v>0</v>
          </cell>
        </row>
        <row r="6374">
          <cell r="A6374" t="str">
            <v>19-51893</v>
          </cell>
          <cell r="B6374" t="str">
            <v>REXCEL</v>
          </cell>
          <cell r="C6374" t="str">
            <v>A</v>
          </cell>
          <cell r="D6374" t="str">
            <v>SI</v>
          </cell>
          <cell r="E6374" t="str">
            <v>TSDP115 THULE SUBTERRA BACKPACK 25L DARK SHADOW</v>
          </cell>
          <cell r="F6374" t="str">
            <v>MOCHILA</v>
          </cell>
          <cell r="G6374" t="str">
            <v xml:space="preserve">TSDP115 </v>
          </cell>
          <cell r="H6374" t="str">
            <v>THULE</v>
          </cell>
          <cell r="I6374">
            <v>0</v>
          </cell>
        </row>
        <row r="6375">
          <cell r="A6375" t="str">
            <v>19-51894</v>
          </cell>
          <cell r="B6375" t="str">
            <v>REXCEL</v>
          </cell>
          <cell r="C6375" t="str">
            <v>A</v>
          </cell>
          <cell r="D6375" t="str">
            <v>SI</v>
          </cell>
          <cell r="E6375" t="str">
            <v>TSDP115 THULE SUBTERRA BACKPACK 25L SAND</v>
          </cell>
          <cell r="F6375" t="str">
            <v>MOCHILA</v>
          </cell>
          <cell r="G6375" t="str">
            <v xml:space="preserve">TSDP115 </v>
          </cell>
          <cell r="H6375" t="str">
            <v>THULE</v>
          </cell>
          <cell r="I6375">
            <v>0</v>
          </cell>
        </row>
        <row r="6376">
          <cell r="A6376" t="str">
            <v>19-51895</v>
          </cell>
          <cell r="B6376" t="str">
            <v>REXCEL</v>
          </cell>
          <cell r="C6376" t="str">
            <v>A</v>
          </cell>
          <cell r="D6376" t="str">
            <v>SI</v>
          </cell>
          <cell r="E6376" t="str">
            <v>TSR336 THULE SUBTERRA CARRY-ON 55CM/22" DARK SHADOW</v>
          </cell>
          <cell r="F6376" t="str">
            <v>MOCHILA</v>
          </cell>
          <cell r="G6376" t="str">
            <v xml:space="preserve">TSR336 </v>
          </cell>
          <cell r="H6376" t="str">
            <v>THULE</v>
          </cell>
          <cell r="I6376">
            <v>0</v>
          </cell>
        </row>
        <row r="6377">
          <cell r="A6377" t="str">
            <v>19-51896</v>
          </cell>
          <cell r="B6377" t="str">
            <v>REXCEL</v>
          </cell>
          <cell r="C6377" t="str">
            <v>A</v>
          </cell>
          <cell r="D6377" t="str">
            <v>SI</v>
          </cell>
          <cell r="E6377" t="str">
            <v>TSR336 THULE SUBTERRA CARRY-ON 55CM/22" EMBER</v>
          </cell>
          <cell r="F6377" t="str">
            <v>MOCHILA</v>
          </cell>
          <cell r="G6377" t="str">
            <v xml:space="preserve">TSR336 </v>
          </cell>
          <cell r="H6377" t="str">
            <v>THULE</v>
          </cell>
          <cell r="I6377">
            <v>0</v>
          </cell>
        </row>
        <row r="6378">
          <cell r="A6378" t="str">
            <v>19-51897</v>
          </cell>
          <cell r="B6378" t="str">
            <v>REXCEL</v>
          </cell>
          <cell r="C6378" t="str">
            <v>A</v>
          </cell>
          <cell r="D6378" t="str">
            <v>SI</v>
          </cell>
          <cell r="E6378" t="str">
            <v>TSR375 THULE SUBTERRA LUGGAGE 70CM/28" DARK SHADOW</v>
          </cell>
          <cell r="F6378" t="str">
            <v>MOCHILA</v>
          </cell>
          <cell r="G6378" t="str">
            <v>TSR375</v>
          </cell>
          <cell r="H6378" t="str">
            <v>THULE</v>
          </cell>
          <cell r="I6378">
            <v>0</v>
          </cell>
        </row>
        <row r="6379">
          <cell r="A6379" t="str">
            <v>19-06360</v>
          </cell>
          <cell r="B6379" t="str">
            <v>H. MANCHA</v>
          </cell>
          <cell r="C6379" t="str">
            <v>A</v>
          </cell>
          <cell r="D6379" t="str">
            <v>SI</v>
          </cell>
          <cell r="E6379" t="str">
            <v xml:space="preserve">9786079377067 HABITOS DE GENTE ALTAMENTE E     </v>
          </cell>
          <cell r="F6379" t="str">
            <v>LIBRO</v>
          </cell>
          <cell r="G6379">
            <v>978607937706</v>
          </cell>
          <cell r="H6379" t="str">
            <v>H. MANCHA</v>
          </cell>
          <cell r="I6379">
            <v>24.95</v>
          </cell>
        </row>
        <row r="6380">
          <cell r="A6380" t="str">
            <v>19-06361</v>
          </cell>
          <cell r="B6380" t="str">
            <v>H. MANCHA</v>
          </cell>
          <cell r="C6380" t="str">
            <v>A</v>
          </cell>
          <cell r="D6380" t="str">
            <v>SI</v>
          </cell>
          <cell r="E6380" t="str">
            <v xml:space="preserve">9781476764667 HABITS OF HIGHLY EFFEC           </v>
          </cell>
          <cell r="F6380" t="str">
            <v>LIBRO</v>
          </cell>
          <cell r="G6380">
            <v>978147676466</v>
          </cell>
          <cell r="H6380" t="str">
            <v>H. MANCHA</v>
          </cell>
          <cell r="I6380">
            <v>16.95</v>
          </cell>
        </row>
        <row r="6381">
          <cell r="A6381" t="str">
            <v>19-06362</v>
          </cell>
          <cell r="B6381" t="str">
            <v>H. MANCHA</v>
          </cell>
          <cell r="C6381" t="str">
            <v>A</v>
          </cell>
          <cell r="D6381" t="str">
            <v>SI</v>
          </cell>
          <cell r="E6381" t="str">
            <v xml:space="preserve">9780743250977 HABITS PERSONAL WKBK             </v>
          </cell>
          <cell r="F6381" t="str">
            <v>LIBRO</v>
          </cell>
          <cell r="G6381">
            <v>978074325097</v>
          </cell>
          <cell r="H6381" t="str">
            <v>H. MANCHA</v>
          </cell>
          <cell r="I6381">
            <v>15.95</v>
          </cell>
        </row>
        <row r="6382">
          <cell r="A6382" t="str">
            <v>19-06363</v>
          </cell>
          <cell r="B6382" t="str">
            <v>H. MANCHA</v>
          </cell>
          <cell r="C6382" t="str">
            <v>A</v>
          </cell>
          <cell r="D6382" t="str">
            <v>SI</v>
          </cell>
          <cell r="E6382" t="str">
            <v>9789585454385AMOR Y OTRAS EXTRANAS</v>
          </cell>
          <cell r="F6382" t="str">
            <v>LIBRO</v>
          </cell>
          <cell r="G6382">
            <v>9789585454385</v>
          </cell>
          <cell r="H6382" t="str">
            <v>H. MANCHA</v>
          </cell>
          <cell r="I6382">
            <v>6.95</v>
          </cell>
        </row>
        <row r="6383">
          <cell r="A6383" t="str">
            <v>19-06364</v>
          </cell>
          <cell r="B6383" t="str">
            <v>H. MANCHA</v>
          </cell>
          <cell r="C6383" t="str">
            <v>A</v>
          </cell>
          <cell r="D6383" t="str">
            <v>SI</v>
          </cell>
          <cell r="E6383" t="str">
            <v xml:space="preserve">978141652479ANGELS &amp; DEMONS-EAN                </v>
          </cell>
          <cell r="F6383" t="str">
            <v>LIBRO</v>
          </cell>
          <cell r="G6383">
            <v>978141652479</v>
          </cell>
          <cell r="H6383" t="str">
            <v>H. MANCHA</v>
          </cell>
          <cell r="I6383">
            <v>10.95</v>
          </cell>
        </row>
        <row r="6384">
          <cell r="A6384" t="str">
            <v>19-06365</v>
          </cell>
          <cell r="B6384" t="str">
            <v>H. MANCHA</v>
          </cell>
          <cell r="C6384" t="str">
            <v>A</v>
          </cell>
          <cell r="D6384" t="str">
            <v>SI</v>
          </cell>
          <cell r="E6384" t="str">
            <v xml:space="preserve">978607074342AQUI DENTRO SIEMPRE LLUEVE         </v>
          </cell>
          <cell r="F6384" t="str">
            <v>LIBRO</v>
          </cell>
          <cell r="G6384">
            <v>978607074342</v>
          </cell>
          <cell r="H6384" t="str">
            <v>H. MANCHA</v>
          </cell>
          <cell r="I6384">
            <v>9.9499999999999993</v>
          </cell>
        </row>
        <row r="6385">
          <cell r="A6385" t="str">
            <v>19-06366</v>
          </cell>
          <cell r="B6385" t="str">
            <v>H. MANCHA</v>
          </cell>
          <cell r="C6385" t="str">
            <v>A</v>
          </cell>
          <cell r="D6385" t="str">
            <v>SI</v>
          </cell>
          <cell r="E6385" t="str">
            <v>9786070743986ASESINATO EN EL ORIENT EXPRESS</v>
          </cell>
          <cell r="F6385" t="str">
            <v>LIBRO</v>
          </cell>
          <cell r="G6385">
            <v>9786070743986</v>
          </cell>
          <cell r="H6385" t="str">
            <v>H. MANCHA</v>
          </cell>
          <cell r="I6385">
            <v>6.95</v>
          </cell>
        </row>
        <row r="6386">
          <cell r="A6386" t="str">
            <v>19-06367</v>
          </cell>
          <cell r="B6386" t="str">
            <v>H. MANCHA</v>
          </cell>
          <cell r="C6386" t="str">
            <v>A</v>
          </cell>
          <cell r="D6386" t="str">
            <v>SI</v>
          </cell>
          <cell r="E6386" t="str">
            <v xml:space="preserve">9789585407435AVENTURAS DE AMI,LAS </v>
          </cell>
          <cell r="F6386" t="str">
            <v>LIBRO</v>
          </cell>
          <cell r="G6386">
            <v>9789585407435</v>
          </cell>
          <cell r="H6386" t="str">
            <v>H. MANCHA</v>
          </cell>
          <cell r="I6386">
            <v>14.95</v>
          </cell>
        </row>
        <row r="6387">
          <cell r="A6387" t="str">
            <v>19-06368</v>
          </cell>
          <cell r="B6387" t="str">
            <v>H. MANCHA</v>
          </cell>
          <cell r="C6387" t="str">
            <v>A</v>
          </cell>
          <cell r="D6387" t="str">
            <v>SI</v>
          </cell>
          <cell r="E6387" t="str">
            <v xml:space="preserve">978147675509BEAUTIFUL BOMBSHELL                </v>
          </cell>
          <cell r="F6387" t="str">
            <v>LIBRO</v>
          </cell>
          <cell r="G6387">
            <v>978147675509</v>
          </cell>
          <cell r="H6387" t="str">
            <v>H. MANCHA</v>
          </cell>
          <cell r="I6387">
            <v>11.95</v>
          </cell>
        </row>
        <row r="6388">
          <cell r="A6388" t="str">
            <v>19-06369</v>
          </cell>
          <cell r="B6388" t="str">
            <v>H. MANCHA</v>
          </cell>
          <cell r="C6388" t="str">
            <v>A</v>
          </cell>
          <cell r="D6388" t="str">
            <v>SI</v>
          </cell>
          <cell r="E6388" t="str">
            <v xml:space="preserve">978147671204BEAUTIFUL DISASTER                 </v>
          </cell>
          <cell r="F6388" t="str">
            <v>LIBRO</v>
          </cell>
          <cell r="G6388">
            <v>978147671204</v>
          </cell>
          <cell r="H6388" t="str">
            <v>H. MANCHA</v>
          </cell>
          <cell r="I6388">
            <v>15.95</v>
          </cell>
        </row>
        <row r="6389">
          <cell r="A6389" t="str">
            <v>19-06370</v>
          </cell>
          <cell r="B6389" t="str">
            <v>H. MANCHA</v>
          </cell>
          <cell r="C6389" t="str">
            <v>A</v>
          </cell>
          <cell r="D6389" t="str">
            <v>SI</v>
          </cell>
          <cell r="E6389" t="str">
            <v xml:space="preserve">9786070738272BELLA Y LA BESTIA . LA NOVELA  </v>
          </cell>
          <cell r="F6389" t="str">
            <v>LIBRO</v>
          </cell>
          <cell r="G6389">
            <v>9786070738272</v>
          </cell>
          <cell r="H6389" t="str">
            <v>H. MANCHA</v>
          </cell>
          <cell r="I6389">
            <v>11.95</v>
          </cell>
        </row>
        <row r="6390">
          <cell r="A6390" t="str">
            <v>19-06371</v>
          </cell>
          <cell r="B6390" t="str">
            <v>H. MANCHA</v>
          </cell>
          <cell r="C6390" t="str">
            <v>A</v>
          </cell>
          <cell r="D6390" t="str">
            <v>SI</v>
          </cell>
          <cell r="E6390" t="str">
            <v xml:space="preserve">978607747031BREVISIMA HISTORIA DEL TIEMPO      </v>
          </cell>
          <cell r="F6390" t="str">
            <v>LIBRO</v>
          </cell>
          <cell r="G6390">
            <v>978607747031</v>
          </cell>
          <cell r="H6390" t="str">
            <v>H. MANCHA</v>
          </cell>
          <cell r="I6390">
            <v>10.95</v>
          </cell>
        </row>
        <row r="6391">
          <cell r="A6391" t="str">
            <v>19-06372</v>
          </cell>
          <cell r="B6391" t="str">
            <v>H. MANCHA</v>
          </cell>
          <cell r="C6391" t="str">
            <v>A</v>
          </cell>
          <cell r="D6391" t="str">
            <v>SI</v>
          </cell>
          <cell r="E6391" t="str">
            <v>9786070742941BUENOS DIAS PRINCESA</v>
          </cell>
          <cell r="F6391" t="str">
            <v>LIBRO</v>
          </cell>
          <cell r="G6391">
            <v>9786070742941</v>
          </cell>
          <cell r="H6391" t="str">
            <v>H. MANCHA</v>
          </cell>
          <cell r="I6391">
            <v>16.95</v>
          </cell>
        </row>
        <row r="6392">
          <cell r="A6392" t="str">
            <v>19-06373</v>
          </cell>
          <cell r="B6392" t="str">
            <v>H. MANCHA</v>
          </cell>
          <cell r="C6392" t="str">
            <v>A</v>
          </cell>
          <cell r="D6392" t="str">
            <v>SI</v>
          </cell>
          <cell r="E6392" t="str">
            <v>9786076210796BUSCANDO A ALASKA</v>
          </cell>
          <cell r="F6392" t="str">
            <v>LIBRO</v>
          </cell>
          <cell r="G6392">
            <v>9786076210796</v>
          </cell>
          <cell r="H6392" t="str">
            <v>H. MANCHA</v>
          </cell>
          <cell r="I6392">
            <v>19.95</v>
          </cell>
        </row>
        <row r="6393">
          <cell r="A6393" t="str">
            <v>19-06374</v>
          </cell>
          <cell r="B6393" t="str">
            <v>H. MANCHA</v>
          </cell>
          <cell r="C6393" t="str">
            <v>A</v>
          </cell>
          <cell r="D6393" t="str">
            <v>SI</v>
          </cell>
          <cell r="E6393" t="str">
            <v xml:space="preserve">9786070733123CABANA LA </v>
          </cell>
          <cell r="F6393" t="str">
            <v>LIBRO</v>
          </cell>
          <cell r="G6393">
            <v>9786070733123</v>
          </cell>
          <cell r="H6393" t="str">
            <v>H. MANCHA</v>
          </cell>
          <cell r="I6393">
            <v>9.9499999999999993</v>
          </cell>
        </row>
        <row r="6394">
          <cell r="A6394" t="str">
            <v>19-06375</v>
          </cell>
          <cell r="B6394" t="str">
            <v>H. MANCHA</v>
          </cell>
          <cell r="C6394" t="str">
            <v>A</v>
          </cell>
          <cell r="D6394" t="str">
            <v>SI</v>
          </cell>
          <cell r="E6394" t="str">
            <v xml:space="preserve">978144947873CATS ADULT COLORING BOOK           </v>
          </cell>
          <cell r="F6394" t="str">
            <v>LIBRO</v>
          </cell>
          <cell r="G6394">
            <v>978144947873</v>
          </cell>
          <cell r="H6394" t="str">
            <v>H. MANCHA</v>
          </cell>
          <cell r="I6394">
            <v>13.95</v>
          </cell>
        </row>
        <row r="6395">
          <cell r="A6395" t="str">
            <v>19-06376</v>
          </cell>
          <cell r="B6395" t="str">
            <v>H. MANCHA</v>
          </cell>
          <cell r="C6395" t="str">
            <v>A</v>
          </cell>
          <cell r="D6395" t="str">
            <v>SI</v>
          </cell>
          <cell r="E6395" t="str">
            <v xml:space="preserve">978958900776CHICA DE ANTES, LA                 </v>
          </cell>
          <cell r="F6395" t="str">
            <v>LIBRO</v>
          </cell>
          <cell r="G6395">
            <v>978958900776</v>
          </cell>
          <cell r="H6395" t="str">
            <v>H. MANCHA</v>
          </cell>
          <cell r="I6395">
            <v>17.95</v>
          </cell>
        </row>
        <row r="6396">
          <cell r="A6396" t="str">
            <v>19-06377</v>
          </cell>
          <cell r="B6396" t="str">
            <v>H. MANCHA</v>
          </cell>
          <cell r="C6396" t="str">
            <v>A</v>
          </cell>
          <cell r="D6396" t="str">
            <v>SI</v>
          </cell>
          <cell r="E6396" t="str">
            <v>9788466335348CIUDADES DE PAPEL</v>
          </cell>
          <cell r="F6396" t="str">
            <v>LIBRO</v>
          </cell>
          <cell r="G6396">
            <v>9788466335348</v>
          </cell>
          <cell r="H6396" t="str">
            <v>H. MANCHA</v>
          </cell>
          <cell r="I6396">
            <v>10.95</v>
          </cell>
        </row>
        <row r="6397">
          <cell r="A6397" t="str">
            <v>19-06378</v>
          </cell>
          <cell r="B6397" t="str">
            <v>H. MANCHA</v>
          </cell>
          <cell r="C6397" t="str">
            <v>A</v>
          </cell>
          <cell r="D6397" t="str">
            <v>SI</v>
          </cell>
          <cell r="E6397" t="str">
            <v>9789585454422CLUB DE LOS CORAZONES SOLITARI</v>
          </cell>
          <cell r="F6397" t="str">
            <v>LIBRO</v>
          </cell>
          <cell r="G6397">
            <v>9789585454422</v>
          </cell>
          <cell r="H6397" t="str">
            <v>H. MANCHA</v>
          </cell>
          <cell r="I6397">
            <v>5.95</v>
          </cell>
        </row>
        <row r="6398">
          <cell r="A6398" t="str">
            <v>19-06379</v>
          </cell>
          <cell r="B6398" t="str">
            <v>H. MANCHA</v>
          </cell>
          <cell r="C6398" t="str">
            <v>A</v>
          </cell>
          <cell r="D6398" t="str">
            <v>SI</v>
          </cell>
          <cell r="E6398" t="str">
            <v>9786070747878COCO EL COMIC</v>
          </cell>
          <cell r="F6398" t="str">
            <v>LIBRO</v>
          </cell>
          <cell r="G6398">
            <v>9786070747878</v>
          </cell>
          <cell r="H6398" t="str">
            <v>H. MANCHA</v>
          </cell>
          <cell r="I6398">
            <v>12.95</v>
          </cell>
        </row>
        <row r="6399">
          <cell r="A6399" t="str">
            <v>19-06380</v>
          </cell>
          <cell r="B6399" t="str">
            <v>H. MANCHA</v>
          </cell>
          <cell r="C6399" t="str">
            <v>A</v>
          </cell>
          <cell r="D6399" t="str">
            <v>SI</v>
          </cell>
          <cell r="E6399" t="str">
            <v xml:space="preserve">978045120453CODE TO ZERO                       </v>
          </cell>
          <cell r="F6399" t="str">
            <v>LIBRO</v>
          </cell>
          <cell r="G6399">
            <v>978045120453</v>
          </cell>
          <cell r="H6399" t="str">
            <v>H. MANCHA</v>
          </cell>
          <cell r="I6399">
            <v>11.95</v>
          </cell>
        </row>
        <row r="6400">
          <cell r="A6400" t="str">
            <v>19-06381</v>
          </cell>
          <cell r="B6400" t="str">
            <v>H. MANCHA</v>
          </cell>
          <cell r="C6400" t="str">
            <v>A</v>
          </cell>
          <cell r="D6400" t="str">
            <v>SI</v>
          </cell>
          <cell r="E6400" t="str">
            <v>9788415729716CUADERNO DE NOAH</v>
          </cell>
          <cell r="F6400" t="str">
            <v>LIBRO</v>
          </cell>
          <cell r="G6400">
            <v>9788415729716</v>
          </cell>
          <cell r="H6400" t="str">
            <v>H. MANCHA</v>
          </cell>
          <cell r="I6400">
            <v>9.9499999999999993</v>
          </cell>
        </row>
        <row r="6401">
          <cell r="A6401" t="str">
            <v>19-06382</v>
          </cell>
          <cell r="B6401" t="str">
            <v>H. MANCHA</v>
          </cell>
          <cell r="C6401" t="str">
            <v>A</v>
          </cell>
          <cell r="D6401" t="str">
            <v>SI</v>
          </cell>
          <cell r="E6401" t="str">
            <v>9788415729723CUANDO TE ENCUENTRE ( N. CUBIE</v>
          </cell>
          <cell r="F6401" t="str">
            <v>LIBRO</v>
          </cell>
          <cell r="G6401">
            <v>9788415729723</v>
          </cell>
          <cell r="H6401" t="str">
            <v>H. MANCHA</v>
          </cell>
          <cell r="I6401">
            <v>13.95</v>
          </cell>
        </row>
        <row r="6402">
          <cell r="A6402" t="str">
            <v>19-06383</v>
          </cell>
          <cell r="B6402" t="str">
            <v>H. MANCHA</v>
          </cell>
          <cell r="C6402" t="str">
            <v>A</v>
          </cell>
          <cell r="D6402" t="str">
            <v>SI</v>
          </cell>
          <cell r="E6402" t="str">
            <v>9786070739798CUENTOS 1 BUENAS NOCHES PARA N</v>
          </cell>
          <cell r="F6402" t="str">
            <v>LIBRO</v>
          </cell>
          <cell r="G6402">
            <v>9786070739798</v>
          </cell>
          <cell r="H6402" t="str">
            <v>H. MANCHA</v>
          </cell>
          <cell r="I6402">
            <v>12.95</v>
          </cell>
        </row>
        <row r="6403">
          <cell r="A6403" t="str">
            <v>19-06384</v>
          </cell>
          <cell r="B6403" t="str">
            <v>H. MANCHA</v>
          </cell>
          <cell r="C6403" t="str">
            <v>A</v>
          </cell>
          <cell r="D6403" t="str">
            <v>SI</v>
          </cell>
          <cell r="E6403" t="str">
            <v xml:space="preserve">9786070747434CUENTOS 2 BUENAS NOCHES PARA N </v>
          </cell>
          <cell r="F6403" t="str">
            <v>LIBRO</v>
          </cell>
          <cell r="G6403">
            <v>9786070747434</v>
          </cell>
          <cell r="H6403" t="str">
            <v>H. MANCHA</v>
          </cell>
          <cell r="I6403">
            <v>13.95</v>
          </cell>
        </row>
        <row r="6404">
          <cell r="A6404" t="str">
            <v>19-06385</v>
          </cell>
          <cell r="B6404" t="str">
            <v>H. MANCHA</v>
          </cell>
          <cell r="C6404" t="str">
            <v>A</v>
          </cell>
          <cell r="D6404" t="str">
            <v>SI</v>
          </cell>
          <cell r="E6404" t="str">
            <v>9789707800816CUENTOS CHINOS</v>
          </cell>
          <cell r="F6404" t="str">
            <v>LIBRO</v>
          </cell>
          <cell r="G6404">
            <v>9789707800816</v>
          </cell>
          <cell r="H6404" t="str">
            <v>H. MANCHA</v>
          </cell>
          <cell r="I6404">
            <v>17.95</v>
          </cell>
        </row>
        <row r="6405">
          <cell r="A6405" t="str">
            <v>19-06386</v>
          </cell>
          <cell r="B6405" t="str">
            <v>H. MANCHA</v>
          </cell>
          <cell r="C6405" t="str">
            <v>A</v>
          </cell>
          <cell r="D6405" t="str">
            <v>SI</v>
          </cell>
          <cell r="E6405" t="str">
            <v xml:space="preserve">9786070747717DERECHO A DECIR NO, EL </v>
          </cell>
          <cell r="F6405" t="str">
            <v>LIBRO</v>
          </cell>
          <cell r="G6405">
            <v>9786070747717</v>
          </cell>
          <cell r="H6405" t="str">
            <v>H. MANCHA</v>
          </cell>
          <cell r="I6405">
            <v>12.95</v>
          </cell>
        </row>
        <row r="6406">
          <cell r="A6406" t="str">
            <v>19-06387</v>
          </cell>
          <cell r="B6406" t="str">
            <v>H. MANCHA</v>
          </cell>
          <cell r="C6406" t="str">
            <v>A</v>
          </cell>
          <cell r="D6406" t="str">
            <v>SI</v>
          </cell>
          <cell r="E6406" t="str">
            <v>9786070747380DESAPERGARSE SIN ANESTESIA</v>
          </cell>
          <cell r="F6406" t="str">
            <v>LIBRO</v>
          </cell>
          <cell r="G6406">
            <v>9786070747380</v>
          </cell>
          <cell r="H6406" t="str">
            <v>H. MANCHA</v>
          </cell>
          <cell r="I6406">
            <v>12.95</v>
          </cell>
        </row>
        <row r="6407">
          <cell r="A6407" t="str">
            <v>19-06388</v>
          </cell>
          <cell r="B6407" t="str">
            <v>H. MANCHA</v>
          </cell>
          <cell r="C6407" t="str">
            <v>A</v>
          </cell>
          <cell r="D6407" t="str">
            <v>SI</v>
          </cell>
          <cell r="E6407" t="str">
            <v>9786070744877DIEZ NEGRITOS</v>
          </cell>
          <cell r="F6407" t="str">
            <v>LIBRO</v>
          </cell>
          <cell r="G6407">
            <v>9786070744877</v>
          </cell>
          <cell r="H6407" t="str">
            <v>H. MANCHA</v>
          </cell>
          <cell r="I6407">
            <v>6.95</v>
          </cell>
        </row>
        <row r="6408">
          <cell r="A6408" t="str">
            <v>19-06389</v>
          </cell>
          <cell r="B6408" t="str">
            <v>H. MANCHA</v>
          </cell>
          <cell r="C6408" t="str">
            <v>A</v>
          </cell>
          <cell r="D6408" t="str">
            <v>SI</v>
          </cell>
          <cell r="E6408" t="str">
            <v xml:space="preserve">978045147402EDGE OF ETERNITY                   </v>
          </cell>
          <cell r="F6408" t="str">
            <v>LIBRO</v>
          </cell>
          <cell r="G6408">
            <v>978045147402</v>
          </cell>
          <cell r="H6408" t="str">
            <v>H. MANCHA</v>
          </cell>
          <cell r="I6408">
            <v>11.95</v>
          </cell>
        </row>
        <row r="6409">
          <cell r="A6409" t="str">
            <v>19-06390</v>
          </cell>
          <cell r="B6409" t="str">
            <v>H. MANCHA</v>
          </cell>
          <cell r="C6409" t="str">
            <v>A</v>
          </cell>
          <cell r="D6409" t="str">
            <v>SI</v>
          </cell>
          <cell r="E6409" t="str">
            <v>9786073148399ESPIA LA</v>
          </cell>
          <cell r="F6409" t="str">
            <v>LIBRO</v>
          </cell>
          <cell r="G6409">
            <v>9786073148399</v>
          </cell>
          <cell r="H6409" t="str">
            <v>H. MANCHA</v>
          </cell>
          <cell r="I6409">
            <v>9.9499999999999993</v>
          </cell>
        </row>
        <row r="6410">
          <cell r="A6410" t="str">
            <v>19-06391</v>
          </cell>
          <cell r="B6410" t="str">
            <v>H. MANCHA</v>
          </cell>
          <cell r="C6410" t="str">
            <v>A</v>
          </cell>
          <cell r="D6410" t="str">
            <v>SI</v>
          </cell>
          <cell r="E6410" t="str">
            <v xml:space="preserve">978110199103EYE OF THE NEEDLE                  </v>
          </cell>
          <cell r="F6410" t="str">
            <v>LIBRO</v>
          </cell>
          <cell r="G6410">
            <v>978110199103</v>
          </cell>
          <cell r="H6410" t="str">
            <v>H. MANCHA</v>
          </cell>
          <cell r="I6410">
            <v>9.9499999999999993</v>
          </cell>
        </row>
        <row r="6411">
          <cell r="A6411" t="str">
            <v>19-06392</v>
          </cell>
          <cell r="B6411" t="str">
            <v>H. MANCHA</v>
          </cell>
          <cell r="C6411" t="str">
            <v>A</v>
          </cell>
          <cell r="D6411" t="str">
            <v>SI</v>
          </cell>
          <cell r="E6411" t="str">
            <v xml:space="preserve">9786073164115FANTASMA DE NORIEGA, EL </v>
          </cell>
          <cell r="F6411" t="str">
            <v>LIBRO</v>
          </cell>
          <cell r="G6411">
            <v>9786073164115</v>
          </cell>
          <cell r="H6411" t="str">
            <v>H. MANCHA</v>
          </cell>
          <cell r="I6411">
            <v>17.95</v>
          </cell>
        </row>
        <row r="6412">
          <cell r="A6412" t="str">
            <v>19-06393</v>
          </cell>
          <cell r="B6412" t="str">
            <v>H. MANCHA</v>
          </cell>
          <cell r="C6412" t="str">
            <v>A</v>
          </cell>
          <cell r="D6412" t="str">
            <v>SI</v>
          </cell>
          <cell r="E6412" t="str">
            <v>9786070748134FILOSOFIA PARA LA VIDA COTIDIA</v>
          </cell>
          <cell r="F6412" t="str">
            <v>LIBRO</v>
          </cell>
          <cell r="G6412">
            <v>9786070748134</v>
          </cell>
          <cell r="H6412" t="str">
            <v>H. MANCHA</v>
          </cell>
          <cell r="I6412">
            <v>12.95</v>
          </cell>
        </row>
        <row r="6413">
          <cell r="A6413" t="str">
            <v>19-06394</v>
          </cell>
          <cell r="B6413" t="str">
            <v>H. MANCHA</v>
          </cell>
          <cell r="C6413" t="str">
            <v>A</v>
          </cell>
          <cell r="D6413" t="str">
            <v>SI</v>
          </cell>
          <cell r="E6413" t="str">
            <v xml:space="preserve">978607480482FINAL PERFECTO EL                  </v>
          </cell>
          <cell r="F6413" t="str">
            <v>LIBRO</v>
          </cell>
          <cell r="G6413">
            <v>978607480482</v>
          </cell>
          <cell r="H6413" t="str">
            <v>H. MANCHA</v>
          </cell>
          <cell r="I6413">
            <v>17.95</v>
          </cell>
        </row>
        <row r="6414">
          <cell r="A6414" t="str">
            <v>19-06395</v>
          </cell>
          <cell r="B6414" t="str">
            <v>H. MANCHA</v>
          </cell>
          <cell r="C6414" t="str">
            <v>A</v>
          </cell>
          <cell r="D6414" t="str">
            <v>SI</v>
          </cell>
          <cell r="E6414" t="str">
            <v xml:space="preserve">9786070748554FUEGO Y FURIA </v>
          </cell>
          <cell r="F6414" t="str">
            <v>LIBRO</v>
          </cell>
          <cell r="G6414">
            <v>9786070748554</v>
          </cell>
          <cell r="H6414" t="str">
            <v>H. MANCHA</v>
          </cell>
          <cell r="I6414">
            <v>17.95</v>
          </cell>
        </row>
        <row r="6415">
          <cell r="A6415" t="str">
            <v>19-06396</v>
          </cell>
          <cell r="B6415" t="str">
            <v>H. MANCHA</v>
          </cell>
          <cell r="C6415" t="str">
            <v>A</v>
          </cell>
          <cell r="D6415" t="str">
            <v>SI</v>
          </cell>
          <cell r="E6415" t="str">
            <v xml:space="preserve">978074344429GEISHA A LIFE                      </v>
          </cell>
          <cell r="F6415" t="str">
            <v>LIBRO</v>
          </cell>
          <cell r="G6415">
            <v>978074344429</v>
          </cell>
          <cell r="H6415" t="str">
            <v>H. MANCHA</v>
          </cell>
          <cell r="I6415">
            <v>17</v>
          </cell>
        </row>
        <row r="6416">
          <cell r="A6416" t="str">
            <v>19-06397</v>
          </cell>
          <cell r="B6416" t="str">
            <v>H. MANCHA</v>
          </cell>
          <cell r="C6416" t="str">
            <v>A</v>
          </cell>
          <cell r="D6416" t="str">
            <v>SI</v>
          </cell>
          <cell r="E6416" t="str">
            <v xml:space="preserve">978987627179GENTE TOXICA                       </v>
          </cell>
          <cell r="F6416" t="str">
            <v>LIBRO</v>
          </cell>
          <cell r="G6416">
            <v>978987627179</v>
          </cell>
          <cell r="H6416" t="str">
            <v>H. MANCHA</v>
          </cell>
          <cell r="I6416">
            <v>13.95</v>
          </cell>
        </row>
        <row r="6417">
          <cell r="A6417" t="str">
            <v>19-06398</v>
          </cell>
          <cell r="B6417" t="str">
            <v>H. MANCHA</v>
          </cell>
          <cell r="C6417" t="str">
            <v>A</v>
          </cell>
          <cell r="D6417" t="str">
            <v>SI</v>
          </cell>
          <cell r="E6417" t="str">
            <v xml:space="preserve">978045147720GHOSTS OF WAR                      </v>
          </cell>
          <cell r="F6417" t="str">
            <v>LIBRO</v>
          </cell>
          <cell r="G6417">
            <v>978045147720</v>
          </cell>
          <cell r="H6417" t="str">
            <v>H. MANCHA</v>
          </cell>
          <cell r="I6417">
            <v>11.95</v>
          </cell>
        </row>
        <row r="6418">
          <cell r="A6418" t="str">
            <v>19-06399</v>
          </cell>
          <cell r="B6418" t="str">
            <v>H. MANCHA</v>
          </cell>
          <cell r="C6418" t="str">
            <v>A</v>
          </cell>
          <cell r="D6418" t="str">
            <v>SI</v>
          </cell>
          <cell r="E6418" t="str">
            <v xml:space="preserve">978052543476GIRL IN THE SPIDERS WEB THE        </v>
          </cell>
          <cell r="F6418" t="str">
            <v>LIBRO</v>
          </cell>
          <cell r="G6418">
            <v>978052543476</v>
          </cell>
          <cell r="H6418" t="str">
            <v>H. MANCHA</v>
          </cell>
          <cell r="I6418">
            <v>11.95</v>
          </cell>
        </row>
        <row r="6419">
          <cell r="A6419" t="str">
            <v>19-06400</v>
          </cell>
          <cell r="B6419" t="str">
            <v>H. MANCHA</v>
          </cell>
          <cell r="C6419" t="str">
            <v>A</v>
          </cell>
          <cell r="D6419" t="str">
            <v>SI</v>
          </cell>
          <cell r="E6419" t="str">
            <v>9786070741050GRAVITY FALLS. DIARIO 3</v>
          </cell>
          <cell r="F6419" t="str">
            <v>LIBRO</v>
          </cell>
          <cell r="G6419">
            <v>9786070741050</v>
          </cell>
          <cell r="H6419" t="str">
            <v>H. MANCHA</v>
          </cell>
          <cell r="I6419">
            <v>13.95</v>
          </cell>
        </row>
        <row r="6420">
          <cell r="A6420" t="str">
            <v>19-06401</v>
          </cell>
          <cell r="B6420" t="str">
            <v>H. MANCHA</v>
          </cell>
          <cell r="C6420" t="str">
            <v>A</v>
          </cell>
          <cell r="D6420" t="str">
            <v>SI</v>
          </cell>
          <cell r="E6420" t="str">
            <v xml:space="preserve">978607074006GRAVITY FALLS. DIPPER Y MABEL.     </v>
          </cell>
          <cell r="F6420" t="str">
            <v>LIBRO</v>
          </cell>
          <cell r="G6420">
            <v>978607074006</v>
          </cell>
          <cell r="H6420" t="str">
            <v>H. MANCHA</v>
          </cell>
          <cell r="I6420">
            <v>12.95</v>
          </cell>
        </row>
        <row r="6421">
          <cell r="A6421" t="str">
            <v>19-06402</v>
          </cell>
          <cell r="B6421" t="str">
            <v>H. MANCHA</v>
          </cell>
          <cell r="C6421" t="str">
            <v>A</v>
          </cell>
          <cell r="D6421" t="str">
            <v>SI</v>
          </cell>
          <cell r="E6421" t="str">
            <v xml:space="preserve">9786073136099GUIA PARA HACERSE RICO SIN CAN </v>
          </cell>
          <cell r="F6421" t="str">
            <v>LIBRO</v>
          </cell>
          <cell r="G6421">
            <v>9786073136099</v>
          </cell>
          <cell r="H6421" t="str">
            <v>H. MANCHA</v>
          </cell>
          <cell r="I6421">
            <v>7.95</v>
          </cell>
        </row>
        <row r="6422">
          <cell r="A6422" t="str">
            <v>19-06403</v>
          </cell>
          <cell r="B6422" t="str">
            <v>H. MANCHA</v>
          </cell>
          <cell r="C6422" t="str">
            <v>A</v>
          </cell>
          <cell r="D6422" t="str">
            <v>SI</v>
          </cell>
          <cell r="E6422" t="str">
            <v>9786073168588HIPPIE</v>
          </cell>
          <cell r="F6422" t="str">
            <v>LIBRO</v>
          </cell>
          <cell r="G6422">
            <v>9786073168588</v>
          </cell>
          <cell r="H6422" t="str">
            <v>H. MANCHA</v>
          </cell>
          <cell r="I6422">
            <v>19.95</v>
          </cell>
        </row>
        <row r="6423">
          <cell r="A6423" t="str">
            <v>19-06404</v>
          </cell>
          <cell r="B6423" t="str">
            <v>H. MANCHA</v>
          </cell>
          <cell r="C6423" t="str">
            <v>A</v>
          </cell>
          <cell r="D6423" t="str">
            <v>SI</v>
          </cell>
          <cell r="E6423" t="str">
            <v xml:space="preserve">978607747346HISTORIA DEL TIEMPO                </v>
          </cell>
          <cell r="F6423" t="str">
            <v>LIBRO</v>
          </cell>
          <cell r="G6423">
            <v>978607747346</v>
          </cell>
          <cell r="H6423" t="str">
            <v>H. MANCHA</v>
          </cell>
          <cell r="I6423">
            <v>18.95</v>
          </cell>
        </row>
        <row r="6424">
          <cell r="A6424" t="str">
            <v>19-06405</v>
          </cell>
          <cell r="B6424" t="str">
            <v>H. MANCHA</v>
          </cell>
          <cell r="C6424" t="str">
            <v>A</v>
          </cell>
          <cell r="D6424" t="str">
            <v>SI</v>
          </cell>
          <cell r="E6424" t="str">
            <v xml:space="preserve">978607074299HOMBRE QUE PERSEGUIA SU SOMBRA     </v>
          </cell>
          <cell r="F6424" t="str">
            <v>LIBRO</v>
          </cell>
          <cell r="G6424">
            <v>978607074299</v>
          </cell>
          <cell r="H6424" t="str">
            <v>H. MANCHA</v>
          </cell>
          <cell r="I6424">
            <v>20.95</v>
          </cell>
        </row>
        <row r="6425">
          <cell r="A6425" t="str">
            <v>19-06406</v>
          </cell>
          <cell r="B6425" t="str">
            <v>H. MANCHA</v>
          </cell>
          <cell r="C6425" t="str">
            <v>A</v>
          </cell>
          <cell r="D6425" t="str">
            <v>SI</v>
          </cell>
          <cell r="E6425" t="str">
            <v xml:space="preserve">978958893162HOMO DEUS                          </v>
          </cell>
          <cell r="F6425" t="str">
            <v>LIBRO</v>
          </cell>
          <cell r="G6425">
            <v>978958893162</v>
          </cell>
          <cell r="H6425" t="str">
            <v>H. MANCHA</v>
          </cell>
          <cell r="I6425">
            <v>20.95</v>
          </cell>
        </row>
        <row r="6426">
          <cell r="A6426" t="str">
            <v>19-06407</v>
          </cell>
          <cell r="B6426" t="str">
            <v>H. MANCHA</v>
          </cell>
          <cell r="C6426" t="str">
            <v>A</v>
          </cell>
          <cell r="D6426" t="str">
            <v>SI</v>
          </cell>
          <cell r="E6426" t="str">
            <v xml:space="preserve">978147674355HOPELESS                           </v>
          </cell>
          <cell r="F6426" t="str">
            <v>LIBRO</v>
          </cell>
          <cell r="G6426">
            <v>978147674355</v>
          </cell>
          <cell r="H6426" t="str">
            <v>H. MANCHA</v>
          </cell>
          <cell r="I6426">
            <v>17.95</v>
          </cell>
        </row>
        <row r="6427">
          <cell r="A6427" t="str">
            <v>19-06408</v>
          </cell>
          <cell r="B6427" t="str">
            <v>H. MANCHA</v>
          </cell>
          <cell r="C6427" t="str">
            <v>A</v>
          </cell>
          <cell r="D6427" t="str">
            <v>SI</v>
          </cell>
          <cell r="E6427" t="str">
            <v xml:space="preserve">978849677876INTELIGENCIA EMOCIONAL LA          </v>
          </cell>
          <cell r="F6427" t="str">
            <v>LIBRO</v>
          </cell>
          <cell r="G6427">
            <v>978849677876</v>
          </cell>
          <cell r="H6427" t="str">
            <v>H. MANCHA</v>
          </cell>
          <cell r="I6427">
            <v>16.95</v>
          </cell>
        </row>
        <row r="6428">
          <cell r="A6428" t="str">
            <v>19-06409</v>
          </cell>
          <cell r="B6428" t="str">
            <v>H. MANCHA</v>
          </cell>
          <cell r="C6428" t="str">
            <v>A</v>
          </cell>
          <cell r="D6428" t="str">
            <v>SI</v>
          </cell>
          <cell r="E6428" t="str">
            <v xml:space="preserve">978849872172JUAN SALVADOR GAVIOTA              </v>
          </cell>
          <cell r="F6428" t="str">
            <v>LIBRO</v>
          </cell>
          <cell r="G6428">
            <v>978849872172</v>
          </cell>
          <cell r="H6428" t="str">
            <v>H. MANCHA</v>
          </cell>
          <cell r="I6428">
            <v>8.9499999999999993</v>
          </cell>
        </row>
        <row r="6429">
          <cell r="A6429" t="str">
            <v>19-06410</v>
          </cell>
          <cell r="B6429" t="str">
            <v>H. MANCHA</v>
          </cell>
          <cell r="C6429" t="str">
            <v>A</v>
          </cell>
          <cell r="D6429" t="str">
            <v>SI</v>
          </cell>
          <cell r="E6429" t="str">
            <v xml:space="preserve">978045116349KEY TO REBECCA, THE                </v>
          </cell>
          <cell r="F6429" t="str">
            <v>LIBRO</v>
          </cell>
          <cell r="G6429">
            <v>978045116349</v>
          </cell>
          <cell r="H6429" t="str">
            <v>H. MANCHA</v>
          </cell>
          <cell r="I6429">
            <v>11.95</v>
          </cell>
        </row>
        <row r="6430">
          <cell r="A6430" t="str">
            <v>19-06411</v>
          </cell>
          <cell r="B6430" t="str">
            <v>H. MANCHA</v>
          </cell>
          <cell r="C6430" t="str">
            <v>A</v>
          </cell>
          <cell r="D6430" t="str">
            <v>SI</v>
          </cell>
          <cell r="E6430" t="str">
            <v>9789585783034LECCION DE AUGUST</v>
          </cell>
          <cell r="F6430" t="str">
            <v>LIBRO</v>
          </cell>
          <cell r="G6430">
            <v>9789585783034</v>
          </cell>
          <cell r="H6430" t="str">
            <v>H. MANCHA</v>
          </cell>
          <cell r="I6430">
            <v>23.95</v>
          </cell>
        </row>
        <row r="6431">
          <cell r="A6431" t="str">
            <v>19-06412</v>
          </cell>
          <cell r="B6431" t="str">
            <v>H. MANCHA</v>
          </cell>
          <cell r="C6431" t="str">
            <v>A</v>
          </cell>
          <cell r="D6431" t="str">
            <v>SI</v>
          </cell>
          <cell r="E6431" t="str">
            <v xml:space="preserve">978045116350LIE DOWN WITH LIONS                </v>
          </cell>
          <cell r="F6431" t="str">
            <v>LIBRO</v>
          </cell>
          <cell r="G6431">
            <v>978045116350</v>
          </cell>
          <cell r="H6431" t="str">
            <v>H. MANCHA</v>
          </cell>
          <cell r="I6431">
            <v>11.95</v>
          </cell>
        </row>
        <row r="6432">
          <cell r="A6432" t="str">
            <v>19-06413</v>
          </cell>
          <cell r="B6432" t="str">
            <v>H. MANCHA</v>
          </cell>
          <cell r="C6432" t="str">
            <v>A</v>
          </cell>
          <cell r="D6432" t="str">
            <v>SI</v>
          </cell>
          <cell r="E6432" t="str">
            <v>9786070747700LIMITES DEL AMOR, LOS</v>
          </cell>
          <cell r="F6432" t="str">
            <v>LIBRO</v>
          </cell>
          <cell r="G6432">
            <v>9786070747700</v>
          </cell>
          <cell r="H6432" t="str">
            <v>H. MANCHA</v>
          </cell>
          <cell r="I6432">
            <v>12.95</v>
          </cell>
        </row>
        <row r="6433">
          <cell r="A6433" t="str">
            <v>19-06414</v>
          </cell>
          <cell r="B6433" t="str">
            <v>H. MANCHA</v>
          </cell>
          <cell r="C6433" t="str">
            <v>A</v>
          </cell>
          <cell r="D6433" t="str">
            <v>SI</v>
          </cell>
          <cell r="E6433" t="str">
            <v>9788416620692LONDRES DESPUÉS DE TI</v>
          </cell>
          <cell r="F6433" t="str">
            <v>LIBRO</v>
          </cell>
          <cell r="G6433">
            <v>9788416620692</v>
          </cell>
          <cell r="H6433" t="str">
            <v>H. MANCHA</v>
          </cell>
          <cell r="I6433">
            <v>16.95</v>
          </cell>
        </row>
        <row r="6434">
          <cell r="A6434" t="str">
            <v>19-06415</v>
          </cell>
          <cell r="B6434" t="str">
            <v>H. MANCHA</v>
          </cell>
          <cell r="C6434" t="str">
            <v>A</v>
          </cell>
          <cell r="D6434" t="str">
            <v>SI</v>
          </cell>
          <cell r="E6434" t="str">
            <v xml:space="preserve">978147674655LOSING HOPE                        </v>
          </cell>
          <cell r="F6434" t="str">
            <v>LIBRO</v>
          </cell>
          <cell r="G6434">
            <v>978147674655</v>
          </cell>
          <cell r="H6434" t="str">
            <v>H. MANCHA</v>
          </cell>
          <cell r="I6434">
            <v>17.95</v>
          </cell>
        </row>
        <row r="6435">
          <cell r="A6435" t="str">
            <v>19-06416</v>
          </cell>
          <cell r="B6435" t="str">
            <v>H. MANCHA</v>
          </cell>
          <cell r="C6435" t="str">
            <v>A</v>
          </cell>
          <cell r="D6435" t="str">
            <v>SI</v>
          </cell>
          <cell r="E6435" t="str">
            <v xml:space="preserve">978145167344MAGIC THE                          </v>
          </cell>
          <cell r="F6435" t="str">
            <v>LIBRO</v>
          </cell>
          <cell r="G6435">
            <v>978145167344</v>
          </cell>
          <cell r="H6435" t="str">
            <v>H. MANCHA</v>
          </cell>
          <cell r="I6435">
            <v>14.95</v>
          </cell>
        </row>
        <row r="6436">
          <cell r="A6436" t="str">
            <v>19-06417</v>
          </cell>
          <cell r="B6436" t="str">
            <v>H. MANCHA</v>
          </cell>
          <cell r="C6436" t="str">
            <v>A</v>
          </cell>
          <cell r="D6436" t="str">
            <v>SI</v>
          </cell>
          <cell r="E6436" t="str">
            <v xml:space="preserve">978045116351MAN FROM ST. PETERSBURG, THE       </v>
          </cell>
          <cell r="F6436" t="str">
            <v>LIBRO</v>
          </cell>
          <cell r="G6436">
            <v>978045116351</v>
          </cell>
          <cell r="H6436" t="str">
            <v>H. MANCHA</v>
          </cell>
          <cell r="I6436">
            <v>11.95</v>
          </cell>
        </row>
        <row r="6437">
          <cell r="A6437" t="str">
            <v>19-06418</v>
          </cell>
          <cell r="B6437" t="str">
            <v>H. MANCHA</v>
          </cell>
          <cell r="C6437" t="str">
            <v>A</v>
          </cell>
          <cell r="D6437" t="str">
            <v>SI</v>
          </cell>
          <cell r="E6437" t="str">
            <v>9789585454392MARAVILLOSO DESASTRE</v>
          </cell>
          <cell r="F6437" t="str">
            <v>LIBRO</v>
          </cell>
          <cell r="G6437">
            <v>9789585454392</v>
          </cell>
          <cell r="H6437" t="str">
            <v>H. MANCHA</v>
          </cell>
          <cell r="I6437">
            <v>5.95</v>
          </cell>
        </row>
        <row r="6438">
          <cell r="A6438" t="str">
            <v>19-06419</v>
          </cell>
          <cell r="B6438" t="str">
            <v>H. MANCHA</v>
          </cell>
          <cell r="C6438" t="str">
            <v>A</v>
          </cell>
          <cell r="D6438" t="str">
            <v>SI</v>
          </cell>
          <cell r="E6438" t="str">
            <v xml:space="preserve">978849677860MASONES LOS                        </v>
          </cell>
          <cell r="F6438" t="str">
            <v>LIBRO</v>
          </cell>
          <cell r="G6438">
            <v>978849677860</v>
          </cell>
          <cell r="H6438" t="str">
            <v>H. MANCHA</v>
          </cell>
          <cell r="I6438">
            <v>16.95</v>
          </cell>
        </row>
        <row r="6439">
          <cell r="A6439" t="str">
            <v>19-06420</v>
          </cell>
          <cell r="B6439" t="str">
            <v>H. MANCHA</v>
          </cell>
          <cell r="C6439" t="str">
            <v>A</v>
          </cell>
          <cell r="D6439" t="str">
            <v>SI</v>
          </cell>
          <cell r="E6439" t="str">
            <v>9789801295044MIENTRAS TE OLVIDO</v>
          </cell>
          <cell r="F6439" t="str">
            <v>LIBRO</v>
          </cell>
          <cell r="G6439">
            <v>9789801295044</v>
          </cell>
          <cell r="H6439" t="str">
            <v>H. MANCHA</v>
          </cell>
          <cell r="I6439">
            <v>17.95</v>
          </cell>
        </row>
        <row r="6440">
          <cell r="A6440" t="str">
            <v>19-06421</v>
          </cell>
          <cell r="B6440" t="str">
            <v>H. MANCHA</v>
          </cell>
          <cell r="C6440" t="str">
            <v>A</v>
          </cell>
          <cell r="D6440" t="str">
            <v>SI</v>
          </cell>
          <cell r="E6440" t="str">
            <v xml:space="preserve">9789585643017MIL VECES HASTA SIEMPRE </v>
          </cell>
          <cell r="F6440" t="str">
            <v>LIBRO</v>
          </cell>
          <cell r="G6440">
            <v>9789585643017</v>
          </cell>
          <cell r="H6440" t="str">
            <v>H. MANCHA</v>
          </cell>
          <cell r="I6440">
            <v>21.95</v>
          </cell>
        </row>
        <row r="6441">
          <cell r="A6441" t="str">
            <v>19-06422</v>
          </cell>
          <cell r="B6441" t="str">
            <v>H. MANCHA</v>
          </cell>
          <cell r="C6441" t="str">
            <v>A</v>
          </cell>
          <cell r="D6441" t="str">
            <v>SI</v>
          </cell>
          <cell r="E6441" t="str">
            <v>9786070744839MISS MARPLE Y TRECE PROBLEMAS</v>
          </cell>
          <cell r="F6441" t="str">
            <v>LIBRO</v>
          </cell>
          <cell r="G6441">
            <v>9786070744839</v>
          </cell>
          <cell r="H6441" t="str">
            <v>H. MANCHA</v>
          </cell>
          <cell r="I6441">
            <v>6.95</v>
          </cell>
        </row>
        <row r="6442">
          <cell r="A6442" t="str">
            <v>19-06423</v>
          </cell>
          <cell r="B6442" t="str">
            <v>H. MANCHA</v>
          </cell>
          <cell r="C6442" t="str">
            <v>A</v>
          </cell>
          <cell r="D6442" t="str">
            <v>SI</v>
          </cell>
          <cell r="E6442" t="str">
            <v>9786070745645COSAS QUE PIENSAS CUANDO TE MUERD</v>
          </cell>
          <cell r="F6442" t="str">
            <v>LIBRO</v>
          </cell>
          <cell r="G6442">
            <v>9786070745645</v>
          </cell>
          <cell r="H6442" t="str">
            <v>H. MANCHA</v>
          </cell>
          <cell r="I6442">
            <v>14.95</v>
          </cell>
        </row>
        <row r="6443">
          <cell r="A6443" t="str">
            <v>19-06424</v>
          </cell>
          <cell r="B6443" t="str">
            <v>H. MANCHA</v>
          </cell>
          <cell r="C6443" t="str">
            <v>A</v>
          </cell>
          <cell r="D6443" t="str">
            <v>SI</v>
          </cell>
          <cell r="E6443" t="str">
            <v xml:space="preserve">978958878946MONJE QUE VENDIO SU FERRARI        </v>
          </cell>
          <cell r="F6443" t="str">
            <v>LIBRO</v>
          </cell>
          <cell r="G6443">
            <v>978958878946</v>
          </cell>
          <cell r="H6443" t="str">
            <v>H. MANCHA</v>
          </cell>
          <cell r="I6443">
            <v>12.95</v>
          </cell>
        </row>
        <row r="6444">
          <cell r="A6444" t="str">
            <v>19-06425</v>
          </cell>
          <cell r="B6444" t="str">
            <v>H. MANCHA</v>
          </cell>
          <cell r="C6444" t="str">
            <v>A</v>
          </cell>
          <cell r="D6444" t="str">
            <v>SI</v>
          </cell>
          <cell r="E6444" t="str">
            <v xml:space="preserve">978068481552MUCHAS VIDAS, MUCHOS SABIOS        </v>
          </cell>
          <cell r="F6444" t="str">
            <v>LIBRO</v>
          </cell>
          <cell r="G6444">
            <v>978068481552</v>
          </cell>
          <cell r="H6444" t="str">
            <v>H. MANCHA</v>
          </cell>
          <cell r="I6444">
            <v>15.95</v>
          </cell>
        </row>
        <row r="6445">
          <cell r="A6445" t="str">
            <v>19-06426</v>
          </cell>
          <cell r="B6445" t="str">
            <v>H. MANCHA</v>
          </cell>
          <cell r="C6445" t="str">
            <v>A</v>
          </cell>
          <cell r="D6445" t="str">
            <v>SI</v>
          </cell>
          <cell r="E6445" t="str">
            <v>9786070744815MUERTE EN LA VICARIA</v>
          </cell>
          <cell r="F6445" t="str">
            <v>LIBRO</v>
          </cell>
          <cell r="G6445">
            <v>9786070744815</v>
          </cell>
          <cell r="H6445" t="str">
            <v>H. MANCHA</v>
          </cell>
          <cell r="I6445">
            <v>6.95</v>
          </cell>
        </row>
        <row r="6446">
          <cell r="A6446" t="str">
            <v>19-06427</v>
          </cell>
          <cell r="B6446" t="str">
            <v>H. MANCHA</v>
          </cell>
          <cell r="C6446" t="str">
            <v>A</v>
          </cell>
          <cell r="D6446" t="str">
            <v>SI</v>
          </cell>
          <cell r="E6446" t="str">
            <v>9786070744860MUERTE VISITA AL DENTISTA</v>
          </cell>
          <cell r="F6446" t="str">
            <v>LIBRO</v>
          </cell>
          <cell r="G6446">
            <v>9786070744860</v>
          </cell>
          <cell r="H6446" t="str">
            <v>H. MANCHA</v>
          </cell>
          <cell r="I6446">
            <v>6.95</v>
          </cell>
        </row>
        <row r="6447">
          <cell r="A6447" t="str">
            <v>19-06428</v>
          </cell>
          <cell r="B6447" t="str">
            <v>H. MANCHA</v>
          </cell>
          <cell r="C6447" t="str">
            <v>A</v>
          </cell>
          <cell r="D6447" t="str">
            <v>SI</v>
          </cell>
          <cell r="E6447" t="str">
            <v xml:space="preserve">978849654687MUJERES QUE AMAN DEMASIADO         </v>
          </cell>
          <cell r="F6447" t="str">
            <v>LIBRO</v>
          </cell>
          <cell r="G6447">
            <v>978849654687</v>
          </cell>
          <cell r="H6447" t="str">
            <v>H. MANCHA</v>
          </cell>
          <cell r="I6447">
            <v>16.95</v>
          </cell>
        </row>
        <row r="6448">
          <cell r="A6448" t="str">
            <v>19-06429</v>
          </cell>
          <cell r="B6448" t="str">
            <v>H. MANCHA</v>
          </cell>
          <cell r="C6448" t="str">
            <v>A</v>
          </cell>
          <cell r="D6448" t="str">
            <v>SI</v>
          </cell>
          <cell r="E6448" t="str">
            <v xml:space="preserve">978141699072NANCY DIARIES 1 CURSE ARTIC        </v>
          </cell>
          <cell r="F6448" t="str">
            <v>LIBRO</v>
          </cell>
          <cell r="G6448">
            <v>978141699072</v>
          </cell>
          <cell r="H6448" t="str">
            <v>H. MANCHA</v>
          </cell>
          <cell r="I6448">
            <v>6.95</v>
          </cell>
        </row>
        <row r="6449">
          <cell r="A6449" t="str">
            <v>19-06430</v>
          </cell>
          <cell r="B6449" t="str">
            <v>H. MANCHA</v>
          </cell>
          <cell r="C6449" t="str">
            <v>A</v>
          </cell>
          <cell r="D6449" t="str">
            <v>SI</v>
          </cell>
          <cell r="E6449" t="str">
            <v xml:space="preserve">978031651398NEVERMOOR INT                      </v>
          </cell>
          <cell r="F6449" t="str">
            <v>LIBRO</v>
          </cell>
          <cell r="G6449">
            <v>978031651398</v>
          </cell>
          <cell r="H6449" t="str">
            <v>H. MANCHA</v>
          </cell>
          <cell r="I6449">
            <v>11.95</v>
          </cell>
        </row>
        <row r="6450">
          <cell r="A6450" t="str">
            <v>19-06431</v>
          </cell>
          <cell r="B6450" t="str">
            <v>H. MANCHA</v>
          </cell>
          <cell r="C6450" t="str">
            <v>A</v>
          </cell>
          <cell r="D6450" t="str">
            <v>SI</v>
          </cell>
          <cell r="E6450" t="str">
            <v>9786070743160NO SONRIAS QUE ME ENAMORO</v>
          </cell>
          <cell r="F6450" t="str">
            <v>LIBRO</v>
          </cell>
          <cell r="G6450">
            <v>9786070743160</v>
          </cell>
          <cell r="H6450" t="str">
            <v>H. MANCHA</v>
          </cell>
          <cell r="I6450">
            <v>12.95</v>
          </cell>
        </row>
        <row r="6451">
          <cell r="A6451" t="str">
            <v>19-06432</v>
          </cell>
          <cell r="B6451" t="str">
            <v>H. MANCHA</v>
          </cell>
          <cell r="C6451" t="str">
            <v>A</v>
          </cell>
          <cell r="D6451" t="str">
            <v>SI</v>
          </cell>
          <cell r="E6451" t="str">
            <v xml:space="preserve">978607073272ORGULLO Y PREJUICIO                </v>
          </cell>
          <cell r="F6451" t="str">
            <v>LIBRO</v>
          </cell>
          <cell r="G6451">
            <v>978607073272</v>
          </cell>
          <cell r="H6451" t="str">
            <v>H. MANCHA</v>
          </cell>
          <cell r="I6451">
            <v>8.9499999999999993</v>
          </cell>
        </row>
        <row r="6452">
          <cell r="A6452" t="str">
            <v>19-06433</v>
          </cell>
          <cell r="B6452" t="str">
            <v>H. MANCHA</v>
          </cell>
          <cell r="C6452" t="str">
            <v>A</v>
          </cell>
          <cell r="D6452" t="str">
            <v>SI</v>
          </cell>
          <cell r="E6452" t="str">
            <v xml:space="preserve">978607073942PABLO ESCOBAR IN FRAGANTI          </v>
          </cell>
          <cell r="F6452" t="str">
            <v>LIBRO</v>
          </cell>
          <cell r="G6452">
            <v>978607073942</v>
          </cell>
          <cell r="H6452" t="str">
            <v>H. MANCHA</v>
          </cell>
          <cell r="I6452">
            <v>15.95</v>
          </cell>
        </row>
        <row r="6453">
          <cell r="A6453" t="str">
            <v>19-06434</v>
          </cell>
          <cell r="B6453" t="str">
            <v>H. MANCHA</v>
          </cell>
          <cell r="C6453" t="str">
            <v>A</v>
          </cell>
          <cell r="D6453" t="str">
            <v>SI</v>
          </cell>
          <cell r="E6453" t="str">
            <v xml:space="preserve">978958543359PADRE RICO PADRE POBRE             </v>
          </cell>
          <cell r="F6453" t="str">
            <v>LIBRO</v>
          </cell>
          <cell r="G6453">
            <v>978958543359</v>
          </cell>
          <cell r="H6453" t="str">
            <v>H. MANCHA</v>
          </cell>
          <cell r="I6453">
            <v>11.95</v>
          </cell>
        </row>
        <row r="6454">
          <cell r="A6454" t="str">
            <v>19-06435</v>
          </cell>
          <cell r="B6454" t="str">
            <v>H. MANCHA</v>
          </cell>
          <cell r="C6454" t="str">
            <v>A</v>
          </cell>
          <cell r="D6454" t="str">
            <v>SI</v>
          </cell>
          <cell r="E6454" t="str">
            <v>9786073133593PADRE RICO PADRE POBRE PARA JO</v>
          </cell>
          <cell r="F6454" t="str">
            <v>LIBRO</v>
          </cell>
          <cell r="G6454">
            <v>9786073133593</v>
          </cell>
          <cell r="H6454" t="str">
            <v>H. MANCHA</v>
          </cell>
          <cell r="I6454">
            <v>11.95</v>
          </cell>
        </row>
        <row r="6455">
          <cell r="A6455" t="str">
            <v>19-06436</v>
          </cell>
          <cell r="B6455" t="str">
            <v>H. MANCHA</v>
          </cell>
          <cell r="C6455" t="str">
            <v>A</v>
          </cell>
          <cell r="D6455" t="str">
            <v>SI</v>
          </cell>
          <cell r="E6455" t="str">
            <v xml:space="preserve">978958899197PARAISO ES TU CASA, EL             </v>
          </cell>
          <cell r="F6455" t="str">
            <v>LIBRO</v>
          </cell>
          <cell r="G6455">
            <v>978958899197</v>
          </cell>
          <cell r="H6455" t="str">
            <v>H. MANCHA</v>
          </cell>
          <cell r="I6455">
            <v>14.95</v>
          </cell>
        </row>
        <row r="6456">
          <cell r="A6456" t="str">
            <v>19-06437</v>
          </cell>
          <cell r="B6456" t="str">
            <v>H. MANCHA</v>
          </cell>
          <cell r="C6456" t="str">
            <v>A</v>
          </cell>
          <cell r="D6456" t="str">
            <v>SI</v>
          </cell>
          <cell r="E6456" t="str">
            <v xml:space="preserve">9788490325698PIENSE Y HAGASE RICO </v>
          </cell>
          <cell r="F6456" t="str">
            <v>LIBRO</v>
          </cell>
          <cell r="G6456">
            <v>9788490325698</v>
          </cell>
          <cell r="H6456" t="str">
            <v>H. MANCHA</v>
          </cell>
          <cell r="I6456">
            <v>11.95</v>
          </cell>
        </row>
        <row r="6457">
          <cell r="A6457" t="str">
            <v>19-06438</v>
          </cell>
          <cell r="B6457" t="str">
            <v>H. MANCHA</v>
          </cell>
          <cell r="C6457" t="str">
            <v>A</v>
          </cell>
          <cell r="D6457" t="str">
            <v>SI</v>
          </cell>
          <cell r="E6457" t="str">
            <v>9786070747526PILDORAS PARA EL ALMA</v>
          </cell>
          <cell r="F6457" t="str">
            <v>LIBRO</v>
          </cell>
          <cell r="G6457">
            <v>9786070747526</v>
          </cell>
          <cell r="H6457" t="str">
            <v>H. MANCHA</v>
          </cell>
          <cell r="I6457">
            <v>10.95</v>
          </cell>
        </row>
        <row r="6458">
          <cell r="A6458" t="str">
            <v>19-06439</v>
          </cell>
          <cell r="B6458" t="str">
            <v>H. MANCHA</v>
          </cell>
          <cell r="C6458" t="str">
            <v>A</v>
          </cell>
          <cell r="D6458" t="str">
            <v>SI</v>
          </cell>
          <cell r="E6458" t="str">
            <v xml:space="preserve">978045116689PILLARS OF THE EARTH, THE          </v>
          </cell>
          <cell r="F6458" t="str">
            <v>LIBRO</v>
          </cell>
          <cell r="G6458">
            <v>978045116689</v>
          </cell>
          <cell r="H6458" t="str">
            <v>H. MANCHA</v>
          </cell>
          <cell r="I6458">
            <v>10.95</v>
          </cell>
        </row>
        <row r="6459">
          <cell r="A6459" t="str">
            <v>19-06440</v>
          </cell>
          <cell r="B6459" t="str">
            <v>H. MANCHA</v>
          </cell>
          <cell r="C6459" t="str">
            <v>A</v>
          </cell>
          <cell r="D6459" t="str">
            <v>SI</v>
          </cell>
          <cell r="E6459" t="str">
            <v>9786070748332PODER DEL PENSAMIENTO FLEXIBLE</v>
          </cell>
          <cell r="F6459" t="str">
            <v>LIBRO</v>
          </cell>
          <cell r="G6459">
            <v>9786070748332</v>
          </cell>
          <cell r="H6459" t="str">
            <v>H. MANCHA</v>
          </cell>
          <cell r="I6459">
            <v>12.95</v>
          </cell>
        </row>
        <row r="6460">
          <cell r="A6460" t="str">
            <v>19-06441</v>
          </cell>
          <cell r="B6460" t="str">
            <v>H. MANCHA</v>
          </cell>
          <cell r="C6460" t="str">
            <v>A</v>
          </cell>
          <cell r="D6460" t="str">
            <v>SI</v>
          </cell>
          <cell r="E6460" t="str">
            <v>9786070750083POIROT INFRINGE LA LEY</v>
          </cell>
          <cell r="F6460" t="str">
            <v>LIBRO</v>
          </cell>
          <cell r="G6460">
            <v>9786070750083</v>
          </cell>
          <cell r="H6460" t="str">
            <v>H. MANCHA</v>
          </cell>
          <cell r="I6460">
            <v>7.95</v>
          </cell>
        </row>
        <row r="6461">
          <cell r="A6461" t="str">
            <v>19-06442</v>
          </cell>
          <cell r="B6461" t="str">
            <v>H. MANCHA</v>
          </cell>
          <cell r="C6461" t="str">
            <v>A</v>
          </cell>
          <cell r="D6461" t="str">
            <v>SI</v>
          </cell>
          <cell r="E6461" t="str">
            <v xml:space="preserve">978144947418POSH ADULT INSPIRATIONAL QUOTE     </v>
          </cell>
          <cell r="F6461" t="str">
            <v>LIBRO</v>
          </cell>
          <cell r="G6461">
            <v>978144947418</v>
          </cell>
          <cell r="H6461" t="str">
            <v>H. MANCHA</v>
          </cell>
          <cell r="I6461">
            <v>13.95</v>
          </cell>
        </row>
        <row r="6462">
          <cell r="A6462" t="str">
            <v>19-06443</v>
          </cell>
          <cell r="B6462" t="str">
            <v>H. MANCHA</v>
          </cell>
          <cell r="C6462" t="str">
            <v>A</v>
          </cell>
          <cell r="D6462" t="str">
            <v>SI</v>
          </cell>
          <cell r="E6462" t="str">
            <v xml:space="preserve">9789962888420PRINCIPITO EL 3D </v>
          </cell>
          <cell r="F6462" t="str">
            <v>LIBRO</v>
          </cell>
          <cell r="G6462">
            <v>9789962888420</v>
          </cell>
          <cell r="H6462" t="str">
            <v>H. MANCHA</v>
          </cell>
          <cell r="I6462">
            <v>9.9499999999999993</v>
          </cell>
        </row>
        <row r="6463">
          <cell r="A6463" t="str">
            <v>19-06444</v>
          </cell>
          <cell r="B6463" t="str">
            <v>H. MANCHA</v>
          </cell>
          <cell r="C6463" t="str">
            <v>A</v>
          </cell>
          <cell r="D6463" t="str">
            <v>SI</v>
          </cell>
          <cell r="E6463" t="str">
            <v xml:space="preserve">978987627537PROFESOR EL                        </v>
          </cell>
          <cell r="F6463" t="str">
            <v>LIBRO</v>
          </cell>
          <cell r="G6463">
            <v>978987627537</v>
          </cell>
          <cell r="H6463" t="str">
            <v>H. MANCHA</v>
          </cell>
          <cell r="I6463">
            <v>18.95</v>
          </cell>
        </row>
        <row r="6464">
          <cell r="A6464" t="str">
            <v>19-06445</v>
          </cell>
          <cell r="B6464" t="str">
            <v>H. MANCHA</v>
          </cell>
          <cell r="C6464" t="str">
            <v>A</v>
          </cell>
          <cell r="D6464" t="str">
            <v>SI</v>
          </cell>
          <cell r="E6464" t="str">
            <v>9789585993679PSICOANALISTA EL</v>
          </cell>
          <cell r="F6464" t="str">
            <v>LIBRO</v>
          </cell>
          <cell r="G6464">
            <v>9789585993679</v>
          </cell>
          <cell r="H6464" t="str">
            <v>H. MANCHA</v>
          </cell>
          <cell r="I6464">
            <v>11.95</v>
          </cell>
        </row>
        <row r="6465">
          <cell r="A6465" t="str">
            <v>19-06446</v>
          </cell>
          <cell r="B6465" t="str">
            <v>H. MANCHA</v>
          </cell>
          <cell r="C6465" t="str">
            <v>A</v>
          </cell>
          <cell r="D6465" t="str">
            <v>SI</v>
          </cell>
          <cell r="E6465" t="str">
            <v xml:space="preserve">9788415729730QUERIDO JOHN </v>
          </cell>
          <cell r="F6465" t="str">
            <v>LIBRO</v>
          </cell>
          <cell r="G6465">
            <v>9788415729730</v>
          </cell>
          <cell r="H6465" t="str">
            <v>H. MANCHA</v>
          </cell>
          <cell r="I6465">
            <v>11.95</v>
          </cell>
        </row>
        <row r="6466">
          <cell r="A6466" t="str">
            <v>19-06447</v>
          </cell>
          <cell r="B6466" t="str">
            <v>H. MANCHA</v>
          </cell>
          <cell r="C6466" t="str">
            <v>A</v>
          </cell>
          <cell r="D6466" t="str">
            <v>SI</v>
          </cell>
          <cell r="E6466" t="str">
            <v xml:space="preserve">9789584843647QUINIENTAS VECES TU NOMBRE </v>
          </cell>
          <cell r="F6466" t="str">
            <v>LIBRO</v>
          </cell>
          <cell r="G6466">
            <v>9789584843647</v>
          </cell>
          <cell r="H6466" t="str">
            <v>H. MANCHA</v>
          </cell>
          <cell r="I6466">
            <v>24.95</v>
          </cell>
        </row>
        <row r="6467">
          <cell r="A6467" t="str">
            <v>19-06448</v>
          </cell>
          <cell r="B6467" t="str">
            <v>H. MANCHA</v>
          </cell>
          <cell r="C6467" t="str">
            <v>A</v>
          </cell>
          <cell r="D6467" t="str">
            <v>SI</v>
          </cell>
          <cell r="E6467" t="str">
            <v xml:space="preserve">978145162720RED QUEEN THE                      </v>
          </cell>
          <cell r="F6467" t="str">
            <v>LIBRO</v>
          </cell>
          <cell r="G6467">
            <v>978145162720</v>
          </cell>
          <cell r="H6467" t="str">
            <v>H. MANCHA</v>
          </cell>
          <cell r="I6467">
            <v>8.9499999999999993</v>
          </cell>
        </row>
        <row r="6468">
          <cell r="A6468" t="str">
            <v>19-06449</v>
          </cell>
          <cell r="B6468" t="str">
            <v>H. MANCHA</v>
          </cell>
          <cell r="C6468" t="str">
            <v>A</v>
          </cell>
          <cell r="D6468" t="str">
            <v>SI</v>
          </cell>
          <cell r="E6468" t="str">
            <v>9789962888413SABORES DE LA COCINA PANAMENA</v>
          </cell>
          <cell r="F6468" t="str">
            <v>LIBRO</v>
          </cell>
          <cell r="G6468">
            <v>9789962888413</v>
          </cell>
          <cell r="H6468" t="str">
            <v>H. MANCHA</v>
          </cell>
          <cell r="I6468">
            <v>19.95</v>
          </cell>
        </row>
        <row r="6469">
          <cell r="A6469" t="str">
            <v>19-06450</v>
          </cell>
          <cell r="B6469" t="str">
            <v>H. MANCHA</v>
          </cell>
          <cell r="C6469" t="str">
            <v>A</v>
          </cell>
          <cell r="D6469" t="str">
            <v>SI</v>
          </cell>
          <cell r="E6469" t="str">
            <v>9788445000663SENOR DE LOS ANILLOS I LA COMU</v>
          </cell>
          <cell r="F6469" t="str">
            <v>LIBRO</v>
          </cell>
          <cell r="G6469">
            <v>9788445000663</v>
          </cell>
          <cell r="H6469" t="str">
            <v>H. MANCHA</v>
          </cell>
          <cell r="I6469">
            <v>15.95</v>
          </cell>
        </row>
        <row r="6470">
          <cell r="A6470" t="str">
            <v>19-06451</v>
          </cell>
          <cell r="B6470" t="str">
            <v>H. MANCHA</v>
          </cell>
          <cell r="C6470" t="str">
            <v>A</v>
          </cell>
          <cell r="D6470" t="str">
            <v>SI</v>
          </cell>
          <cell r="E6470" t="str">
            <v xml:space="preserve">978844507753SILMARILLION EL                    </v>
          </cell>
          <cell r="F6470" t="str">
            <v>LIBRO</v>
          </cell>
          <cell r="G6470">
            <v>978844507753</v>
          </cell>
          <cell r="H6470" t="str">
            <v>H. MANCHA</v>
          </cell>
          <cell r="I6470">
            <v>15.95</v>
          </cell>
        </row>
        <row r="6471">
          <cell r="A6471" t="str">
            <v>19-06452</v>
          </cell>
          <cell r="B6471" t="str">
            <v>H. MANCHA</v>
          </cell>
          <cell r="C6471" t="str">
            <v>A</v>
          </cell>
          <cell r="D6471" t="str">
            <v>SI</v>
          </cell>
          <cell r="E6471" t="str">
            <v>9786070732751SOY LUNA 0 PRINCIPIO DEL VERAN</v>
          </cell>
          <cell r="F6471" t="str">
            <v>LIBRO</v>
          </cell>
          <cell r="G6471">
            <v>9786070732751</v>
          </cell>
          <cell r="H6471" t="str">
            <v>H. MANCHA</v>
          </cell>
          <cell r="I6471">
            <v>9.9499999999999993</v>
          </cell>
        </row>
        <row r="6472">
          <cell r="A6472" t="str">
            <v>19-06453</v>
          </cell>
          <cell r="B6472" t="str">
            <v>H. MANCHA</v>
          </cell>
          <cell r="C6472" t="str">
            <v>A</v>
          </cell>
          <cell r="D6472" t="str">
            <v>SI</v>
          </cell>
          <cell r="E6472" t="str">
            <v>9786070734212SOY LUNA 1 VIAJE COMIENZA</v>
          </cell>
          <cell r="F6472" t="str">
            <v>LIBRO</v>
          </cell>
          <cell r="G6472">
            <v>9786070734212</v>
          </cell>
          <cell r="H6472" t="str">
            <v>H. MANCHA</v>
          </cell>
          <cell r="I6472">
            <v>9.9499999999999993</v>
          </cell>
        </row>
        <row r="6473">
          <cell r="A6473" t="str">
            <v>19-06454</v>
          </cell>
          <cell r="B6473" t="str">
            <v>H. MANCHA</v>
          </cell>
          <cell r="C6473" t="str">
            <v>A</v>
          </cell>
          <cell r="D6473" t="str">
            <v>SI</v>
          </cell>
          <cell r="E6473" t="str">
            <v>9786070735332SOY LUNA 2 COMPETENCIA SOBRE R</v>
          </cell>
          <cell r="F6473" t="str">
            <v>LIBRO</v>
          </cell>
          <cell r="G6473">
            <v>9786070735332</v>
          </cell>
          <cell r="H6473" t="str">
            <v>H. MANCHA</v>
          </cell>
          <cell r="I6473">
            <v>9.9499999999999993</v>
          </cell>
        </row>
        <row r="6474">
          <cell r="A6474" t="str">
            <v>19-06455</v>
          </cell>
          <cell r="B6474" t="str">
            <v>H. MANCHA</v>
          </cell>
          <cell r="C6474" t="str">
            <v>A</v>
          </cell>
          <cell r="D6474" t="str">
            <v>SI</v>
          </cell>
          <cell r="E6474" t="str">
            <v>9786070736308SOY LUNA 3 VUELTAS EN LA PISTA</v>
          </cell>
          <cell r="F6474" t="str">
            <v>LIBRO</v>
          </cell>
          <cell r="G6474">
            <v>9786070736308</v>
          </cell>
          <cell r="H6474" t="str">
            <v>H. MANCHA</v>
          </cell>
          <cell r="I6474">
            <v>9.9499999999999993</v>
          </cell>
        </row>
        <row r="6475">
          <cell r="A6475" t="str">
            <v>19-06456</v>
          </cell>
          <cell r="B6475" t="str">
            <v>H. MANCHA</v>
          </cell>
          <cell r="C6475" t="str">
            <v>A</v>
          </cell>
          <cell r="D6475" t="str">
            <v>SI</v>
          </cell>
          <cell r="E6475" t="str">
            <v>9786070737015SOY LUNA 4. EN BUSCA DE LOS SU</v>
          </cell>
          <cell r="F6475" t="str">
            <v>LIBRO</v>
          </cell>
          <cell r="G6475">
            <v>9786070737015</v>
          </cell>
          <cell r="H6475" t="str">
            <v>H. MANCHA</v>
          </cell>
          <cell r="I6475">
            <v>9.9499999999999993</v>
          </cell>
        </row>
        <row r="6476">
          <cell r="A6476" t="str">
            <v>19-06457</v>
          </cell>
          <cell r="B6476" t="str">
            <v>H. MANCHA</v>
          </cell>
          <cell r="C6476" t="str">
            <v>A</v>
          </cell>
          <cell r="D6476" t="str">
            <v>SI</v>
          </cell>
          <cell r="E6476" t="str">
            <v xml:space="preserve">978144245393STEVE JOBS THINKING DIFFERENTL     </v>
          </cell>
          <cell r="F6476" t="str">
            <v>LIBRO</v>
          </cell>
          <cell r="G6476">
            <v>978144245393</v>
          </cell>
          <cell r="H6476" t="str">
            <v>H. MANCHA</v>
          </cell>
          <cell r="I6476">
            <v>7.95</v>
          </cell>
        </row>
        <row r="6477">
          <cell r="A6477" t="str">
            <v>19-06458</v>
          </cell>
          <cell r="B6477" t="str">
            <v>H. MANCHA</v>
          </cell>
          <cell r="C6477" t="str">
            <v>A</v>
          </cell>
          <cell r="D6477" t="str">
            <v>SI</v>
          </cell>
          <cell r="E6477" t="str">
            <v xml:space="preserve">978141696829SUMMER I TURNED PRETTY             </v>
          </cell>
          <cell r="F6477" t="str">
            <v>LIBRO</v>
          </cell>
          <cell r="G6477">
            <v>978141696829</v>
          </cell>
          <cell r="H6477" t="str">
            <v>H. MANCHA</v>
          </cell>
          <cell r="I6477">
            <v>10.95</v>
          </cell>
        </row>
        <row r="6478">
          <cell r="A6478" t="str">
            <v>19-06459</v>
          </cell>
          <cell r="B6478" t="str">
            <v>H. MANCHA</v>
          </cell>
          <cell r="C6478" t="str">
            <v>A</v>
          </cell>
          <cell r="D6478" t="str">
            <v>SI</v>
          </cell>
          <cell r="E6478" t="str">
            <v xml:space="preserve">978045147829THIRTEEN REASONS WHY TV TIE-IN     </v>
          </cell>
          <cell r="F6478" t="str">
            <v>LIBRO</v>
          </cell>
          <cell r="G6478">
            <v>978045147829</v>
          </cell>
          <cell r="H6478" t="str">
            <v>H. MANCHA</v>
          </cell>
          <cell r="I6478">
            <v>14.95</v>
          </cell>
        </row>
        <row r="6479">
          <cell r="A6479" t="str">
            <v>19-06460</v>
          </cell>
          <cell r="B6479" t="str">
            <v>H. MANCHA</v>
          </cell>
          <cell r="C6479" t="str">
            <v>A</v>
          </cell>
          <cell r="D6479" t="str">
            <v>SI</v>
          </cell>
          <cell r="E6479" t="str">
            <v xml:space="preserve">978849998350TIEMPO ENTRE COSTURAS POCKET       </v>
          </cell>
          <cell r="F6479" t="str">
            <v>LIBRO</v>
          </cell>
          <cell r="G6479">
            <v>978849998350</v>
          </cell>
          <cell r="H6479" t="str">
            <v>H. MANCHA</v>
          </cell>
          <cell r="I6479">
            <v>15.95</v>
          </cell>
        </row>
        <row r="6480">
          <cell r="A6480" t="str">
            <v>19-06461</v>
          </cell>
          <cell r="B6480" t="str">
            <v>H. MANCHA</v>
          </cell>
          <cell r="C6480" t="str">
            <v>A</v>
          </cell>
          <cell r="D6480" t="str">
            <v>SI</v>
          </cell>
          <cell r="E6480" t="str">
            <v xml:space="preserve">978045147668TIPLE                              </v>
          </cell>
          <cell r="F6480" t="str">
            <v>LIBRO</v>
          </cell>
          <cell r="G6480">
            <v>978045147668</v>
          </cell>
          <cell r="H6480" t="str">
            <v>H. MANCHA</v>
          </cell>
          <cell r="I6480">
            <v>11.95</v>
          </cell>
        </row>
        <row r="6481">
          <cell r="A6481" t="str">
            <v>19-06462</v>
          </cell>
          <cell r="B6481" t="str">
            <v>H. MANCHA</v>
          </cell>
          <cell r="C6481" t="str">
            <v>A</v>
          </cell>
          <cell r="D6481" t="str">
            <v>SI</v>
          </cell>
          <cell r="E6481" t="str">
            <v xml:space="preserve">978958877310TORRE OSCURA 1 PISTOLERO           </v>
          </cell>
          <cell r="F6481" t="str">
            <v>LIBRO</v>
          </cell>
          <cell r="G6481">
            <v>978958877310</v>
          </cell>
          <cell r="H6481" t="str">
            <v>H. MANCHA</v>
          </cell>
          <cell r="I6481">
            <v>13.95</v>
          </cell>
        </row>
        <row r="6482">
          <cell r="A6482" t="str">
            <v>19-06463</v>
          </cell>
          <cell r="B6482" t="str">
            <v>H. MANCHA</v>
          </cell>
          <cell r="C6482" t="str">
            <v>A</v>
          </cell>
          <cell r="D6482" t="str">
            <v>SI</v>
          </cell>
          <cell r="E6482" t="str">
            <v>9786070744853TREN DE LAS 4.50, EL</v>
          </cell>
          <cell r="F6482" t="str">
            <v>LIBRO</v>
          </cell>
          <cell r="G6482">
            <v>9786070744853</v>
          </cell>
          <cell r="H6482" t="str">
            <v>H. MANCHA</v>
          </cell>
          <cell r="I6482">
            <v>6.95</v>
          </cell>
        </row>
        <row r="6483">
          <cell r="A6483" t="str">
            <v>19-06464</v>
          </cell>
          <cell r="B6483" t="str">
            <v>H. MANCHA</v>
          </cell>
          <cell r="C6483" t="str">
            <v>A</v>
          </cell>
          <cell r="D6483" t="str">
            <v>SI</v>
          </cell>
          <cell r="E6483" t="str">
            <v>9789681321024TU PUEDES SANAR TU VIDA</v>
          </cell>
          <cell r="F6483" t="str">
            <v>LIBRO</v>
          </cell>
          <cell r="G6483">
            <v>9789681321024</v>
          </cell>
          <cell r="H6483" t="str">
            <v>H. MANCHA</v>
          </cell>
          <cell r="I6483">
            <v>11.95</v>
          </cell>
        </row>
        <row r="6484">
          <cell r="A6484" t="str">
            <v>19-06465</v>
          </cell>
          <cell r="B6484" t="str">
            <v>H. MANCHA</v>
          </cell>
          <cell r="C6484" t="str">
            <v>A</v>
          </cell>
          <cell r="D6484" t="str">
            <v>SI</v>
          </cell>
          <cell r="E6484" t="str">
            <v xml:space="preserve">978147675318UGLY LOVE                          </v>
          </cell>
          <cell r="F6484" t="str">
            <v>LIBRO</v>
          </cell>
          <cell r="G6484">
            <v>978147675318</v>
          </cell>
          <cell r="H6484" t="str">
            <v>H. MANCHA</v>
          </cell>
          <cell r="I6484">
            <v>15.95</v>
          </cell>
        </row>
        <row r="6485">
          <cell r="A6485" t="str">
            <v>19-06466</v>
          </cell>
          <cell r="B6485" t="str">
            <v>H. MANCHA</v>
          </cell>
          <cell r="C6485" t="str">
            <v>A</v>
          </cell>
          <cell r="D6485" t="str">
            <v>SI</v>
          </cell>
          <cell r="E6485" t="str">
            <v>9786070744761UN CADAVER EN LA BIBLIOTECA</v>
          </cell>
          <cell r="F6485" t="str">
            <v>LIBRO</v>
          </cell>
          <cell r="G6485">
            <v>9786070744761</v>
          </cell>
          <cell r="H6485" t="str">
            <v>H. MANCHA</v>
          </cell>
          <cell r="I6485">
            <v>6.95</v>
          </cell>
        </row>
        <row r="6486">
          <cell r="A6486" t="str">
            <v>19-06467</v>
          </cell>
          <cell r="B6486" t="str">
            <v>H. MANCHA</v>
          </cell>
          <cell r="C6486" t="str">
            <v>A</v>
          </cell>
          <cell r="D6486" t="str">
            <v>SI</v>
          </cell>
          <cell r="E6486" t="str">
            <v>9786070750120VALLE DE LA CALMA</v>
          </cell>
          <cell r="F6486" t="str">
            <v>LIBRO</v>
          </cell>
          <cell r="G6486">
            <v>9786070750120</v>
          </cell>
          <cell r="H6486" t="str">
            <v>H. MANCHA</v>
          </cell>
          <cell r="I6486">
            <v>18.95</v>
          </cell>
        </row>
        <row r="6487">
          <cell r="A6487" t="str">
            <v>19-06468</v>
          </cell>
          <cell r="B6487" t="str">
            <v>H. MANCHA</v>
          </cell>
          <cell r="C6487" t="str">
            <v>A</v>
          </cell>
          <cell r="D6487" t="str">
            <v>SI</v>
          </cell>
          <cell r="E6487" t="str">
            <v xml:space="preserve">978144240629VANISHED BOOKS 1 &amp; 2               </v>
          </cell>
          <cell r="F6487" t="str">
            <v>LIBRO</v>
          </cell>
          <cell r="G6487">
            <v>978144240629</v>
          </cell>
          <cell r="H6487" t="str">
            <v>H. MANCHA</v>
          </cell>
          <cell r="I6487">
            <v>13.95</v>
          </cell>
        </row>
        <row r="6488">
          <cell r="A6488" t="str">
            <v>19-06469</v>
          </cell>
          <cell r="B6488" t="str">
            <v>H. MANCHA</v>
          </cell>
          <cell r="C6488" t="str">
            <v>A</v>
          </cell>
          <cell r="D6488" t="str">
            <v>SI</v>
          </cell>
          <cell r="E6488" t="str">
            <v xml:space="preserve">978607747247VENDELE A LA MENTE, NO A LA GE     </v>
          </cell>
          <cell r="F6488" t="str">
            <v>LIBRO</v>
          </cell>
          <cell r="G6488">
            <v>978607747247</v>
          </cell>
          <cell r="H6488" t="str">
            <v>H. MANCHA</v>
          </cell>
          <cell r="I6488">
            <v>15.95</v>
          </cell>
        </row>
        <row r="6489">
          <cell r="A6489" t="str">
            <v>19-06470</v>
          </cell>
          <cell r="B6489" t="str">
            <v>H. MANCHA</v>
          </cell>
          <cell r="C6489" t="str">
            <v>A</v>
          </cell>
          <cell r="D6489" t="str">
            <v>SI</v>
          </cell>
          <cell r="E6489" t="str">
            <v xml:space="preserve">978141699559WE'LL ALWAYS HAVE SUMMER           </v>
          </cell>
          <cell r="F6489" t="str">
            <v>LIBRO</v>
          </cell>
          <cell r="G6489">
            <v>978141699559</v>
          </cell>
          <cell r="H6489" t="str">
            <v>H. MANCHA</v>
          </cell>
          <cell r="I6489">
            <v>10.95</v>
          </cell>
        </row>
        <row r="6490">
          <cell r="A6490" t="str">
            <v>19-06471</v>
          </cell>
          <cell r="B6490" t="str">
            <v>H. MANCHA</v>
          </cell>
          <cell r="C6490" t="str">
            <v>A</v>
          </cell>
          <cell r="D6490" t="str">
            <v>SI</v>
          </cell>
          <cell r="E6490" t="str">
            <v xml:space="preserve">978045146822WINTER OF THE WORLD                </v>
          </cell>
          <cell r="F6490" t="str">
            <v>LIBRO</v>
          </cell>
          <cell r="G6490">
            <v>978045146822</v>
          </cell>
          <cell r="H6490" t="str">
            <v>H. MANCHA</v>
          </cell>
          <cell r="I6490">
            <v>11.95</v>
          </cell>
        </row>
        <row r="6491">
          <cell r="A6491" t="str">
            <v>19-06472</v>
          </cell>
          <cell r="B6491" t="str">
            <v>H. MANCHA</v>
          </cell>
          <cell r="C6491" t="str">
            <v>A</v>
          </cell>
          <cell r="D6491" t="str">
            <v>SI</v>
          </cell>
          <cell r="E6491" t="str">
            <v xml:space="preserve">978045122837WORLD WITHOUT END                  </v>
          </cell>
          <cell r="F6491" t="str">
            <v>LIBRO</v>
          </cell>
          <cell r="G6491">
            <v>978045122837</v>
          </cell>
          <cell r="H6491" t="str">
            <v>H. MANCHA</v>
          </cell>
          <cell r="I6491">
            <v>11.95</v>
          </cell>
        </row>
        <row r="6492">
          <cell r="A6492" t="str">
            <v>19-06473</v>
          </cell>
          <cell r="B6492" t="str">
            <v>H. MANCHA</v>
          </cell>
          <cell r="C6492" t="str">
            <v>A</v>
          </cell>
          <cell r="D6492" t="str">
            <v>SI</v>
          </cell>
          <cell r="E6492" t="str">
            <v xml:space="preserve">978014751168YOUNG ELITES THE                   </v>
          </cell>
          <cell r="F6492" t="str">
            <v>LIBRO</v>
          </cell>
          <cell r="G6492">
            <v>978014751168</v>
          </cell>
          <cell r="H6492" t="str">
            <v>H. MANCHA</v>
          </cell>
          <cell r="I6492">
            <v>12.95</v>
          </cell>
        </row>
        <row r="6493">
          <cell r="A6493" t="str">
            <v>19-06511</v>
          </cell>
          <cell r="B6493" t="str">
            <v>BOING GLOBAL</v>
          </cell>
          <cell r="C6493" t="str">
            <v>A</v>
          </cell>
          <cell r="E6493" t="str">
            <v>76921 Omnitrix Disc Shooter - OPP</v>
          </cell>
          <cell r="F6493" t="str">
            <v>JUGUETES</v>
          </cell>
          <cell r="H6493" t="str">
            <v>BOING GLOBAL</v>
          </cell>
          <cell r="I6493">
            <v>0</v>
          </cell>
        </row>
        <row r="6494">
          <cell r="A6494" t="str">
            <v>19-06512</v>
          </cell>
          <cell r="B6494" t="str">
            <v>BOING GLOBAL</v>
          </cell>
          <cell r="C6494" t="str">
            <v>A</v>
          </cell>
          <cell r="E6494" t="str">
            <v>12363 MAGIC JIN</v>
          </cell>
          <cell r="F6494" t="str">
            <v>JUGUETES</v>
          </cell>
          <cell r="H6494" t="str">
            <v>BOING GLOBAL</v>
          </cell>
          <cell r="I6494">
            <v>0</v>
          </cell>
        </row>
        <row r="6495">
          <cell r="A6495" t="str">
            <v>19-06513</v>
          </cell>
          <cell r="B6495" t="str">
            <v>BOING GLOBAL</v>
          </cell>
          <cell r="C6495" t="str">
            <v>A</v>
          </cell>
          <cell r="E6495" t="str">
            <v>56952 CUTIE CAR SPK S1 W1 SGL PK - GENERIC PACKGING FOR EXPORT</v>
          </cell>
          <cell r="F6495" t="str">
            <v>JUGUETES</v>
          </cell>
          <cell r="H6495" t="str">
            <v>BOING GLOBAL</v>
          </cell>
          <cell r="I6495">
            <v>0</v>
          </cell>
        </row>
        <row r="6496">
          <cell r="A6496" t="str">
            <v>19-06514</v>
          </cell>
          <cell r="B6496" t="str">
            <v>BOING GLOBAL</v>
          </cell>
          <cell r="C6496" t="str">
            <v>A</v>
          </cell>
          <cell r="E6496" t="str">
            <v>3787  SUPER VALUE FROZEN TODDLER BASICA 13 INCHES ANA/ELSA</v>
          </cell>
          <cell r="F6496" t="str">
            <v>JUGUETES</v>
          </cell>
          <cell r="H6496" t="str">
            <v>BOING GLOBAL</v>
          </cell>
          <cell r="I6496">
            <v>0</v>
          </cell>
        </row>
        <row r="6497">
          <cell r="A6497" t="str">
            <v>19-06515</v>
          </cell>
          <cell r="B6497" t="str">
            <v>BOING GLOBAL</v>
          </cell>
          <cell r="C6497" t="str">
            <v>A</v>
          </cell>
          <cell r="E6497" t="str">
            <v>41600 Super Value 13"assorted Cinderella/Ariel/Rapunzel/Bella/ Aurora / Blanca Nieves</v>
          </cell>
          <cell r="F6497" t="str">
            <v>JUGUETES</v>
          </cell>
          <cell r="H6497" t="str">
            <v>BOING GLOBAL</v>
          </cell>
          <cell r="I6497">
            <v>0</v>
          </cell>
        </row>
        <row r="6498">
          <cell r="A6498" t="str">
            <v>19-06516</v>
          </cell>
          <cell r="B6498" t="str">
            <v>BOING GLOBAL</v>
          </cell>
          <cell r="C6498" t="str">
            <v>A</v>
          </cell>
          <cell r="E6498" t="str">
            <v>6037315 FLUSH FORCES FILTHY 5 PACK + 1 toilette</v>
          </cell>
          <cell r="F6498" t="str">
            <v>JUGUETES</v>
          </cell>
          <cell r="H6498" t="str">
            <v>BOING GLOBAL</v>
          </cell>
          <cell r="I6498">
            <v>0</v>
          </cell>
        </row>
        <row r="6499">
          <cell r="A6499" t="str">
            <v>19-06517</v>
          </cell>
          <cell r="B6499" t="str">
            <v>BOING GLOBAL</v>
          </cell>
          <cell r="C6499" t="str">
            <v>A</v>
          </cell>
          <cell r="E6499" t="str">
            <v>69111TGG S4 ACTION FIG W1</v>
          </cell>
          <cell r="F6499" t="str">
            <v>JUGUETES</v>
          </cell>
          <cell r="H6499" t="str">
            <v>BOING GLOBAL</v>
          </cell>
          <cell r="I6499">
            <v>0</v>
          </cell>
        </row>
        <row r="6500">
          <cell r="A6500" t="str">
            <v>19-06518</v>
          </cell>
          <cell r="B6500" t="str">
            <v>BOING GLOBAL</v>
          </cell>
          <cell r="C6500" t="str">
            <v>A</v>
          </cell>
          <cell r="E6500" t="str">
            <v>69100TGG S4 LARGE 12 pack</v>
          </cell>
          <cell r="F6500" t="str">
            <v>JUGUETES</v>
          </cell>
          <cell r="H6500" t="str">
            <v>BOING GLOBAL</v>
          </cell>
          <cell r="I6500">
            <v>0</v>
          </cell>
        </row>
        <row r="6501">
          <cell r="A6501" t="str">
            <v>19-06519</v>
          </cell>
          <cell r="B6501" t="str">
            <v>BOING GLOBAL</v>
          </cell>
          <cell r="C6501" t="str">
            <v>A</v>
          </cell>
          <cell r="E6501" t="str">
            <v xml:space="preserve">6039460  Hatchimals Surprise REFRESH Egg-2 Puzzles
</v>
          </cell>
          <cell r="F6501" t="str">
            <v>JUGUETES</v>
          </cell>
          <cell r="H6501" t="str">
            <v>BOING GLOBAL</v>
          </cell>
          <cell r="I6501">
            <v>0</v>
          </cell>
        </row>
        <row r="6502">
          <cell r="A6502" t="str">
            <v>19-06520</v>
          </cell>
          <cell r="B6502" t="str">
            <v>BOING GLOBAL</v>
          </cell>
          <cell r="C6502" t="str">
            <v>A</v>
          </cell>
          <cell r="E6502" t="str">
            <v>6034128  HATCHIMAL COLLEGGTIBLES 1PK</v>
          </cell>
          <cell r="F6502" t="str">
            <v>JUGUETES</v>
          </cell>
          <cell r="H6502" t="str">
            <v>BOING GLOBAL</v>
          </cell>
          <cell r="I6502">
            <v>0</v>
          </cell>
        </row>
        <row r="6503">
          <cell r="A6503" t="str">
            <v>19-06521</v>
          </cell>
          <cell r="B6503" t="str">
            <v>BOING GLOBAL</v>
          </cell>
          <cell r="C6503" t="str">
            <v>A</v>
          </cell>
          <cell r="E6503" t="str">
            <v>6041343 HATCHIMALS COLLEGGTIBLES 2PK EGG CARTON S2</v>
          </cell>
          <cell r="F6503" t="str">
            <v>JUGUETES</v>
          </cell>
          <cell r="H6503" t="str">
            <v>BOING GLOBAL</v>
          </cell>
          <cell r="I6503">
            <v>0</v>
          </cell>
        </row>
        <row r="6504">
          <cell r="A6504" t="str">
            <v>19-06522</v>
          </cell>
          <cell r="B6504" t="str">
            <v>BOING GLOBAL</v>
          </cell>
          <cell r="C6504" t="str">
            <v>A</v>
          </cell>
          <cell r="E6504" t="str">
            <v>6041338 HATCHIMAL COLLEGGTIBLES 4PK + BONUS S2</v>
          </cell>
          <cell r="F6504" t="str">
            <v>JUGUETES</v>
          </cell>
          <cell r="H6504" t="str">
            <v>BOING GLOBAL</v>
          </cell>
          <cell r="I6504">
            <v>0</v>
          </cell>
        </row>
        <row r="6505">
          <cell r="A6505" t="str">
            <v>19-06523</v>
          </cell>
          <cell r="B6505" t="str">
            <v>BOING GLOBAL</v>
          </cell>
          <cell r="C6505" t="str">
            <v>A</v>
          </cell>
          <cell r="E6505" t="str">
            <v>6033148 Classic Wood Tumbling Towers in Tin  Black &amp; Gold</v>
          </cell>
          <cell r="F6505" t="str">
            <v>JUGUETES</v>
          </cell>
          <cell r="H6505" t="str">
            <v>BOING GLOBAL</v>
          </cell>
          <cell r="I6505">
            <v>0</v>
          </cell>
        </row>
        <row r="6506">
          <cell r="A6506" t="str">
            <v>19-06524</v>
          </cell>
          <cell r="B6506" t="str">
            <v>BOING GLOBAL</v>
          </cell>
          <cell r="C6506" t="str">
            <v>A</v>
          </cell>
          <cell r="E6506" t="str">
            <v>6033150 Classic Wood Rainbow Tumbling Tower in Tin</v>
          </cell>
          <cell r="F6506" t="str">
            <v>JUGUETES</v>
          </cell>
          <cell r="H6506" t="str">
            <v>BOING GLOBAL</v>
          </cell>
          <cell r="I6506">
            <v>0</v>
          </cell>
        </row>
        <row r="6507">
          <cell r="A6507" t="str">
            <v>19-06525</v>
          </cell>
          <cell r="B6507" t="str">
            <v>BOING GLOBAL</v>
          </cell>
          <cell r="C6507" t="str">
            <v>A</v>
          </cell>
          <cell r="E6507" t="str">
            <v>6041190 Classic Rummy O in Black &amp; Gold Foil Box</v>
          </cell>
          <cell r="F6507" t="str">
            <v>JUGUETES</v>
          </cell>
          <cell r="H6507" t="str">
            <v>BOING GLOBAL</v>
          </cell>
          <cell r="I6507">
            <v>0</v>
          </cell>
        </row>
        <row r="6508">
          <cell r="A6508" t="str">
            <v>19-06526</v>
          </cell>
          <cell r="B6508" t="str">
            <v>BOING GLOBAL</v>
          </cell>
          <cell r="C6508" t="str">
            <v>A</v>
          </cell>
          <cell r="E6508" t="str">
            <v>28486 LITTLE LIVE PETS SMALL PUPPY</v>
          </cell>
          <cell r="F6508" t="str">
            <v>JUGUETES</v>
          </cell>
          <cell r="H6508" t="str">
            <v>BOING GLOBAL</v>
          </cell>
          <cell r="I6508">
            <v>0</v>
          </cell>
        </row>
        <row r="6509">
          <cell r="A6509" t="str">
            <v>19-06527</v>
          </cell>
          <cell r="B6509" t="str">
            <v>BOING GLOBAL</v>
          </cell>
          <cell r="C6509" t="str">
            <v>A</v>
          </cell>
          <cell r="E6509" t="str">
            <v xml:space="preserve">6034378 MASHA - COLLECTIBLE FIGURES </v>
          </cell>
          <cell r="F6509" t="str">
            <v>JUGUETES</v>
          </cell>
          <cell r="H6509" t="str">
            <v>BOING GLOBAL</v>
          </cell>
          <cell r="I6509">
            <v>0</v>
          </cell>
        </row>
        <row r="6510">
          <cell r="A6510" t="str">
            <v>19-06528</v>
          </cell>
          <cell r="B6510" t="str">
            <v>BOING GLOBAL</v>
          </cell>
          <cell r="C6510" t="str">
            <v>A</v>
          </cell>
          <cell r="E6510" t="str">
            <v>6039080 MASHA - FIGURES 2 PACK ASST</v>
          </cell>
          <cell r="F6510" t="str">
            <v>JUGUETES</v>
          </cell>
          <cell r="H6510" t="str">
            <v>BOING GLOBAL</v>
          </cell>
          <cell r="I6510">
            <v>0</v>
          </cell>
        </row>
        <row r="6511">
          <cell r="A6511" t="str">
            <v>19-06529</v>
          </cell>
          <cell r="B6511" t="str">
            <v>BOING GLOBAL</v>
          </cell>
          <cell r="C6511" t="str">
            <v>A</v>
          </cell>
          <cell r="E6511" t="str">
            <v>6039079 MASHA - SNAP AND FASHION SINGLE PACK</v>
          </cell>
          <cell r="F6511" t="str">
            <v>JUGUETES</v>
          </cell>
          <cell r="H6511" t="str">
            <v>BOING GLOBAL</v>
          </cell>
          <cell r="I6511">
            <v>0</v>
          </cell>
        </row>
        <row r="6512">
          <cell r="A6512" t="str">
            <v>19-06530</v>
          </cell>
          <cell r="B6512" t="str">
            <v>BOING GLOBAL</v>
          </cell>
          <cell r="C6512" t="str">
            <v>A</v>
          </cell>
          <cell r="E6512" t="str">
            <v xml:space="preserve">84919 MINNIE MOUSE VALUE DOLL ASST. - 10” doll </v>
          </cell>
          <cell r="F6512" t="str">
            <v>JUGUETES</v>
          </cell>
          <cell r="H6512" t="str">
            <v>BOING GLOBAL</v>
          </cell>
          <cell r="I6512">
            <v>0</v>
          </cell>
        </row>
        <row r="6513">
          <cell r="A6513" t="str">
            <v>19-06531</v>
          </cell>
          <cell r="B6513" t="str">
            <v>BOING GLOBAL</v>
          </cell>
          <cell r="C6513" t="str">
            <v>A</v>
          </cell>
          <cell r="E6513" t="str">
            <v>39730 MIRACULOUS 7.5" Basic Feature Figure Assortment</v>
          </cell>
          <cell r="F6513" t="str">
            <v>JUGUETES</v>
          </cell>
          <cell r="H6513" t="str">
            <v>BOING GLOBAL</v>
          </cell>
          <cell r="I6513">
            <v>0</v>
          </cell>
        </row>
        <row r="6514">
          <cell r="A6514" t="str">
            <v>19-06532</v>
          </cell>
          <cell r="B6514" t="str">
            <v>BOING GLOBAL</v>
          </cell>
          <cell r="C6514" t="str">
            <v>A</v>
          </cell>
          <cell r="E6514" t="str">
            <v>6022626 ACTION PACK PUPS</v>
          </cell>
          <cell r="F6514" t="str">
            <v>JUGUETES</v>
          </cell>
          <cell r="H6514" t="str">
            <v>BOING GLOBAL</v>
          </cell>
          <cell r="I6514">
            <v>0</v>
          </cell>
        </row>
        <row r="6515">
          <cell r="A6515" t="str">
            <v>19-06533</v>
          </cell>
          <cell r="B6515" t="str">
            <v>BOING GLOBAL</v>
          </cell>
          <cell r="C6515" t="str">
            <v>A</v>
          </cell>
          <cell r="E6515" t="str">
            <v xml:space="preserve">6022627 BASIC VEHICLE WITH PUP ASST </v>
          </cell>
          <cell r="F6515" t="str">
            <v>JUGUETES</v>
          </cell>
          <cell r="H6515" t="str">
            <v>BOING GLOBAL</v>
          </cell>
          <cell r="I6515">
            <v>0</v>
          </cell>
        </row>
        <row r="6516">
          <cell r="A6516" t="str">
            <v>19-06534</v>
          </cell>
          <cell r="B6516" t="str">
            <v>BOING GLOBAL</v>
          </cell>
          <cell r="C6516" t="str">
            <v>A</v>
          </cell>
          <cell r="E6516" t="str">
            <v>6038284 THEMED VEHICLES -SEA PATROL</v>
          </cell>
          <cell r="F6516" t="str">
            <v>JUGUETES</v>
          </cell>
          <cell r="H6516" t="str">
            <v>BOING GLOBAL</v>
          </cell>
          <cell r="I6516">
            <v>0</v>
          </cell>
        </row>
        <row r="6517">
          <cell r="A6517" t="str">
            <v>19-06535</v>
          </cell>
          <cell r="B6517" t="str">
            <v>BOING GLOBAL</v>
          </cell>
          <cell r="C6517" t="str">
            <v>A</v>
          </cell>
          <cell r="E6517" t="str">
            <v>6035478 VALUE SMALL TRACK PLAYSET  + 1 RESCUE RACER CAR</v>
          </cell>
          <cell r="F6517" t="str">
            <v>JUGUETES</v>
          </cell>
          <cell r="H6517" t="str">
            <v>BOING GLOBAL</v>
          </cell>
          <cell r="I6517">
            <v>0</v>
          </cell>
        </row>
        <row r="6518">
          <cell r="A6518" t="str">
            <v>19-06536</v>
          </cell>
          <cell r="B6518" t="str">
            <v>BOING GLOBAL</v>
          </cell>
          <cell r="C6518" t="str">
            <v>A</v>
          </cell>
          <cell r="E6518" t="str">
            <v>MT1710183PLUTO 10"</v>
          </cell>
          <cell r="F6518" t="str">
            <v>JUGUETES</v>
          </cell>
          <cell r="H6518" t="str">
            <v>BOING GLOBAL</v>
          </cell>
          <cell r="I6518">
            <v>0</v>
          </cell>
        </row>
        <row r="6519">
          <cell r="A6519" t="str">
            <v>19-06537</v>
          </cell>
          <cell r="B6519" t="str">
            <v>BOING GLOBAL</v>
          </cell>
          <cell r="C6519" t="str">
            <v>A</v>
          </cell>
          <cell r="E6519" t="str">
            <v xml:space="preserve">PDP1601686 MICKEY - 10" </v>
          </cell>
          <cell r="F6519" t="str">
            <v>JUGUETES</v>
          </cell>
          <cell r="H6519" t="str">
            <v>BOING GLOBAL</v>
          </cell>
          <cell r="I6519">
            <v>0</v>
          </cell>
        </row>
        <row r="6520">
          <cell r="A6520" t="str">
            <v>19-06538</v>
          </cell>
          <cell r="B6520" t="str">
            <v>BOING GLOBAL</v>
          </cell>
          <cell r="C6520" t="str">
            <v>A</v>
          </cell>
          <cell r="E6520" t="str">
            <v>PDP1601687 MINNIE - 10"</v>
          </cell>
          <cell r="F6520" t="str">
            <v>JUGUETES</v>
          </cell>
          <cell r="H6520" t="str">
            <v>BOING GLOBAL</v>
          </cell>
          <cell r="I6520">
            <v>0</v>
          </cell>
        </row>
        <row r="6521">
          <cell r="A6521" t="str">
            <v>19-06539</v>
          </cell>
          <cell r="B6521" t="str">
            <v>BOING GLOBAL</v>
          </cell>
          <cell r="C6521" t="str">
            <v>A</v>
          </cell>
          <cell r="E6521" t="str">
            <v>75158 PIKMI POPS Single S2 W1 SGL PK CDU</v>
          </cell>
          <cell r="F6521" t="str">
            <v>JUGUETES</v>
          </cell>
          <cell r="H6521" t="str">
            <v>BOING GLOBAL</v>
          </cell>
          <cell r="I6521">
            <v>0</v>
          </cell>
        </row>
        <row r="6522">
          <cell r="A6522" t="str">
            <v>19-06540</v>
          </cell>
          <cell r="B6522" t="str">
            <v>BOING GLOBAL</v>
          </cell>
          <cell r="C6522" t="str">
            <v>A</v>
          </cell>
          <cell r="E6522" t="str">
            <v>75176 PIKMI POPS  S2 Surprise PK CDU</v>
          </cell>
          <cell r="F6522" t="str">
            <v>JUGUETES</v>
          </cell>
          <cell r="H6522" t="str">
            <v>BOING GLOBAL</v>
          </cell>
          <cell r="I6522">
            <v>0</v>
          </cell>
        </row>
        <row r="6523">
          <cell r="A6523" t="str">
            <v>19-06541</v>
          </cell>
          <cell r="B6523" t="str">
            <v>BOING GLOBAL</v>
          </cell>
          <cell r="C6523" t="str">
            <v>A</v>
          </cell>
          <cell r="E6523" t="str">
            <v>700014032 PINYPON BABIES CDU</v>
          </cell>
          <cell r="F6523" t="str">
            <v>JUGUETES</v>
          </cell>
          <cell r="H6523" t="str">
            <v>BOING GLOBAL</v>
          </cell>
          <cell r="I6523">
            <v>0</v>
          </cell>
        </row>
        <row r="6524">
          <cell r="A6524" t="str">
            <v>19-06542</v>
          </cell>
          <cell r="B6524" t="str">
            <v>BOING GLOBAL</v>
          </cell>
          <cell r="C6524" t="str">
            <v>A</v>
          </cell>
          <cell r="E6524" t="str">
            <v>700014091 Pinypon Figures Serie #8 CDU 9</v>
          </cell>
          <cell r="F6524" t="str">
            <v>JUGUETES</v>
          </cell>
          <cell r="H6524" t="str">
            <v>BOING GLOBAL</v>
          </cell>
          <cell r="I6524">
            <v>0</v>
          </cell>
        </row>
        <row r="6525">
          <cell r="A6525" t="str">
            <v>19-06543</v>
          </cell>
          <cell r="B6525" t="str">
            <v>BOING GLOBAL</v>
          </cell>
          <cell r="C6525" t="str">
            <v>A</v>
          </cell>
          <cell r="E6525" t="str">
            <v>24845 PJ MASKS DIE CAST CARS</v>
          </cell>
          <cell r="F6525" t="str">
            <v>JUGUETES</v>
          </cell>
          <cell r="H6525" t="str">
            <v>BOING GLOBAL</v>
          </cell>
          <cell r="I6525">
            <v>0</v>
          </cell>
        </row>
        <row r="6526">
          <cell r="A6526" t="str">
            <v>19-06544</v>
          </cell>
          <cell r="B6526" t="str">
            <v>BOING GLOBAL</v>
          </cell>
          <cell r="C6526" t="str">
            <v>A</v>
          </cell>
          <cell r="E6526" t="str">
            <v>24975 PJ MASKS TURBO BLAST VEHICLES</v>
          </cell>
          <cell r="F6526" t="str">
            <v>JUGUETES</v>
          </cell>
          <cell r="H6526" t="str">
            <v>BOING GLOBAL</v>
          </cell>
          <cell r="I6526">
            <v>0</v>
          </cell>
        </row>
        <row r="6527">
          <cell r="A6527" t="str">
            <v>19-06545</v>
          </cell>
          <cell r="B6527" t="str">
            <v>BOING GLOBAL</v>
          </cell>
          <cell r="C6527" t="str">
            <v>A</v>
          </cell>
          <cell r="E6527" t="str">
            <v>24895 PJ MASKS LIGHT UP RACERS - LIGHTS AND SOUNDS - MOTORIZED</v>
          </cell>
          <cell r="F6527" t="str">
            <v>JUGUETES</v>
          </cell>
          <cell r="H6527" t="str">
            <v>BOING GLOBAL</v>
          </cell>
          <cell r="I6527">
            <v>0</v>
          </cell>
        </row>
        <row r="6528">
          <cell r="A6528" t="str">
            <v>19-06546</v>
          </cell>
          <cell r="B6528" t="str">
            <v>BOING GLOBAL</v>
          </cell>
          <cell r="C6528" t="str">
            <v>A</v>
          </cell>
          <cell r="E6528" t="str">
            <v>24575 PJ MASKS VEHICLE ASST. WITH 3" FIGURE</v>
          </cell>
          <cell r="F6528" t="str">
            <v>JUGUETES</v>
          </cell>
          <cell r="H6528" t="str">
            <v>BOING GLOBAL</v>
          </cell>
          <cell r="I6528">
            <v>0</v>
          </cell>
        </row>
        <row r="6529">
          <cell r="A6529" t="str">
            <v>19-06547</v>
          </cell>
          <cell r="B6529" t="str">
            <v>BOING GLOBAL</v>
          </cell>
          <cell r="C6529" t="str">
            <v>A</v>
          </cell>
          <cell r="E6529" t="str">
            <v>96792 POKEMON 2"inches pack x 23" inches pack x 1 FIGURE PACK BLISTER</v>
          </cell>
          <cell r="F6529" t="str">
            <v>JUGUETES</v>
          </cell>
          <cell r="H6529" t="str">
            <v>BOING GLOBAL</v>
          </cell>
          <cell r="I6529">
            <v>0</v>
          </cell>
        </row>
        <row r="6530">
          <cell r="A6530" t="str">
            <v>19-06548</v>
          </cell>
          <cell r="B6530" t="str">
            <v>BOING GLOBAL</v>
          </cell>
          <cell r="C6530" t="str">
            <v>A</v>
          </cell>
          <cell r="E6530" t="str">
            <v>96827 POKEMON CLIP 'N GO - with 2" figure</v>
          </cell>
          <cell r="F6530" t="str">
            <v>JUGUETES</v>
          </cell>
          <cell r="H6530" t="str">
            <v>BOING GLOBAL</v>
          </cell>
          <cell r="I6530">
            <v>0</v>
          </cell>
        </row>
        <row r="6531">
          <cell r="A6531" t="str">
            <v>19-06549</v>
          </cell>
          <cell r="B6531" t="str">
            <v>BOING GLOBAL</v>
          </cell>
          <cell r="C6531" t="str">
            <v>A</v>
          </cell>
          <cell r="E6531" t="str">
            <v>96868 POKEMON 4.5" FEATURE FIGURES - Dynamic Articulation</v>
          </cell>
          <cell r="F6531" t="str">
            <v>JUGUETES</v>
          </cell>
          <cell r="H6531" t="str">
            <v>BOING GLOBAL</v>
          </cell>
          <cell r="I6531">
            <v>0</v>
          </cell>
        </row>
        <row r="6532">
          <cell r="A6532" t="str">
            <v>19-06550</v>
          </cell>
          <cell r="B6532" t="str">
            <v>BOING GLOBAL</v>
          </cell>
          <cell r="C6532" t="str">
            <v>A</v>
          </cell>
          <cell r="E6532" t="str">
            <v>97007 POKEMON CLIP 'N GO POKE BALL BELT SET with 2 balls + 1 figure</v>
          </cell>
          <cell r="F6532" t="str">
            <v>JUGUETES</v>
          </cell>
          <cell r="H6532" t="str">
            <v>BOING GLOBAL</v>
          </cell>
          <cell r="I6532">
            <v>0</v>
          </cell>
        </row>
        <row r="6533">
          <cell r="A6533" t="str">
            <v>19-06551</v>
          </cell>
          <cell r="B6533" t="str">
            <v>BOING GLOBAL</v>
          </cell>
          <cell r="C6533" t="str">
            <v>A</v>
          </cell>
          <cell r="E6533" t="str">
            <v>1951 Pomsies Asst 1</v>
          </cell>
          <cell r="F6533" t="str">
            <v>JUGUETES</v>
          </cell>
          <cell r="H6533" t="str">
            <v>BOING GLOBAL</v>
          </cell>
          <cell r="I6533">
            <v>0</v>
          </cell>
        </row>
        <row r="6534">
          <cell r="A6534" t="str">
            <v>19-06552</v>
          </cell>
          <cell r="B6534" t="str">
            <v>BOING GLOBAL</v>
          </cell>
          <cell r="C6534" t="str">
            <v>A</v>
          </cell>
          <cell r="E6534" t="str">
            <v xml:space="preserve">56417 SPK SHOPPIES FA17 W1 THEMED DOLLS - EUROPE </v>
          </cell>
          <cell r="F6534" t="str">
            <v>JUGUETES</v>
          </cell>
          <cell r="H6534" t="str">
            <v>BOING GLOBAL</v>
          </cell>
          <cell r="I6534">
            <v>0</v>
          </cell>
        </row>
        <row r="6535">
          <cell r="A6535" t="str">
            <v>19-06553</v>
          </cell>
          <cell r="B6535" t="str">
            <v>BOING GLOBAL</v>
          </cell>
          <cell r="C6535" t="str">
            <v>A</v>
          </cell>
          <cell r="E6535" t="str">
            <v>56421 SPK SHOPPIES FA17 W2 THEMED DOLLS - ASIA</v>
          </cell>
          <cell r="F6535" t="str">
            <v>JUGUETES</v>
          </cell>
          <cell r="H6535" t="str">
            <v>BOING GLOBAL</v>
          </cell>
          <cell r="I6535">
            <v>0</v>
          </cell>
        </row>
        <row r="6536">
          <cell r="A6536" t="str">
            <v>19-06554</v>
          </cell>
          <cell r="B6536" t="str">
            <v>BOING GLOBAL</v>
          </cell>
          <cell r="C6536" t="str">
            <v>A</v>
          </cell>
          <cell r="E6536" t="str">
            <v>56696 SPK SHOPPETS S9 W1 SGL PK</v>
          </cell>
          <cell r="F6536" t="str">
            <v>JUGUETES</v>
          </cell>
          <cell r="H6536" t="str">
            <v>BOING GLOBAL</v>
          </cell>
          <cell r="I6536">
            <v>0</v>
          </cell>
        </row>
        <row r="6537">
          <cell r="A6537" t="str">
            <v>19-06555</v>
          </cell>
          <cell r="B6537" t="str">
            <v>BOING GLOBAL</v>
          </cell>
          <cell r="C6537" t="str">
            <v>A</v>
          </cell>
          <cell r="E6537" t="str">
            <v>56401 SPK SHOPPIES S3 LIPPY BOUTIQUE</v>
          </cell>
          <cell r="F6537" t="str">
            <v>JUGUETES</v>
          </cell>
          <cell r="H6537" t="str">
            <v>BOING GLOBAL</v>
          </cell>
          <cell r="I6537">
            <v>0</v>
          </cell>
        </row>
        <row r="6538">
          <cell r="A6538" t="str">
            <v>19-06556</v>
          </cell>
          <cell r="B6538" t="str">
            <v>BOING GLOBAL</v>
          </cell>
          <cell r="C6538" t="str">
            <v>A</v>
          </cell>
          <cell r="E6538" t="str">
            <v>56748 SHOPKINS SHOPPIES S3 MUÑECA X 1 SURT. W3</v>
          </cell>
          <cell r="F6538" t="str">
            <v>JUGUETES</v>
          </cell>
          <cell r="H6538" t="str">
            <v>BOING GLOBAL</v>
          </cell>
          <cell r="I6538">
            <v>0</v>
          </cell>
        </row>
        <row r="6539">
          <cell r="A6539" t="str">
            <v>19-06557</v>
          </cell>
          <cell r="B6539" t="str">
            <v>BOING GLOBAL</v>
          </cell>
          <cell r="C6539" t="str">
            <v>A</v>
          </cell>
          <cell r="E6539" t="str">
            <v>6893 MINI CATBOY - PJ MASKS</v>
          </cell>
          <cell r="F6539" t="str">
            <v>JUGUETES</v>
          </cell>
          <cell r="H6539" t="str">
            <v>BOING GLOBAL</v>
          </cell>
          <cell r="I6539">
            <v>0</v>
          </cell>
        </row>
        <row r="6540">
          <cell r="A6540" t="str">
            <v>19-06558</v>
          </cell>
          <cell r="B6540" t="str">
            <v>BOING GLOBAL</v>
          </cell>
          <cell r="C6540" t="str">
            <v>A</v>
          </cell>
          <cell r="E6540" t="str">
            <v>6575 MINI STRETCH MRS INCREDIBLE</v>
          </cell>
          <cell r="F6540" t="str">
            <v>JUGUETES</v>
          </cell>
          <cell r="H6540" t="str">
            <v>BOING GLOBAL</v>
          </cell>
          <cell r="I6540">
            <v>0</v>
          </cell>
        </row>
        <row r="6541">
          <cell r="A6541" t="str">
            <v>19-06559</v>
          </cell>
          <cell r="B6541" t="str">
            <v>BOING GLOBAL</v>
          </cell>
          <cell r="C6541" t="str">
            <v>A</v>
          </cell>
          <cell r="E6541" t="str">
            <v>6452 MINI STRETCH ARMSTRONG</v>
          </cell>
          <cell r="F6541" t="str">
            <v>JUGUETES</v>
          </cell>
          <cell r="H6541" t="str">
            <v>BOING GLOBAL</v>
          </cell>
          <cell r="I6541">
            <v>0</v>
          </cell>
        </row>
        <row r="6542">
          <cell r="A6542" t="str">
            <v>19-06560</v>
          </cell>
          <cell r="B6542" t="str">
            <v>BOING GLOBAL</v>
          </cell>
          <cell r="C6542" t="str">
            <v>A</v>
          </cell>
          <cell r="E6542" t="str">
            <v>6720 MINI VAC-MAN</v>
          </cell>
          <cell r="F6542" t="str">
            <v>JUGUETES</v>
          </cell>
          <cell r="H6542" t="str">
            <v>BOING GLOBAL</v>
          </cell>
          <cell r="I6542">
            <v>0</v>
          </cell>
        </row>
        <row r="6543">
          <cell r="A6543" t="str">
            <v>19-06561</v>
          </cell>
          <cell r="B6543" t="str">
            <v>BOING GLOBAL</v>
          </cell>
          <cell r="C6543" t="str">
            <v>A</v>
          </cell>
          <cell r="E6543" t="str">
            <v>1226 Water STEALTH- Small Gun Box</v>
          </cell>
          <cell r="F6543" t="str">
            <v>JUGUETES</v>
          </cell>
          <cell r="H6543" t="str">
            <v>BOING GLOBAL</v>
          </cell>
          <cell r="I6543">
            <v>0</v>
          </cell>
        </row>
        <row r="6544">
          <cell r="A6544" t="str">
            <v>19-06562</v>
          </cell>
          <cell r="B6544" t="str">
            <v>BOING GLOBAL</v>
          </cell>
          <cell r="C6544" t="str">
            <v>A</v>
          </cell>
          <cell r="E6544" t="str">
            <v>3618436184 EXCEL-PULSE OPEN BOX (8DARTS) 12 </v>
          </cell>
          <cell r="F6544" t="str">
            <v>JUGUETES</v>
          </cell>
          <cell r="H6544" t="str">
            <v>BOING GLOBAL</v>
          </cell>
          <cell r="I6544">
            <v>0</v>
          </cell>
        </row>
        <row r="6545">
          <cell r="A6545" t="str">
            <v>19-06563</v>
          </cell>
          <cell r="B6545" t="str">
            <v>BOING GLOBAL</v>
          </cell>
          <cell r="C6545" t="str">
            <v>A</v>
          </cell>
          <cell r="E6545" t="str">
            <v>36119 Excel Barrel Breaker TK-3 (3Cans,6Darts)</v>
          </cell>
          <cell r="F6545" t="str">
            <v>JUGUETES</v>
          </cell>
          <cell r="H6545" t="str">
            <v>BOING GLOBAL</v>
          </cell>
          <cell r="I6545">
            <v>0</v>
          </cell>
        </row>
        <row r="6546">
          <cell r="A6546" t="str">
            <v>19-06414</v>
          </cell>
          <cell r="B6546" t="str">
            <v>BOING GLOBAL</v>
          </cell>
          <cell r="C6546" t="str">
            <v>A</v>
          </cell>
          <cell r="E6546" t="str">
            <v>9788416620692LONDRES DESPUÉS DE TI</v>
          </cell>
          <cell r="F6546" t="str">
            <v>JUGUETES</v>
          </cell>
          <cell r="H6546" t="str">
            <v>BOING GLOBAL</v>
          </cell>
          <cell r="I6546">
            <v>16.95</v>
          </cell>
        </row>
        <row r="6547">
          <cell r="A6547" t="str">
            <v>19-06415</v>
          </cell>
          <cell r="B6547" t="str">
            <v>BOING GLOBAL</v>
          </cell>
          <cell r="C6547" t="str">
            <v>A</v>
          </cell>
          <cell r="E6547" t="str">
            <v xml:space="preserve">978147674655LOSING HOPE                        </v>
          </cell>
          <cell r="F6547" t="str">
            <v>JUGUETES</v>
          </cell>
          <cell r="H6547" t="str">
            <v>BOING GLOBAL</v>
          </cell>
          <cell r="I6547">
            <v>17.95</v>
          </cell>
        </row>
        <row r="6548">
          <cell r="A6548" t="str">
            <v>19-06416</v>
          </cell>
          <cell r="B6548" t="str">
            <v>BOING GLOBAL</v>
          </cell>
          <cell r="C6548" t="str">
            <v>A</v>
          </cell>
          <cell r="E6548" t="str">
            <v xml:space="preserve">978145167344MAGIC THE                          </v>
          </cell>
          <cell r="F6548" t="str">
            <v>JUGUETES</v>
          </cell>
          <cell r="H6548" t="str">
            <v>BOING GLOBAL</v>
          </cell>
          <cell r="I6548">
            <v>14.95</v>
          </cell>
        </row>
        <row r="6549">
          <cell r="A6549" t="str">
            <v>19-06417</v>
          </cell>
          <cell r="B6549" t="str">
            <v>BOING GLOBAL</v>
          </cell>
          <cell r="C6549" t="str">
            <v>A</v>
          </cell>
          <cell r="E6549" t="str">
            <v xml:space="preserve">978045116351MAN FROM ST. PETERSBURG, THE       </v>
          </cell>
          <cell r="F6549" t="str">
            <v>JUGUETES</v>
          </cell>
          <cell r="H6549" t="str">
            <v>BOING GLOBAL</v>
          </cell>
          <cell r="I6549">
            <v>11.95</v>
          </cell>
        </row>
        <row r="6550">
          <cell r="A6550" t="str">
            <v>19-06418</v>
          </cell>
          <cell r="B6550" t="str">
            <v>BOING GLOBAL</v>
          </cell>
          <cell r="C6550" t="str">
            <v>A</v>
          </cell>
          <cell r="E6550" t="str">
            <v>9789585454392MARAVILLOSO DESASTRE</v>
          </cell>
          <cell r="F6550" t="str">
            <v>JUGUETES</v>
          </cell>
          <cell r="H6550" t="str">
            <v>BOING GLOBAL</v>
          </cell>
          <cell r="I6550">
            <v>5.95</v>
          </cell>
        </row>
        <row r="6551">
          <cell r="A6551" t="str">
            <v>19-06419</v>
          </cell>
          <cell r="B6551" t="str">
            <v>BOING GLOBAL</v>
          </cell>
          <cell r="C6551" t="str">
            <v>A</v>
          </cell>
          <cell r="E6551" t="str">
            <v xml:space="preserve">978849677860MASONES LOS                        </v>
          </cell>
          <cell r="F6551" t="str">
            <v>JUGUETES</v>
          </cell>
          <cell r="H6551" t="str">
            <v>BOING GLOBAL</v>
          </cell>
          <cell r="I6551">
            <v>16.95</v>
          </cell>
        </row>
        <row r="6552">
          <cell r="A6552" t="str">
            <v>19-06420</v>
          </cell>
          <cell r="B6552" t="str">
            <v>BOING GLOBAL</v>
          </cell>
          <cell r="C6552" t="str">
            <v>A</v>
          </cell>
          <cell r="E6552" t="str">
            <v>9789801295044MIENTRAS TE OLVIDO</v>
          </cell>
          <cell r="F6552" t="str">
            <v>JUGUETES</v>
          </cell>
          <cell r="H6552" t="str">
            <v>BOING GLOBAL</v>
          </cell>
          <cell r="I6552">
            <v>17.95</v>
          </cell>
        </row>
        <row r="6553">
          <cell r="A6553" t="str">
            <v>19-06421</v>
          </cell>
          <cell r="B6553" t="str">
            <v>BOING GLOBAL</v>
          </cell>
          <cell r="C6553" t="str">
            <v>A</v>
          </cell>
          <cell r="E6553" t="str">
            <v xml:space="preserve">9789585643017MIL VECES HASTA SIEMPRE </v>
          </cell>
          <cell r="F6553" t="str">
            <v>JUGUETES</v>
          </cell>
          <cell r="H6553" t="str">
            <v>BOING GLOBAL</v>
          </cell>
          <cell r="I6553">
            <v>21.95</v>
          </cell>
        </row>
        <row r="6554">
          <cell r="A6554" t="str">
            <v>19-06422</v>
          </cell>
          <cell r="B6554" t="str">
            <v>BOING GLOBAL</v>
          </cell>
          <cell r="C6554" t="str">
            <v>A</v>
          </cell>
          <cell r="E6554" t="str">
            <v>9786070744839MISS MARPLE Y TRECE PROBLEMAS</v>
          </cell>
          <cell r="F6554" t="str">
            <v>JUGUETES</v>
          </cell>
          <cell r="H6554" t="str">
            <v>BOING GLOBAL</v>
          </cell>
          <cell r="I6554">
            <v>6.95</v>
          </cell>
        </row>
        <row r="6555">
          <cell r="A6555" t="str">
            <v>19-06423</v>
          </cell>
          <cell r="B6555" t="str">
            <v>BOING GLOBAL</v>
          </cell>
          <cell r="C6555" t="str">
            <v>A</v>
          </cell>
          <cell r="E6555" t="str">
            <v>9786070745645COSAS QUE PIENSAS CUANDO TE MUERD</v>
          </cell>
          <cell r="F6555" t="str">
            <v>JUGUETES</v>
          </cell>
          <cell r="H6555" t="str">
            <v>BOING GLOBAL</v>
          </cell>
          <cell r="I6555">
            <v>14.95</v>
          </cell>
        </row>
        <row r="6556">
          <cell r="A6556" t="str">
            <v>19-06424</v>
          </cell>
          <cell r="B6556" t="str">
            <v>BOING GLOBAL</v>
          </cell>
          <cell r="C6556" t="str">
            <v>A</v>
          </cell>
          <cell r="E6556" t="str">
            <v xml:space="preserve">978958878946MONJE QUE VENDIO SU FERRARI        </v>
          </cell>
          <cell r="F6556" t="str">
            <v>JUGUETES</v>
          </cell>
          <cell r="H6556" t="str">
            <v>BOING GLOBAL</v>
          </cell>
          <cell r="I6556">
            <v>12.95</v>
          </cell>
        </row>
        <row r="6557">
          <cell r="A6557" t="str">
            <v>19-06425</v>
          </cell>
          <cell r="B6557" t="str">
            <v>BOING GLOBAL</v>
          </cell>
          <cell r="C6557" t="str">
            <v>A</v>
          </cell>
          <cell r="E6557" t="str">
            <v xml:space="preserve">978068481552MUCHAS VIDAS, MUCHOS SABIOS        </v>
          </cell>
          <cell r="F6557" t="str">
            <v>JUGUETES</v>
          </cell>
          <cell r="H6557" t="str">
            <v>BOING GLOBAL</v>
          </cell>
          <cell r="I6557">
            <v>15.95</v>
          </cell>
        </row>
        <row r="6558">
          <cell r="A6558" t="str">
            <v>19-06426</v>
          </cell>
          <cell r="B6558" t="str">
            <v>BOING GLOBAL</v>
          </cell>
          <cell r="C6558" t="str">
            <v>A</v>
          </cell>
          <cell r="E6558" t="str">
            <v>9786070744815MUERTE EN LA VICARIA</v>
          </cell>
          <cell r="F6558" t="str">
            <v>JUGUETES</v>
          </cell>
          <cell r="H6558" t="str">
            <v>BOING GLOBAL</v>
          </cell>
          <cell r="I6558">
            <v>6.95</v>
          </cell>
        </row>
        <row r="6559">
          <cell r="A6559" t="str">
            <v>19-06427</v>
          </cell>
          <cell r="B6559" t="str">
            <v>BOING GLOBAL</v>
          </cell>
          <cell r="C6559" t="str">
            <v>A</v>
          </cell>
          <cell r="E6559" t="str">
            <v>9786070744860MUERTE VISITA AL DENTISTA</v>
          </cell>
          <cell r="F6559" t="str">
            <v>JUGUETES</v>
          </cell>
          <cell r="H6559" t="str">
            <v>BOING GLOBAL</v>
          </cell>
          <cell r="I6559">
            <v>6.95</v>
          </cell>
        </row>
        <row r="6560">
          <cell r="A6560" t="str">
            <v>19-06428</v>
          </cell>
          <cell r="B6560" t="str">
            <v>BOING GLOBAL</v>
          </cell>
          <cell r="C6560" t="str">
            <v>A</v>
          </cell>
          <cell r="E6560" t="str">
            <v xml:space="preserve">978849654687MUJERES QUE AMAN DEMASIADO         </v>
          </cell>
          <cell r="F6560" t="str">
            <v>JUGUETES</v>
          </cell>
          <cell r="H6560" t="str">
            <v>BOING GLOBAL</v>
          </cell>
          <cell r="I6560">
            <v>16.95</v>
          </cell>
        </row>
        <row r="6561">
          <cell r="A6561" t="str">
            <v>19-06429</v>
          </cell>
          <cell r="B6561" t="str">
            <v>BOING GLOBAL</v>
          </cell>
          <cell r="C6561" t="str">
            <v>A</v>
          </cell>
          <cell r="E6561" t="str">
            <v xml:space="preserve">978141699072NANCY DIARIES 1 CURSE ARTIC        </v>
          </cell>
          <cell r="F6561" t="str">
            <v>JUGUETES</v>
          </cell>
          <cell r="H6561" t="str">
            <v>BOING GLOBAL</v>
          </cell>
          <cell r="I6561">
            <v>6.95</v>
          </cell>
        </row>
        <row r="6562">
          <cell r="A6562" t="str">
            <v>19-06430</v>
          </cell>
          <cell r="B6562" t="str">
            <v>BOING GLOBAL</v>
          </cell>
          <cell r="C6562" t="str">
            <v>A</v>
          </cell>
          <cell r="E6562" t="str">
            <v xml:space="preserve">978031651398NEVERMOOR INT                      </v>
          </cell>
          <cell r="F6562" t="str">
            <v>JUGUETES</v>
          </cell>
          <cell r="H6562" t="str">
            <v>BOING GLOBAL</v>
          </cell>
          <cell r="I6562">
            <v>11.95</v>
          </cell>
        </row>
        <row r="6563">
          <cell r="A6563" t="str">
            <v>19-06431</v>
          </cell>
          <cell r="B6563" t="str">
            <v>BOING GLOBAL</v>
          </cell>
          <cell r="C6563" t="str">
            <v>A</v>
          </cell>
          <cell r="E6563" t="str">
            <v>9786070743160NO SONRIAS QUE ME ENAMORO</v>
          </cell>
          <cell r="F6563" t="str">
            <v>JUGUETES</v>
          </cell>
          <cell r="H6563" t="str">
            <v>BOING GLOBAL</v>
          </cell>
          <cell r="I6563">
            <v>12.95</v>
          </cell>
        </row>
        <row r="6564">
          <cell r="A6564" t="str">
            <v>19-06432</v>
          </cell>
          <cell r="B6564" t="str">
            <v>BOING GLOBAL</v>
          </cell>
          <cell r="C6564" t="str">
            <v>A</v>
          </cell>
          <cell r="E6564" t="str">
            <v xml:space="preserve">978607073272ORGULLO Y PREJUICIO                </v>
          </cell>
          <cell r="F6564" t="str">
            <v>JUGUETES</v>
          </cell>
          <cell r="H6564" t="str">
            <v>BOING GLOBAL</v>
          </cell>
          <cell r="I6564">
            <v>8.9499999999999993</v>
          </cell>
        </row>
        <row r="6565">
          <cell r="A6565" t="str">
            <v>19-06433</v>
          </cell>
          <cell r="B6565" t="str">
            <v>BOING GLOBAL</v>
          </cell>
          <cell r="C6565" t="str">
            <v>A</v>
          </cell>
          <cell r="E6565" t="str">
            <v xml:space="preserve">978607073942PABLO ESCOBAR IN FRAGANTI          </v>
          </cell>
          <cell r="F6565" t="str">
            <v>JUGUETES</v>
          </cell>
          <cell r="H6565" t="str">
            <v>BOING GLOBAL</v>
          </cell>
          <cell r="I6565">
            <v>15.95</v>
          </cell>
        </row>
        <row r="6566">
          <cell r="A6566" t="str">
            <v>19-06434</v>
          </cell>
          <cell r="B6566" t="str">
            <v>BOING GLOBAL</v>
          </cell>
          <cell r="C6566" t="str">
            <v>A</v>
          </cell>
          <cell r="E6566" t="str">
            <v xml:space="preserve">978958543359PADRE RICO PADRE POBRE             </v>
          </cell>
          <cell r="F6566" t="str">
            <v>JUGUETES</v>
          </cell>
          <cell r="H6566" t="str">
            <v>BOING GLOBAL</v>
          </cell>
          <cell r="I6566">
            <v>11.95</v>
          </cell>
        </row>
        <row r="6567">
          <cell r="A6567" t="str">
            <v>19-06435</v>
          </cell>
          <cell r="B6567" t="str">
            <v>BOING GLOBAL</v>
          </cell>
          <cell r="C6567" t="str">
            <v>A</v>
          </cell>
          <cell r="E6567" t="str">
            <v>9786073133593PADRE RICO PADRE POBRE PARA JO</v>
          </cell>
          <cell r="F6567" t="str">
            <v>JUGUETES</v>
          </cell>
          <cell r="H6567" t="str">
            <v>BOING GLOBAL</v>
          </cell>
          <cell r="I6567">
            <v>11.95</v>
          </cell>
        </row>
        <row r="6568">
          <cell r="A6568" t="str">
            <v>19-06436</v>
          </cell>
          <cell r="B6568" t="str">
            <v>BOING GLOBAL</v>
          </cell>
          <cell r="C6568" t="str">
            <v>A</v>
          </cell>
          <cell r="E6568" t="str">
            <v xml:space="preserve">978958899197PARAISO ES TU CASA, EL             </v>
          </cell>
          <cell r="F6568" t="str">
            <v>JUGUETES</v>
          </cell>
          <cell r="H6568" t="str">
            <v>BOING GLOBAL</v>
          </cell>
          <cell r="I6568">
            <v>14.95</v>
          </cell>
        </row>
        <row r="6569">
          <cell r="A6569" t="str">
            <v>19-06437</v>
          </cell>
          <cell r="B6569" t="str">
            <v>BOING GLOBAL</v>
          </cell>
          <cell r="C6569" t="str">
            <v>A</v>
          </cell>
          <cell r="E6569" t="str">
            <v xml:space="preserve">9788490325698PIENSE Y HAGASE RICO </v>
          </cell>
          <cell r="F6569" t="str">
            <v>JUGUETES</v>
          </cell>
          <cell r="H6569" t="str">
            <v>BOING GLOBAL</v>
          </cell>
          <cell r="I6569">
            <v>11.95</v>
          </cell>
        </row>
        <row r="6570">
          <cell r="A6570" t="str">
            <v>19-06438</v>
          </cell>
          <cell r="B6570" t="str">
            <v>BOING GLOBAL</v>
          </cell>
          <cell r="C6570" t="str">
            <v>A</v>
          </cell>
          <cell r="E6570" t="str">
            <v>9786070747526PILDORAS PARA EL ALMA</v>
          </cell>
          <cell r="F6570" t="str">
            <v>JUGUETES</v>
          </cell>
          <cell r="H6570" t="str">
            <v>BOING GLOBAL</v>
          </cell>
          <cell r="I6570">
            <v>10.95</v>
          </cell>
        </row>
        <row r="6571">
          <cell r="A6571" t="str">
            <v>19-06439</v>
          </cell>
          <cell r="B6571" t="str">
            <v>BOING GLOBAL</v>
          </cell>
          <cell r="C6571" t="str">
            <v>A</v>
          </cell>
          <cell r="E6571" t="str">
            <v xml:space="preserve">978045116689PILLARS OF THE EARTH, THE          </v>
          </cell>
          <cell r="F6571" t="str">
            <v>JUGUETES</v>
          </cell>
          <cell r="H6571" t="str">
            <v>BOING GLOBAL</v>
          </cell>
          <cell r="I6571">
            <v>10.95</v>
          </cell>
        </row>
        <row r="6572">
          <cell r="A6572" t="str">
            <v>19-06440</v>
          </cell>
          <cell r="B6572" t="str">
            <v>BOING GLOBAL</v>
          </cell>
          <cell r="C6572" t="str">
            <v>A</v>
          </cell>
          <cell r="E6572" t="str">
            <v>9786070748332PODER DEL PENSAMIENTO FLEXIBLE</v>
          </cell>
          <cell r="F6572" t="str">
            <v>JUGUETES</v>
          </cell>
          <cell r="H6572" t="str">
            <v>BOING GLOBAL</v>
          </cell>
          <cell r="I6572">
            <v>12.95</v>
          </cell>
        </row>
        <row r="6573">
          <cell r="A6573" t="str">
            <v>19-06441</v>
          </cell>
          <cell r="B6573" t="str">
            <v>BOING GLOBAL</v>
          </cell>
          <cell r="C6573" t="str">
            <v>A</v>
          </cell>
          <cell r="E6573" t="str">
            <v>9786070750083POIROT INFRINGE LA LEY</v>
          </cell>
          <cell r="F6573" t="str">
            <v>JUGUETES</v>
          </cell>
          <cell r="H6573" t="str">
            <v>BOING GLOBAL</v>
          </cell>
          <cell r="I6573">
            <v>7.95</v>
          </cell>
        </row>
        <row r="6574">
          <cell r="A6574" t="str">
            <v>19-06442</v>
          </cell>
          <cell r="B6574" t="str">
            <v>BOING GLOBAL</v>
          </cell>
          <cell r="C6574" t="str">
            <v>A</v>
          </cell>
          <cell r="E6574" t="str">
            <v xml:space="preserve">978144947418POSH ADULT INSPIRATIONAL QUOTE     </v>
          </cell>
          <cell r="F6574" t="str">
            <v>JUGUETES</v>
          </cell>
          <cell r="H6574" t="str">
            <v>BOING GLOBAL</v>
          </cell>
          <cell r="I6574">
            <v>13.95</v>
          </cell>
        </row>
        <row r="6575">
          <cell r="A6575" t="str">
            <v>19-06443</v>
          </cell>
          <cell r="B6575" t="str">
            <v>BOING GLOBAL</v>
          </cell>
          <cell r="C6575" t="str">
            <v>A</v>
          </cell>
          <cell r="E6575" t="str">
            <v xml:space="preserve">9789962888420PRINCIPITO EL 3D </v>
          </cell>
          <cell r="F6575" t="str">
            <v>JUGUETES</v>
          </cell>
          <cell r="H6575" t="str">
            <v>BOING GLOBAL</v>
          </cell>
          <cell r="I6575">
            <v>9.9499999999999993</v>
          </cell>
        </row>
        <row r="6576">
          <cell r="A6576" t="str">
            <v>19-06444</v>
          </cell>
          <cell r="B6576" t="str">
            <v>BOING GLOBAL</v>
          </cell>
          <cell r="C6576" t="str">
            <v>A</v>
          </cell>
          <cell r="E6576" t="str">
            <v xml:space="preserve">978987627537PROFESOR EL                        </v>
          </cell>
          <cell r="F6576" t="str">
            <v>JUGUETES</v>
          </cell>
          <cell r="H6576" t="str">
            <v>BOING GLOBAL</v>
          </cell>
          <cell r="I6576">
            <v>18.95</v>
          </cell>
        </row>
        <row r="6577">
          <cell r="A6577" t="str">
            <v>19-06445</v>
          </cell>
          <cell r="B6577" t="str">
            <v>BOING GLOBAL</v>
          </cell>
          <cell r="C6577" t="str">
            <v>A</v>
          </cell>
          <cell r="E6577" t="str">
            <v>9789585993679PSICOANALISTA EL</v>
          </cell>
          <cell r="F6577" t="str">
            <v>JUGUETES</v>
          </cell>
          <cell r="H6577" t="str">
            <v>BOING GLOBAL</v>
          </cell>
          <cell r="I6577">
            <v>11.95</v>
          </cell>
        </row>
        <row r="6578">
          <cell r="A6578" t="str">
            <v>19-06446</v>
          </cell>
          <cell r="B6578" t="str">
            <v>BOING GLOBAL</v>
          </cell>
          <cell r="C6578" t="str">
            <v>A</v>
          </cell>
          <cell r="E6578" t="str">
            <v xml:space="preserve">9788415729730QUERIDO JOHN </v>
          </cell>
          <cell r="F6578" t="str">
            <v>JUGUETES</v>
          </cell>
          <cell r="H6578" t="str">
            <v>BOING GLOBAL</v>
          </cell>
          <cell r="I6578">
            <v>11.95</v>
          </cell>
        </row>
        <row r="6579">
          <cell r="A6579" t="str">
            <v>19-06447</v>
          </cell>
          <cell r="B6579" t="str">
            <v>BOING GLOBAL</v>
          </cell>
          <cell r="C6579" t="str">
            <v>A</v>
          </cell>
          <cell r="E6579" t="str">
            <v xml:space="preserve">9789584843647QUINIENTAS VECES TU NOMBRE </v>
          </cell>
          <cell r="F6579" t="str">
            <v>JUGUETES</v>
          </cell>
          <cell r="H6579" t="str">
            <v>BOING GLOBAL</v>
          </cell>
          <cell r="I6579">
            <v>24.95</v>
          </cell>
        </row>
        <row r="6580">
          <cell r="A6580" t="str">
            <v>19-06448</v>
          </cell>
          <cell r="B6580" t="str">
            <v>BOING GLOBAL</v>
          </cell>
          <cell r="C6580" t="str">
            <v>A</v>
          </cell>
          <cell r="E6580" t="str">
            <v xml:space="preserve">978145162720RED QUEEN THE                      </v>
          </cell>
          <cell r="F6580" t="str">
            <v>JUGUETES</v>
          </cell>
          <cell r="H6580" t="str">
            <v>BOING GLOBAL</v>
          </cell>
          <cell r="I6580">
            <v>8.9499999999999993</v>
          </cell>
        </row>
        <row r="6581">
          <cell r="A6581" t="str">
            <v>19-06449</v>
          </cell>
          <cell r="B6581" t="str">
            <v>BOING GLOBAL</v>
          </cell>
          <cell r="C6581" t="str">
            <v>A</v>
          </cell>
          <cell r="E6581" t="str">
            <v>9789962888413SABORES DE LA COCINA PANAMENA</v>
          </cell>
          <cell r="F6581" t="str">
            <v>JUGUETES</v>
          </cell>
          <cell r="H6581" t="str">
            <v>BOING GLOBAL</v>
          </cell>
          <cell r="I6581">
            <v>19.95</v>
          </cell>
        </row>
        <row r="6582">
          <cell r="A6582" t="str">
            <v>19-06450</v>
          </cell>
          <cell r="B6582" t="str">
            <v>BOING GLOBAL</v>
          </cell>
          <cell r="C6582" t="str">
            <v>A</v>
          </cell>
          <cell r="E6582" t="str">
            <v>9788445000663SENOR DE LOS ANILLOS I LA COMU</v>
          </cell>
          <cell r="F6582" t="str">
            <v>JUGUETES</v>
          </cell>
          <cell r="H6582" t="str">
            <v>BOING GLOBAL</v>
          </cell>
          <cell r="I6582">
            <v>15.95</v>
          </cell>
        </row>
        <row r="6583">
          <cell r="A6583" t="str">
            <v>19-06451</v>
          </cell>
          <cell r="B6583" t="str">
            <v>BOING GLOBAL</v>
          </cell>
          <cell r="C6583" t="str">
            <v>A</v>
          </cell>
          <cell r="E6583" t="str">
            <v xml:space="preserve">978844507753SILMARILLION EL                    </v>
          </cell>
          <cell r="F6583" t="str">
            <v>JUGUETES</v>
          </cell>
          <cell r="H6583" t="str">
            <v>BOING GLOBAL</v>
          </cell>
          <cell r="I6583">
            <v>15.95</v>
          </cell>
        </row>
        <row r="6584">
          <cell r="A6584" t="str">
            <v>19-06452</v>
          </cell>
          <cell r="B6584" t="str">
            <v>BOING GLOBAL</v>
          </cell>
          <cell r="C6584" t="str">
            <v>A</v>
          </cell>
          <cell r="E6584" t="str">
            <v>9786070732751SOY LUNA 0 PRINCIPIO DEL VERAN</v>
          </cell>
          <cell r="F6584" t="str">
            <v>JUGUETES</v>
          </cell>
          <cell r="H6584" t="str">
            <v>BOING GLOBAL</v>
          </cell>
          <cell r="I6584">
            <v>9.9499999999999993</v>
          </cell>
        </row>
        <row r="6585">
          <cell r="A6585" t="str">
            <v>19-06453</v>
          </cell>
          <cell r="B6585" t="str">
            <v>BOING GLOBAL</v>
          </cell>
          <cell r="C6585" t="str">
            <v>A</v>
          </cell>
          <cell r="E6585" t="str">
            <v>9786070734212SOY LUNA 1 VIAJE COMIENZA</v>
          </cell>
          <cell r="F6585" t="str">
            <v>JUGUETES</v>
          </cell>
          <cell r="H6585" t="str">
            <v>BOING GLOBAL</v>
          </cell>
          <cell r="I6585">
            <v>9.9499999999999993</v>
          </cell>
        </row>
        <row r="6586">
          <cell r="A6586" t="str">
            <v>19-06454</v>
          </cell>
          <cell r="B6586" t="str">
            <v>BOING GLOBAL</v>
          </cell>
          <cell r="C6586" t="str">
            <v>A</v>
          </cell>
          <cell r="E6586" t="str">
            <v>9786070735332SOY LUNA 2 COMPETENCIA SOBRE R</v>
          </cell>
          <cell r="F6586" t="str">
            <v>JUGUETES</v>
          </cell>
          <cell r="H6586" t="str">
            <v>BOING GLOBAL</v>
          </cell>
          <cell r="I6586">
            <v>9.9499999999999993</v>
          </cell>
        </row>
        <row r="6587">
          <cell r="A6587" t="str">
            <v>19-06455</v>
          </cell>
          <cell r="B6587" t="str">
            <v>BOING GLOBAL</v>
          </cell>
          <cell r="C6587" t="str">
            <v>A</v>
          </cell>
          <cell r="E6587" t="str">
            <v>9786070736308SOY LUNA 3 VUELTAS EN LA PISTA</v>
          </cell>
          <cell r="F6587" t="str">
            <v>JUGUETES</v>
          </cell>
          <cell r="H6587" t="str">
            <v>BOING GLOBAL</v>
          </cell>
          <cell r="I6587">
            <v>9.9499999999999993</v>
          </cell>
        </row>
        <row r="6588">
          <cell r="A6588" t="str">
            <v>19-06456</v>
          </cell>
          <cell r="B6588" t="str">
            <v>BOING GLOBAL</v>
          </cell>
          <cell r="C6588" t="str">
            <v>A</v>
          </cell>
          <cell r="E6588" t="str">
            <v>9786070737015SOY LUNA 4. EN BUSCA DE LOS SU</v>
          </cell>
          <cell r="F6588" t="str">
            <v>JUGUETES</v>
          </cell>
          <cell r="H6588" t="str">
            <v>BOING GLOBAL</v>
          </cell>
          <cell r="I6588">
            <v>9.9499999999999993</v>
          </cell>
        </row>
        <row r="6589">
          <cell r="A6589" t="str">
            <v>19-06457</v>
          </cell>
          <cell r="B6589" t="str">
            <v>BOING GLOBAL</v>
          </cell>
          <cell r="C6589" t="str">
            <v>A</v>
          </cell>
          <cell r="E6589" t="str">
            <v xml:space="preserve">978144245393STEVE JOBS THINKING DIFFERENTL     </v>
          </cell>
          <cell r="F6589" t="str">
            <v>JUGUETES</v>
          </cell>
          <cell r="H6589" t="str">
            <v>BOING GLOBAL</v>
          </cell>
          <cell r="I6589">
            <v>7.95</v>
          </cell>
        </row>
        <row r="6590">
          <cell r="A6590" t="str">
            <v>19-06458</v>
          </cell>
          <cell r="B6590" t="str">
            <v>BOING GLOBAL</v>
          </cell>
          <cell r="C6590" t="str">
            <v>A</v>
          </cell>
          <cell r="E6590" t="str">
            <v xml:space="preserve">978141696829SUMMER I TURNED PRETTY             </v>
          </cell>
          <cell r="F6590" t="str">
            <v>JUGUETES</v>
          </cell>
          <cell r="H6590" t="str">
            <v>BOING GLOBAL</v>
          </cell>
          <cell r="I6590">
            <v>10.95</v>
          </cell>
        </row>
        <row r="6591">
          <cell r="A6591" t="str">
            <v>19-06459</v>
          </cell>
          <cell r="B6591" t="str">
            <v>BOING GLOBAL</v>
          </cell>
          <cell r="C6591" t="str">
            <v>A</v>
          </cell>
          <cell r="E6591" t="str">
            <v xml:space="preserve">978045147829THIRTEEN REASONS WHY TV TIE-IN     </v>
          </cell>
          <cell r="F6591" t="str">
            <v>JUGUETES</v>
          </cell>
          <cell r="H6591" t="str">
            <v>BOING GLOBAL</v>
          </cell>
          <cell r="I6591">
            <v>14.95</v>
          </cell>
        </row>
        <row r="6592">
          <cell r="A6592" t="str">
            <v>19-06460</v>
          </cell>
          <cell r="B6592" t="str">
            <v>BOING GLOBAL</v>
          </cell>
          <cell r="C6592" t="str">
            <v>A</v>
          </cell>
          <cell r="E6592" t="str">
            <v xml:space="preserve">978849998350TIEMPO ENTRE COSTURAS POCKET       </v>
          </cell>
          <cell r="F6592" t="str">
            <v>JUGUETES</v>
          </cell>
          <cell r="H6592" t="str">
            <v>BOING GLOBAL</v>
          </cell>
          <cell r="I6592">
            <v>15.95</v>
          </cell>
        </row>
        <row r="6593">
          <cell r="A6593" t="str">
            <v>19-06461</v>
          </cell>
          <cell r="B6593" t="str">
            <v>BOING GLOBAL</v>
          </cell>
          <cell r="C6593" t="str">
            <v>A</v>
          </cell>
          <cell r="E6593" t="str">
            <v xml:space="preserve">978045147668TIPLE                              </v>
          </cell>
          <cell r="F6593" t="str">
            <v>JUGUETES</v>
          </cell>
          <cell r="H6593" t="str">
            <v>BOING GLOBAL</v>
          </cell>
          <cell r="I6593">
            <v>11.95</v>
          </cell>
        </row>
        <row r="6594">
          <cell r="A6594" t="str">
            <v>19-06462</v>
          </cell>
          <cell r="B6594" t="str">
            <v>BOING GLOBAL</v>
          </cell>
          <cell r="C6594" t="str">
            <v>A</v>
          </cell>
          <cell r="E6594" t="str">
            <v xml:space="preserve">978958877310TORRE OSCURA 1 PISTOLERO           </v>
          </cell>
          <cell r="F6594" t="str">
            <v>JUGUETES</v>
          </cell>
          <cell r="H6594" t="str">
            <v>BOING GLOBAL</v>
          </cell>
          <cell r="I6594">
            <v>13.95</v>
          </cell>
        </row>
        <row r="6595">
          <cell r="A6595" t="str">
            <v>19-06463</v>
          </cell>
          <cell r="B6595" t="str">
            <v>BOING GLOBAL</v>
          </cell>
          <cell r="C6595" t="str">
            <v>A</v>
          </cell>
          <cell r="E6595" t="str">
            <v>9786070744853TREN DE LAS 4.50, EL</v>
          </cell>
          <cell r="F6595" t="str">
            <v>JUGUETES</v>
          </cell>
          <cell r="H6595" t="str">
            <v>BOING GLOBAL</v>
          </cell>
          <cell r="I6595">
            <v>6.95</v>
          </cell>
        </row>
        <row r="6596">
          <cell r="A6596" t="str">
            <v>19-06464</v>
          </cell>
          <cell r="B6596" t="str">
            <v>BOING GLOBAL</v>
          </cell>
          <cell r="C6596" t="str">
            <v>A</v>
          </cell>
          <cell r="E6596" t="str">
            <v>9789681321024TU PUEDES SANAR TU VIDA</v>
          </cell>
          <cell r="F6596" t="str">
            <v>JUGUETES</v>
          </cell>
          <cell r="H6596" t="str">
            <v>BOING GLOBAL</v>
          </cell>
          <cell r="I6596">
            <v>11.95</v>
          </cell>
        </row>
        <row r="6597">
          <cell r="A6597" t="str">
            <v>19-06465</v>
          </cell>
          <cell r="B6597" t="str">
            <v>BOING GLOBAL</v>
          </cell>
          <cell r="C6597" t="str">
            <v>A</v>
          </cell>
          <cell r="E6597" t="str">
            <v xml:space="preserve">978147675318UGLY LOVE                          </v>
          </cell>
          <cell r="F6597" t="str">
            <v>JUGUETES</v>
          </cell>
          <cell r="H6597" t="str">
            <v>BOING GLOBAL</v>
          </cell>
          <cell r="I6597">
            <v>15.95</v>
          </cell>
        </row>
        <row r="6598">
          <cell r="A6598" t="str">
            <v>19-06466</v>
          </cell>
          <cell r="B6598" t="str">
            <v>BOING GLOBAL</v>
          </cell>
          <cell r="C6598" t="str">
            <v>A</v>
          </cell>
          <cell r="E6598" t="str">
            <v>9786070744761UN CADAVER EN LA BIBLIOTECA</v>
          </cell>
          <cell r="F6598" t="str">
            <v>JUGUETES</v>
          </cell>
          <cell r="H6598" t="str">
            <v>BOING GLOBAL</v>
          </cell>
          <cell r="I6598">
            <v>6.95</v>
          </cell>
        </row>
        <row r="6599">
          <cell r="A6599" t="str">
            <v>19-06467</v>
          </cell>
          <cell r="B6599" t="str">
            <v>BOING GLOBAL</v>
          </cell>
          <cell r="C6599" t="str">
            <v>A</v>
          </cell>
          <cell r="E6599" t="str">
            <v>9786070750120VALLE DE LA CALMA</v>
          </cell>
          <cell r="F6599" t="str">
            <v>JUGUETES</v>
          </cell>
          <cell r="H6599" t="str">
            <v>BOING GLOBAL</v>
          </cell>
          <cell r="I6599">
            <v>18.95</v>
          </cell>
        </row>
        <row r="6600">
          <cell r="A6600" t="str">
            <v>19-06468</v>
          </cell>
          <cell r="B6600" t="str">
            <v>BOING GLOBAL</v>
          </cell>
          <cell r="C6600" t="str">
            <v>A</v>
          </cell>
          <cell r="E6600" t="str">
            <v xml:space="preserve">978144240629VANISHED BOOKS 1 &amp; 2               </v>
          </cell>
          <cell r="F6600" t="str">
            <v>JUGUETES</v>
          </cell>
          <cell r="H6600" t="str">
            <v>BOING GLOBAL</v>
          </cell>
          <cell r="I6600">
            <v>13.95</v>
          </cell>
        </row>
        <row r="6601">
          <cell r="A6601" t="str">
            <v>19-06469</v>
          </cell>
          <cell r="B6601" t="str">
            <v>BOING GLOBAL</v>
          </cell>
          <cell r="C6601" t="str">
            <v>A</v>
          </cell>
          <cell r="E6601" t="str">
            <v xml:space="preserve">978607747247VENDELE A LA MENTE, NO A LA GE     </v>
          </cell>
          <cell r="F6601" t="str">
            <v>JUGUETES</v>
          </cell>
          <cell r="H6601" t="str">
            <v>BOING GLOBAL</v>
          </cell>
          <cell r="I6601">
            <v>15.95</v>
          </cell>
        </row>
        <row r="6602">
          <cell r="A6602" t="str">
            <v>19-06470</v>
          </cell>
          <cell r="B6602" t="str">
            <v>BOING GLOBAL</v>
          </cell>
          <cell r="C6602" t="str">
            <v>A</v>
          </cell>
          <cell r="E6602" t="str">
            <v xml:space="preserve">978141699559WE'LL ALWAYS HAVE SUMMER           </v>
          </cell>
          <cell r="F6602" t="str">
            <v>JUGUETES</v>
          </cell>
          <cell r="H6602" t="str">
            <v>BOING GLOBAL</v>
          </cell>
          <cell r="I6602">
            <v>10.95</v>
          </cell>
        </row>
        <row r="6603">
          <cell r="A6603" t="str">
            <v>19-06471</v>
          </cell>
          <cell r="B6603" t="str">
            <v>BOING GLOBAL</v>
          </cell>
          <cell r="C6603" t="str">
            <v>A</v>
          </cell>
          <cell r="E6603" t="str">
            <v xml:space="preserve">978045146822WINTER OF THE WORLD                </v>
          </cell>
          <cell r="F6603" t="str">
            <v>JUGUETES</v>
          </cell>
          <cell r="H6603" t="str">
            <v>BOING GLOBAL</v>
          </cell>
          <cell r="I6603">
            <v>11.95</v>
          </cell>
        </row>
        <row r="6604">
          <cell r="A6604" t="str">
            <v>19-06472</v>
          </cell>
          <cell r="B6604" t="str">
            <v>BOING GLOBAL</v>
          </cell>
          <cell r="C6604" t="str">
            <v>A</v>
          </cell>
          <cell r="E6604" t="str">
            <v xml:space="preserve">978045122837WORLD WITHOUT END                  </v>
          </cell>
          <cell r="F6604" t="str">
            <v>JUGUETES</v>
          </cell>
          <cell r="H6604" t="str">
            <v>BOING GLOBAL</v>
          </cell>
          <cell r="I6604">
            <v>11.95</v>
          </cell>
        </row>
        <row r="6605">
          <cell r="A6605" t="str">
            <v>19-06473</v>
          </cell>
          <cell r="B6605" t="str">
            <v>BOING GLOBAL</v>
          </cell>
          <cell r="C6605" t="str">
            <v>A</v>
          </cell>
          <cell r="E6605" t="str">
            <v xml:space="preserve">978014751168YOUNG ELITES THE                   </v>
          </cell>
          <cell r="F6605" t="str">
            <v>JUGUETES</v>
          </cell>
          <cell r="H6605" t="str">
            <v>BOING GLOBAL</v>
          </cell>
          <cell r="I6605">
            <v>12.95</v>
          </cell>
        </row>
        <row r="6606">
          <cell r="A6606" t="str">
            <v>19-06564</v>
          </cell>
          <cell r="B6606" t="str">
            <v>BOING GLOBAL</v>
          </cell>
          <cell r="C6606" t="str">
            <v>A</v>
          </cell>
          <cell r="E6606" t="str">
            <v xml:space="preserve">BBOOC-1 BEANIE BOOS CLIPS 14 CMS </v>
          </cell>
          <cell r="F6606" t="str">
            <v>JUGUETES</v>
          </cell>
          <cell r="H6606" t="str">
            <v>BOING GLOBAL</v>
          </cell>
          <cell r="I6606">
            <v>0</v>
          </cell>
        </row>
        <row r="6607">
          <cell r="A6607" t="str">
            <v>19-06565</v>
          </cell>
          <cell r="B6607" t="str">
            <v>BOING GLOBAL</v>
          </cell>
          <cell r="C6607" t="str">
            <v>A</v>
          </cell>
          <cell r="E6607" t="str">
            <v>BBOO-1 BEANIE BOOS REGULAR 14 CMS</v>
          </cell>
          <cell r="F6607" t="str">
            <v>JUGUETES</v>
          </cell>
          <cell r="H6607" t="str">
            <v>BOING GLOBAL</v>
          </cell>
          <cell r="I6607">
            <v>0</v>
          </cell>
        </row>
        <row r="6608">
          <cell r="A6608" t="str">
            <v>19-06566</v>
          </cell>
          <cell r="B6608" t="str">
            <v>BOING GLOBAL</v>
          </cell>
          <cell r="C6608" t="str">
            <v>A</v>
          </cell>
          <cell r="E6608" t="str">
            <v>BBOOM-1 BEANIE BOOS MEDIUM 23 CMS</v>
          </cell>
          <cell r="F6608" t="str">
            <v>JUGUETES</v>
          </cell>
          <cell r="H6608" t="str">
            <v>BOING GLOBAL</v>
          </cell>
          <cell r="I6608">
            <v>0</v>
          </cell>
        </row>
        <row r="6609">
          <cell r="A6609" t="str">
            <v>19-06567</v>
          </cell>
          <cell r="B6609" t="str">
            <v>BOING GLOBAL</v>
          </cell>
          <cell r="C6609" t="str">
            <v>A</v>
          </cell>
          <cell r="E6609" t="str">
            <v>BABYREG BABY TY TAMAÑO  REGULAR 14 CMS</v>
          </cell>
          <cell r="F6609" t="str">
            <v>JUGUETES</v>
          </cell>
          <cell r="H6609" t="str">
            <v>BOING GLOBAL</v>
          </cell>
          <cell r="I6609">
            <v>0</v>
          </cell>
        </row>
        <row r="6610">
          <cell r="A6610" t="str">
            <v>19-06568</v>
          </cell>
          <cell r="B6610" t="str">
            <v>BOING GLOBAL</v>
          </cell>
          <cell r="C6610" t="str">
            <v>A</v>
          </cell>
          <cell r="E6610" t="str">
            <v>BABYMED BABY TY TAMAÑO  MEDIANO 23 CBMS</v>
          </cell>
          <cell r="F6610" t="str">
            <v>JUGUETES</v>
          </cell>
          <cell r="H6610" t="str">
            <v>BOING GLOBAL</v>
          </cell>
          <cell r="I6610">
            <v>0</v>
          </cell>
        </row>
        <row r="6611">
          <cell r="A6611" t="str">
            <v>19-06569</v>
          </cell>
          <cell r="B6611" t="str">
            <v>BOING GLOBAL</v>
          </cell>
          <cell r="C6611" t="str">
            <v>A</v>
          </cell>
          <cell r="E6611" t="str">
            <v>TYG SMALLTY GEAR - WRISTLET BOOS SMALL</v>
          </cell>
          <cell r="F6611" t="str">
            <v>JUGUETES</v>
          </cell>
          <cell r="H6611" t="str">
            <v>BOING GLOBAL</v>
          </cell>
          <cell r="I6611">
            <v>0</v>
          </cell>
        </row>
        <row r="6612">
          <cell r="A6612" t="str">
            <v>19-06570</v>
          </cell>
          <cell r="B6612" t="str">
            <v>BOING GLOBAL</v>
          </cell>
          <cell r="C6612" t="str">
            <v>A</v>
          </cell>
          <cell r="E6612" t="str">
            <v>TYG MEDTY GEAR - SHOULDERBAG BOOS - MED</v>
          </cell>
          <cell r="F6612" t="str">
            <v>JUGUETES</v>
          </cell>
          <cell r="H6612" t="str">
            <v>BOING GLOBAL</v>
          </cell>
          <cell r="I6612">
            <v>0</v>
          </cell>
        </row>
        <row r="6613">
          <cell r="A6613" t="str">
            <v>19-06571</v>
          </cell>
          <cell r="B6613" t="str">
            <v>BOING GLOBAL</v>
          </cell>
          <cell r="C6613" t="str">
            <v>A</v>
          </cell>
          <cell r="E6613" t="str">
            <v>PREG PEPPA REGULAR 17 CMS</v>
          </cell>
          <cell r="F6613" t="str">
            <v>JUGUETES</v>
          </cell>
          <cell r="H6613" t="str">
            <v>BOING GLOBAL</v>
          </cell>
          <cell r="I6613">
            <v>0</v>
          </cell>
        </row>
        <row r="6614">
          <cell r="A6614" t="str">
            <v>19-06572</v>
          </cell>
          <cell r="B6614" t="str">
            <v>BOING GLOBAL</v>
          </cell>
          <cell r="C6614" t="str">
            <v>A</v>
          </cell>
          <cell r="E6614" t="str">
            <v>PMED PEPPA MEDIUM 25 CMS</v>
          </cell>
          <cell r="F6614" t="str">
            <v>JUGUETES</v>
          </cell>
          <cell r="H6614" t="str">
            <v>BOING GLOBAL</v>
          </cell>
          <cell r="I6614">
            <v>0</v>
          </cell>
        </row>
        <row r="6615">
          <cell r="A6615" t="str">
            <v>19-06573</v>
          </cell>
          <cell r="B6615" t="str">
            <v>BOING GLOBAL</v>
          </cell>
          <cell r="C6615" t="str">
            <v>A</v>
          </cell>
          <cell r="E6615" t="str">
            <v>MAR REGMarvel  (Hulk, Spider, Capitan America) - Regular</v>
          </cell>
          <cell r="F6615" t="str">
            <v>JUGUETES</v>
          </cell>
          <cell r="H6615" t="str">
            <v>BOING GLOBAL</v>
          </cell>
          <cell r="I6615">
            <v>0</v>
          </cell>
        </row>
        <row r="6616">
          <cell r="A6616" t="str">
            <v>19-06574</v>
          </cell>
          <cell r="B6616" t="str">
            <v>BOING GLOBAL</v>
          </cell>
          <cell r="C6616" t="str">
            <v>A</v>
          </cell>
          <cell r="E6616" t="str">
            <v>PAW CLIPPaw Patrol Clip Size (Marshal, Chase)</v>
          </cell>
          <cell r="F6616" t="str">
            <v>JUGUETES</v>
          </cell>
          <cell r="H6616" t="str">
            <v>BOING GLOBAL</v>
          </cell>
          <cell r="I6616">
            <v>0</v>
          </cell>
        </row>
        <row r="6617">
          <cell r="A6617" t="str">
            <v>19-06575</v>
          </cell>
          <cell r="B6617" t="str">
            <v>BOING GLOBAL</v>
          </cell>
          <cell r="C6617" t="str">
            <v>A</v>
          </cell>
          <cell r="E6617" t="str">
            <v>PAW REGPaw Patrol Regular Size (Marshal, Chase, Rocky, Zuma, Skye, Rubble)</v>
          </cell>
          <cell r="F6617" t="str">
            <v>JUGUETES</v>
          </cell>
          <cell r="H6617" t="str">
            <v>BOING GLOBAL</v>
          </cell>
          <cell r="I6617">
            <v>0</v>
          </cell>
        </row>
        <row r="6618">
          <cell r="A6618" t="str">
            <v>19-06352</v>
          </cell>
          <cell r="B6618" t="str">
            <v>REXCEL</v>
          </cell>
          <cell r="C6618" t="str">
            <v>A</v>
          </cell>
          <cell r="E6618" t="str">
            <v>TEBP313BLK THULE ENROUTE BACKPACK 14L BLACK#320358</v>
          </cell>
          <cell r="F6618" t="str">
            <v>MOCHILA</v>
          </cell>
          <cell r="G6618" t="str">
            <v>TEBP313BLK</v>
          </cell>
          <cell r="H6618" t="str">
            <v>THULE</v>
          </cell>
          <cell r="I6618">
            <v>35</v>
          </cell>
        </row>
        <row r="6619">
          <cell r="A6619" t="str">
            <v>19-06353</v>
          </cell>
          <cell r="B6619" t="str">
            <v>REXCEL</v>
          </cell>
          <cell r="C6619" t="str">
            <v>A</v>
          </cell>
          <cell r="E6619" t="str">
            <v>TLBP113BLK THULE LITHOS BACKPACK 16L CARBON BLUE # 3203630</v>
          </cell>
          <cell r="F6619" t="str">
            <v>MOCHILA</v>
          </cell>
          <cell r="G6619" t="str">
            <v>TLBP113BLK</v>
          </cell>
          <cell r="H6619" t="str">
            <v>THULE</v>
          </cell>
          <cell r="I6619">
            <v>30</v>
          </cell>
        </row>
        <row r="6620">
          <cell r="A6620" t="str">
            <v>19-06354</v>
          </cell>
          <cell r="B6620" t="str">
            <v>REXCEL</v>
          </cell>
          <cell r="C6620" t="str">
            <v>A</v>
          </cell>
          <cell r="E6620" t="str">
            <v>TLBP113DKBU THULE LITHOS BACKPACK 16L DARK BURGUNDY #3203629</v>
          </cell>
          <cell r="F6620" t="str">
            <v>MOCHILA</v>
          </cell>
          <cell r="G6620" t="str">
            <v>TLBP113DKBU</v>
          </cell>
          <cell r="H6620" t="str">
            <v>THULE</v>
          </cell>
          <cell r="I6620">
            <v>30</v>
          </cell>
        </row>
        <row r="6621">
          <cell r="A6621" t="str">
            <v>19-06355</v>
          </cell>
          <cell r="B6621" t="str">
            <v>REXCEL</v>
          </cell>
          <cell r="C6621" t="str">
            <v>A</v>
          </cell>
          <cell r="E6621" t="str">
            <v>TCBP317COB THULE CROOSOVER 25 BACKPACK COBALT #3201990</v>
          </cell>
          <cell r="F6621" t="str">
            <v>MOCHILA</v>
          </cell>
          <cell r="G6621" t="str">
            <v>TCBP317COB</v>
          </cell>
          <cell r="H6621" t="str">
            <v>THULE</v>
          </cell>
          <cell r="I6621">
            <v>50</v>
          </cell>
        </row>
        <row r="6622">
          <cell r="A6622" t="str">
            <v>19-06356</v>
          </cell>
          <cell r="B6622" t="str">
            <v>REXCEL</v>
          </cell>
          <cell r="C6622" t="str">
            <v>A</v>
          </cell>
          <cell r="E6622" t="str">
            <v>TLBP116BLK THULE LITHOS BACKPACK 20L BLACK #3203632</v>
          </cell>
          <cell r="F6622" t="str">
            <v>MOCHILA</v>
          </cell>
          <cell r="G6622" t="str">
            <v>TLBP116BLK</v>
          </cell>
          <cell r="H6622" t="str">
            <v>THULE</v>
          </cell>
          <cell r="I6622">
            <v>40</v>
          </cell>
        </row>
        <row r="6623">
          <cell r="A6623" t="str">
            <v>19-06357</v>
          </cell>
          <cell r="B6623" t="str">
            <v>REXCEL</v>
          </cell>
          <cell r="C6623" t="str">
            <v>A</v>
          </cell>
          <cell r="E6623" t="str">
            <v>TLBP116CBB THULE LITHOS BACKPACK  20L CARBON BLUE # 3203635</v>
          </cell>
          <cell r="F6623" t="str">
            <v>MOCHILA</v>
          </cell>
          <cell r="G6623" t="str">
            <v>TLBP116CBB</v>
          </cell>
          <cell r="H6623" t="str">
            <v>THULE</v>
          </cell>
          <cell r="I6623">
            <v>40</v>
          </cell>
        </row>
        <row r="6624">
          <cell r="A6624" t="str">
            <v>19-06358</v>
          </cell>
          <cell r="B6624" t="str">
            <v>REXCEL</v>
          </cell>
          <cell r="C6624" t="str">
            <v>A</v>
          </cell>
          <cell r="E6624" t="str">
            <v>TLGC102BLK THULE LARGE GOPRO CASE BLACK # 3203053</v>
          </cell>
          <cell r="F6624" t="str">
            <v>MOCHILA</v>
          </cell>
          <cell r="G6624" t="str">
            <v>TLGC102BLK</v>
          </cell>
          <cell r="H6624" t="str">
            <v>THULE</v>
          </cell>
          <cell r="I6624">
            <v>30</v>
          </cell>
        </row>
        <row r="6625">
          <cell r="A6625" t="str">
            <v>19-06359</v>
          </cell>
          <cell r="B6625" t="str">
            <v>REXCEL</v>
          </cell>
          <cell r="C6625" t="str">
            <v>A</v>
          </cell>
          <cell r="E6625" t="str">
            <v>TSR336DSH THULE SUBTERRA CARRY ON 55CM/22" DARK SHADOW #3203446</v>
          </cell>
          <cell r="F6625" t="str">
            <v>MOCHILA</v>
          </cell>
          <cell r="G6625" t="str">
            <v>TSR336DSH</v>
          </cell>
          <cell r="H6625" t="str">
            <v>THULE</v>
          </cell>
          <cell r="I6625">
            <v>140</v>
          </cell>
        </row>
        <row r="6626">
          <cell r="A6626" t="str">
            <v>19-06474</v>
          </cell>
          <cell r="B6626" t="str">
            <v>HOMBRE MANCHA</v>
          </cell>
          <cell r="C6626" t="str">
            <v>A</v>
          </cell>
          <cell r="D6626" t="str">
            <v>si</v>
          </cell>
          <cell r="E6626" t="str">
            <v>AMOR A CUATRO ESTACIONES</v>
          </cell>
          <cell r="F6626" t="str">
            <v>LIBRO</v>
          </cell>
          <cell r="H6626" t="str">
            <v>HOMBRE MANCHA</v>
          </cell>
          <cell r="I6626">
            <v>23.95</v>
          </cell>
        </row>
        <row r="6627">
          <cell r="A6627" t="str">
            <v>19-06475</v>
          </cell>
          <cell r="B6627" t="str">
            <v>HOMBRE MANCHA</v>
          </cell>
          <cell r="C6627" t="str">
            <v>A</v>
          </cell>
          <cell r="D6627" t="str">
            <v>si</v>
          </cell>
          <cell r="E6627" t="str">
            <v>BAJO LA MISMA ESTRELLA</v>
          </cell>
          <cell r="F6627" t="str">
            <v>LIBRO</v>
          </cell>
          <cell r="H6627" t="str">
            <v>HOMBRE MANCHA</v>
          </cell>
          <cell r="I6627">
            <v>5.95</v>
          </cell>
        </row>
        <row r="6628">
          <cell r="A6628" t="str">
            <v>19-06476</v>
          </cell>
          <cell r="B6628" t="str">
            <v>HOMBRE MANCHA</v>
          </cell>
          <cell r="C6628" t="str">
            <v>A</v>
          </cell>
          <cell r="D6628" t="str">
            <v>si</v>
          </cell>
          <cell r="E6628" t="str">
            <v>CABRONA Y MILLONARIA</v>
          </cell>
          <cell r="F6628" t="str">
            <v>LIBRO</v>
          </cell>
          <cell r="H6628" t="str">
            <v>HOMBRE MANCHA</v>
          </cell>
          <cell r="I6628">
            <v>6.95</v>
          </cell>
        </row>
        <row r="6629">
          <cell r="A6629" t="str">
            <v>19-06477</v>
          </cell>
          <cell r="B6629" t="str">
            <v>HOMBRE MANCHA</v>
          </cell>
          <cell r="C6629" t="str">
            <v>A</v>
          </cell>
          <cell r="D6629" t="str">
            <v>si</v>
          </cell>
          <cell r="E6629" t="str">
            <v>CHUPA EL PERRO</v>
          </cell>
          <cell r="F6629" t="str">
            <v>LIBRO</v>
          </cell>
          <cell r="H6629" t="str">
            <v>HOMBRE MANCHA</v>
          </cell>
          <cell r="I6629">
            <v>13.95</v>
          </cell>
        </row>
        <row r="6630">
          <cell r="A6630" t="str">
            <v>19-06478</v>
          </cell>
          <cell r="B6630" t="str">
            <v>HOMBRE MANCHA</v>
          </cell>
          <cell r="C6630" t="str">
            <v>A</v>
          </cell>
          <cell r="D6630" t="str">
            <v>si</v>
          </cell>
          <cell r="E6630" t="str">
            <v>SOLO NOSOTROS DOS</v>
          </cell>
          <cell r="F6630" t="str">
            <v>LIBRO</v>
          </cell>
          <cell r="H6630" t="str">
            <v>HOMBRE MANCHA</v>
          </cell>
          <cell r="I6630">
            <v>12.95</v>
          </cell>
        </row>
        <row r="6631">
          <cell r="A6631" t="str">
            <v>19-06479</v>
          </cell>
          <cell r="B6631" t="str">
            <v>HOMBRE MANCHA</v>
          </cell>
          <cell r="C6631" t="str">
            <v>A</v>
          </cell>
          <cell r="D6631" t="str">
            <v>si</v>
          </cell>
          <cell r="E6631" t="str">
            <v>TUS ZONAS ERRONEAS</v>
          </cell>
          <cell r="F6631" t="str">
            <v>LIBRO</v>
          </cell>
          <cell r="H6631" t="str">
            <v>HOMBRE MANCHA</v>
          </cell>
          <cell r="I6631">
            <v>12.95</v>
          </cell>
        </row>
        <row r="6632">
          <cell r="A6632" t="str">
            <v>19-06480</v>
          </cell>
          <cell r="B6632" t="str">
            <v>HOMBRE MANCHA</v>
          </cell>
          <cell r="C6632" t="str">
            <v>A</v>
          </cell>
          <cell r="D6632" t="str">
            <v>si</v>
          </cell>
          <cell r="E6632" t="str">
            <v>VENTAJAS DE SER INVISIBLE</v>
          </cell>
          <cell r="F6632" t="str">
            <v>LIBRO</v>
          </cell>
          <cell r="H6632" t="str">
            <v>HOMBRE MANCHA</v>
          </cell>
          <cell r="I6632">
            <v>5.95</v>
          </cell>
        </row>
        <row r="6633">
          <cell r="A6633" t="str">
            <v>19-06481</v>
          </cell>
          <cell r="B6633" t="str">
            <v>ORKHON GROUP</v>
          </cell>
          <cell r="C6633" t="str">
            <v>A</v>
          </cell>
          <cell r="E6633" t="str">
            <v>S1507-32 ALTAMAR SOMBRERO NEGRO</v>
          </cell>
          <cell r="F6633" t="str">
            <v>SOMBRERO</v>
          </cell>
          <cell r="G6633" t="str">
            <v>S1507-32</v>
          </cell>
          <cell r="H6633" t="str">
            <v>ALTAMAR</v>
          </cell>
          <cell r="I6633">
            <v>6.58</v>
          </cell>
        </row>
        <row r="6634">
          <cell r="A6634" t="str">
            <v>19-06482</v>
          </cell>
          <cell r="B6634" t="str">
            <v>ORKHON GROUP</v>
          </cell>
          <cell r="C6634" t="str">
            <v>A</v>
          </cell>
          <cell r="E6634" t="str">
            <v>S1608-69 ALTAMAR SOMBRERO ROSA</v>
          </cell>
          <cell r="F6634" t="str">
            <v>SOMBRERO</v>
          </cell>
          <cell r="G6634" t="str">
            <v>S1608-69</v>
          </cell>
          <cell r="H6634" t="str">
            <v>ALTAMAR</v>
          </cell>
          <cell r="I6634">
            <v>7.52</v>
          </cell>
        </row>
        <row r="6635">
          <cell r="A6635" t="str">
            <v>19-06483</v>
          </cell>
          <cell r="B6635" t="str">
            <v>ORKHON GROUP</v>
          </cell>
          <cell r="C6635" t="str">
            <v>A</v>
          </cell>
          <cell r="E6635" t="str">
            <v>S1608-70 ALTAMAR  SOMBRERO VERDE</v>
          </cell>
          <cell r="F6635" t="str">
            <v>SOMBRERO</v>
          </cell>
          <cell r="G6635" t="str">
            <v>S1608-70</v>
          </cell>
          <cell r="H6635" t="str">
            <v>ALTAMAR</v>
          </cell>
          <cell r="I6635">
            <v>7.52</v>
          </cell>
        </row>
        <row r="6636">
          <cell r="A6636" t="str">
            <v>19-06484</v>
          </cell>
          <cell r="B6636" t="str">
            <v>ORKHON GROUP</v>
          </cell>
          <cell r="C6636" t="str">
            <v>A</v>
          </cell>
          <cell r="E6636" t="str">
            <v>S1608-42 ALTAMAR SOMBRERO CREMA</v>
          </cell>
          <cell r="F6636" t="str">
            <v>SOMBRERO</v>
          </cell>
          <cell r="G6636" t="str">
            <v>S1608-42</v>
          </cell>
          <cell r="H6636" t="str">
            <v>ALTAMAR</v>
          </cell>
          <cell r="I6636">
            <v>5.64</v>
          </cell>
        </row>
        <row r="6637">
          <cell r="A6637" t="str">
            <v>19-06485</v>
          </cell>
          <cell r="B6637" t="str">
            <v>ORKHON GROUP</v>
          </cell>
          <cell r="C6637" t="str">
            <v>A</v>
          </cell>
          <cell r="E6637" t="str">
            <v>S1608-42 ALTAMAR SOMBRERO MARRON</v>
          </cell>
          <cell r="F6637" t="str">
            <v>SOMBRERO</v>
          </cell>
          <cell r="G6637" t="str">
            <v>S1608-42</v>
          </cell>
          <cell r="H6637" t="str">
            <v>ALTAMAR</v>
          </cell>
          <cell r="I6637">
            <v>5.64</v>
          </cell>
        </row>
        <row r="6638">
          <cell r="A6638" t="str">
            <v>19-06486</v>
          </cell>
          <cell r="B6638" t="str">
            <v>ORKHON GROUP</v>
          </cell>
          <cell r="C6638" t="str">
            <v>A</v>
          </cell>
          <cell r="E6638" t="str">
            <v>S1608-45 ALTAMAR SOMBRERO CREMA</v>
          </cell>
          <cell r="F6638" t="str">
            <v>SOMBRERO</v>
          </cell>
          <cell r="G6638" t="str">
            <v>S1608-45</v>
          </cell>
          <cell r="H6638" t="str">
            <v>ALTAMAR</v>
          </cell>
          <cell r="I6638">
            <v>8.4600000000000009</v>
          </cell>
        </row>
        <row r="6639">
          <cell r="A6639" t="str">
            <v>19-06487</v>
          </cell>
          <cell r="B6639" t="str">
            <v>ORKHON GROUP</v>
          </cell>
          <cell r="C6639" t="str">
            <v>A</v>
          </cell>
          <cell r="E6639" t="str">
            <v>S1608-45 ALTAMAR SOMBRERO NEGRO</v>
          </cell>
          <cell r="F6639" t="str">
            <v>SOMBRERO</v>
          </cell>
          <cell r="G6639" t="str">
            <v>S1608-45</v>
          </cell>
          <cell r="H6639" t="str">
            <v>ALTAMAR</v>
          </cell>
          <cell r="I6639">
            <v>8.4600000000000009</v>
          </cell>
        </row>
        <row r="6640">
          <cell r="A6640" t="str">
            <v>19-06488</v>
          </cell>
          <cell r="B6640" t="str">
            <v>DIST. LEWIS</v>
          </cell>
          <cell r="C6640" t="str">
            <v>A</v>
          </cell>
          <cell r="D6640" t="str">
            <v>si</v>
          </cell>
          <cell r="E6640" t="str">
            <v>VANIDADES</v>
          </cell>
          <cell r="F6640" t="str">
            <v>REVISTAS</v>
          </cell>
          <cell r="H6640" t="str">
            <v>DIST. LEWIS</v>
          </cell>
          <cell r="I6640">
            <v>2.8</v>
          </cell>
        </row>
        <row r="6641">
          <cell r="A6641" t="str">
            <v>19-06489</v>
          </cell>
          <cell r="B6641" t="str">
            <v>DIST. LEWIS</v>
          </cell>
          <cell r="C6641" t="str">
            <v>A</v>
          </cell>
          <cell r="D6641" t="str">
            <v>si</v>
          </cell>
          <cell r="E6641" t="str">
            <v>COSMOPOLITAN EN ESPAÑOL</v>
          </cell>
          <cell r="F6641" t="str">
            <v>REVISTAS</v>
          </cell>
          <cell r="H6641" t="str">
            <v>DIST. LEWIS</v>
          </cell>
          <cell r="I6641">
            <v>2.8</v>
          </cell>
        </row>
        <row r="6642">
          <cell r="A6642" t="str">
            <v>19-06490</v>
          </cell>
          <cell r="B6642" t="str">
            <v>DIST. LEWIS</v>
          </cell>
          <cell r="C6642" t="str">
            <v>A</v>
          </cell>
          <cell r="D6642" t="str">
            <v>si</v>
          </cell>
          <cell r="E6642" t="str">
            <v>REVISTA TU</v>
          </cell>
          <cell r="F6642" t="str">
            <v>REVISTAS</v>
          </cell>
          <cell r="H6642" t="str">
            <v>DIST. LEWIS</v>
          </cell>
          <cell r="I6642">
            <v>2.4</v>
          </cell>
        </row>
        <row r="6643">
          <cell r="A6643" t="str">
            <v>19-06491</v>
          </cell>
          <cell r="B6643" t="str">
            <v>DIST. LEWIS</v>
          </cell>
          <cell r="C6643" t="str">
            <v>A</v>
          </cell>
          <cell r="D6643" t="str">
            <v>si</v>
          </cell>
          <cell r="E6643" t="str">
            <v>NATIONAL GEOGRAPHIC EN ESPAÑOL</v>
          </cell>
          <cell r="F6643" t="str">
            <v>LIBRO</v>
          </cell>
          <cell r="H6643" t="str">
            <v>DIST. LEWIS</v>
          </cell>
          <cell r="I6643">
            <v>0</v>
          </cell>
        </row>
        <row r="6644">
          <cell r="A6644" t="str">
            <v>19-06492</v>
          </cell>
          <cell r="B6644" t="str">
            <v>DIST. LEWIS</v>
          </cell>
          <cell r="C6644" t="str">
            <v>A</v>
          </cell>
          <cell r="D6644" t="str">
            <v>si</v>
          </cell>
          <cell r="E6644" t="str">
            <v>MUY INTERESANTE</v>
          </cell>
          <cell r="F6644" t="str">
            <v>LIBRO</v>
          </cell>
          <cell r="H6644" t="str">
            <v>DIST. LEWIS</v>
          </cell>
          <cell r="I6644">
            <v>0</v>
          </cell>
        </row>
        <row r="6645">
          <cell r="A6645" t="str">
            <v>19-06493</v>
          </cell>
          <cell r="B6645" t="str">
            <v>DIST. LEWIS</v>
          </cell>
          <cell r="C6645" t="str">
            <v>A</v>
          </cell>
          <cell r="D6645" t="str">
            <v>si</v>
          </cell>
          <cell r="E6645" t="str">
            <v>COCINA FACIL</v>
          </cell>
          <cell r="F6645" t="str">
            <v>LIBRO</v>
          </cell>
          <cell r="H6645" t="str">
            <v>DIST. LEWIS</v>
          </cell>
          <cell r="I6645">
            <v>0</v>
          </cell>
        </row>
        <row r="6646">
          <cell r="A6646" t="str">
            <v>19-06494</v>
          </cell>
          <cell r="B6646" t="str">
            <v>DIST. LEWIS</v>
          </cell>
          <cell r="C6646" t="str">
            <v>A</v>
          </cell>
          <cell r="D6646" t="str">
            <v>si</v>
          </cell>
          <cell r="E6646" t="str">
            <v>HARPER BAZAAR EN ESPAÑOL</v>
          </cell>
          <cell r="F6646" t="str">
            <v>REVISTAS</v>
          </cell>
          <cell r="H6646" t="str">
            <v>DIST. LEWIS</v>
          </cell>
          <cell r="I6646">
            <v>2.4</v>
          </cell>
        </row>
        <row r="6647">
          <cell r="A6647" t="str">
            <v>19-06495</v>
          </cell>
          <cell r="B6647" t="str">
            <v>DIST. LEWIS</v>
          </cell>
          <cell r="C6647" t="str">
            <v>A</v>
          </cell>
          <cell r="D6647" t="str">
            <v>si</v>
          </cell>
          <cell r="E6647" t="str">
            <v>CONDORITO GRANDE</v>
          </cell>
          <cell r="F6647" t="str">
            <v>LIBRO</v>
          </cell>
          <cell r="H6647" t="str">
            <v>DIST. LEWIS</v>
          </cell>
          <cell r="I6647">
            <v>0</v>
          </cell>
        </row>
        <row r="6648">
          <cell r="A6648" t="str">
            <v>19-06496</v>
          </cell>
          <cell r="B6648" t="str">
            <v>DIST. LEWIS</v>
          </cell>
          <cell r="C6648" t="str">
            <v>A</v>
          </cell>
          <cell r="D6648" t="str">
            <v>si</v>
          </cell>
          <cell r="E6648" t="str">
            <v>CONDORITO ORO</v>
          </cell>
          <cell r="F6648" t="str">
            <v>LIBRO</v>
          </cell>
          <cell r="H6648" t="str">
            <v>DIST. LEWIS</v>
          </cell>
          <cell r="I6648">
            <v>0</v>
          </cell>
        </row>
        <row r="6649">
          <cell r="A6649" t="str">
            <v>19-06497</v>
          </cell>
          <cell r="B6649" t="str">
            <v>DIST. LEWIS</v>
          </cell>
          <cell r="C6649" t="str">
            <v>A</v>
          </cell>
          <cell r="D6649" t="str">
            <v>si</v>
          </cell>
          <cell r="E6649" t="str">
            <v>HIPER BUSCAPALABRA</v>
          </cell>
          <cell r="F6649" t="str">
            <v>LIBRO</v>
          </cell>
          <cell r="H6649" t="str">
            <v>DIST. LEWIS</v>
          </cell>
          <cell r="I6649">
            <v>0</v>
          </cell>
        </row>
        <row r="6650">
          <cell r="A6650" t="str">
            <v>19-06498</v>
          </cell>
          <cell r="B6650" t="str">
            <v>DIST. LEWIS</v>
          </cell>
          <cell r="C6650" t="str">
            <v>A</v>
          </cell>
          <cell r="D6650" t="str">
            <v>si</v>
          </cell>
          <cell r="E6650" t="str">
            <v>HiPER MATATIEMPO</v>
          </cell>
          <cell r="F6650" t="str">
            <v>LIBRO</v>
          </cell>
          <cell r="H6650" t="str">
            <v>DIST. LEWIS</v>
          </cell>
          <cell r="I6650">
            <v>0</v>
          </cell>
        </row>
        <row r="6651">
          <cell r="A6651" t="str">
            <v>19-06499</v>
          </cell>
          <cell r="B6651" t="str">
            <v>DIST. LEWIS</v>
          </cell>
          <cell r="C6651" t="str">
            <v>A</v>
          </cell>
          <cell r="D6651" t="str">
            <v>si</v>
          </cell>
          <cell r="E6651" t="str">
            <v>PALABRAGRAMA ESPECIAL</v>
          </cell>
          <cell r="F6651" t="str">
            <v>LIBRO</v>
          </cell>
          <cell r="H6651" t="str">
            <v>DIST. LEWIS</v>
          </cell>
          <cell r="I6651">
            <v>0</v>
          </cell>
        </row>
        <row r="6652">
          <cell r="A6652" t="str">
            <v>19-06500</v>
          </cell>
          <cell r="B6652" t="str">
            <v>DIST. LEWIS</v>
          </cell>
          <cell r="C6652" t="str">
            <v>A</v>
          </cell>
          <cell r="D6652" t="str">
            <v>si</v>
          </cell>
          <cell r="E6652" t="str">
            <v>SUPER MATATIEMPO</v>
          </cell>
          <cell r="F6652" t="str">
            <v>LIBRO</v>
          </cell>
          <cell r="H6652" t="str">
            <v>DIST. LEWIS</v>
          </cell>
          <cell r="I6652">
            <v>0</v>
          </cell>
        </row>
        <row r="6653">
          <cell r="A6653" t="str">
            <v>19-06501</v>
          </cell>
          <cell r="B6653" t="str">
            <v>DIST. LEWIS</v>
          </cell>
          <cell r="C6653" t="str">
            <v>A</v>
          </cell>
          <cell r="D6653" t="str">
            <v>si</v>
          </cell>
          <cell r="E6653" t="str">
            <v>HIPER QUITATIEMPO</v>
          </cell>
          <cell r="F6653" t="str">
            <v>LIBRO</v>
          </cell>
          <cell r="H6653" t="str">
            <v>DIST. LEWIS</v>
          </cell>
          <cell r="I6653">
            <v>0</v>
          </cell>
        </row>
        <row r="6654">
          <cell r="A6654" t="str">
            <v>19-06502</v>
          </cell>
          <cell r="B6654" t="str">
            <v>DIST. LEWIS</v>
          </cell>
          <cell r="C6654" t="str">
            <v>A</v>
          </cell>
          <cell r="D6654" t="str">
            <v>si</v>
          </cell>
          <cell r="E6654" t="str">
            <v>SOLO JUEGOS</v>
          </cell>
          <cell r="F6654" t="str">
            <v>LIBRO</v>
          </cell>
          <cell r="H6654" t="str">
            <v>DIST. LEWIS</v>
          </cell>
          <cell r="I6654">
            <v>0</v>
          </cell>
        </row>
        <row r="6655">
          <cell r="A6655" t="str">
            <v>19-06503</v>
          </cell>
          <cell r="B6655" t="str">
            <v>DIST. LEWIS</v>
          </cell>
          <cell r="C6655" t="str">
            <v>A</v>
          </cell>
          <cell r="D6655" t="str">
            <v>si</v>
          </cell>
          <cell r="E6655" t="str">
            <v>NAVIDAD SELECCIONES</v>
          </cell>
          <cell r="F6655" t="str">
            <v>LIBRO</v>
          </cell>
          <cell r="H6655" t="str">
            <v>DIST. LEWIS</v>
          </cell>
          <cell r="I6655">
            <v>3.6</v>
          </cell>
        </row>
        <row r="6656">
          <cell r="A6656" t="str">
            <v>19-06504</v>
          </cell>
          <cell r="B6656" t="str">
            <v>DIST. LEWIS</v>
          </cell>
          <cell r="C6656" t="str">
            <v>A</v>
          </cell>
          <cell r="D6656" t="str">
            <v>si</v>
          </cell>
          <cell r="E6656" t="str">
            <v>GUIA BIENESTAR SELECCIONES</v>
          </cell>
          <cell r="F6656" t="str">
            <v>LIBRO</v>
          </cell>
          <cell r="H6656" t="str">
            <v>DIST. LEWIS</v>
          </cell>
          <cell r="I6656">
            <v>0</v>
          </cell>
        </row>
        <row r="6657">
          <cell r="A6657" t="str">
            <v>19-06505</v>
          </cell>
          <cell r="C6657" t="str">
            <v>A</v>
          </cell>
          <cell r="E6657" t="str">
            <v>30-55050 SUN BUM BABY BUM SPF 50 STICK 45OZ</v>
          </cell>
          <cell r="F6657" t="str">
            <v>PROTECTOR SOLAR</v>
          </cell>
          <cell r="G6657" t="str">
            <v>30-55050</v>
          </cell>
          <cell r="H6657" t="str">
            <v>SUN BUM</v>
          </cell>
          <cell r="I6657">
            <v>0</v>
          </cell>
        </row>
        <row r="6658">
          <cell r="A6658" t="str">
            <v>19-06506</v>
          </cell>
          <cell r="C6658" t="str">
            <v>A</v>
          </cell>
          <cell r="E6658" t="str">
            <v>75-2580 STOW &amp; GO STUDIO</v>
          </cell>
          <cell r="F6658" t="str">
            <v>LIBRO</v>
          </cell>
          <cell r="G6658" t="str">
            <v>75-2580</v>
          </cell>
          <cell r="H6658" t="str">
            <v>CRAYOLA</v>
          </cell>
          <cell r="I6658">
            <v>0</v>
          </cell>
        </row>
        <row r="6659">
          <cell r="A6659" t="str">
            <v>19-06507</v>
          </cell>
          <cell r="C6659" t="str">
            <v>A</v>
          </cell>
          <cell r="E6659" t="str">
            <v>04-0092 ART WITH EDGE , POP ART PORTFOLIO, TROPICAL POP</v>
          </cell>
          <cell r="F6659" t="str">
            <v>LIBRO</v>
          </cell>
          <cell r="G6659" t="str">
            <v>04-0092</v>
          </cell>
          <cell r="H6659" t="str">
            <v>CRAYOLA</v>
          </cell>
          <cell r="I6659">
            <v>0</v>
          </cell>
        </row>
        <row r="6660">
          <cell r="A6660" t="str">
            <v>19-06508</v>
          </cell>
          <cell r="C6660" t="str">
            <v>A</v>
          </cell>
          <cell r="E6660" t="str">
            <v>68-1224 24CT ARTIST GEL COLORED PENCIL</v>
          </cell>
          <cell r="F6660" t="str">
            <v>LIBRO</v>
          </cell>
          <cell r="G6660" t="str">
            <v>68-1224</v>
          </cell>
          <cell r="H6660" t="str">
            <v>CRAYOLA</v>
          </cell>
          <cell r="I6660">
            <v>0</v>
          </cell>
        </row>
        <row r="6661">
          <cell r="A6661" t="str">
            <v>19-06509</v>
          </cell>
          <cell r="B6661" t="str">
            <v>DIST. LEWIS</v>
          </cell>
          <cell r="C6661" t="str">
            <v>A</v>
          </cell>
          <cell r="D6661" t="str">
            <v>si</v>
          </cell>
          <cell r="E6661" t="str">
            <v>ESQUIRE EN ESPAÑOL</v>
          </cell>
          <cell r="F6661" t="str">
            <v>LIBRO</v>
          </cell>
          <cell r="H6661" t="str">
            <v>DIST. LEWIS</v>
          </cell>
          <cell r="I6661">
            <v>0</v>
          </cell>
        </row>
        <row r="6662">
          <cell r="A6662" t="str">
            <v>19-06510</v>
          </cell>
          <cell r="B6662" t="str">
            <v>DIST. LEWIS</v>
          </cell>
          <cell r="C6662" t="str">
            <v>A</v>
          </cell>
          <cell r="D6662" t="str">
            <v>si</v>
          </cell>
          <cell r="E6662" t="str">
            <v>ESQUIRE ESP. BIG WATCH BOOK</v>
          </cell>
          <cell r="F6662" t="str">
            <v>LIBRO</v>
          </cell>
          <cell r="H6662" t="str">
            <v>DIST. LEWIS</v>
          </cell>
          <cell r="I6662">
            <v>0</v>
          </cell>
        </row>
        <row r="6663">
          <cell r="A6663" t="str">
            <v>19-06576</v>
          </cell>
          <cell r="B6663" t="str">
            <v>BOING GLOBAL</v>
          </cell>
          <cell r="C6663" t="str">
            <v>A</v>
          </cell>
          <cell r="E6663" t="str">
            <v>35020 OWLETTE - white owl clip</v>
          </cell>
          <cell r="F6663" t="str">
            <v>JUGUETES</v>
          </cell>
          <cell r="G6663">
            <v>35020</v>
          </cell>
          <cell r="H6663" t="str">
            <v>TY</v>
          </cell>
          <cell r="I6663">
            <v>0</v>
          </cell>
        </row>
        <row r="6664">
          <cell r="A6664" t="str">
            <v>19-06577</v>
          </cell>
          <cell r="B6664" t="str">
            <v>BOING GLOBAL</v>
          </cell>
          <cell r="C6664" t="str">
            <v>A</v>
          </cell>
          <cell r="E6664" t="str">
            <v>36564 RUSTY - raccoon clip</v>
          </cell>
          <cell r="F6664" t="str">
            <v>JUGUETES</v>
          </cell>
          <cell r="G6664">
            <v>36564</v>
          </cell>
          <cell r="H6664" t="str">
            <v>TY</v>
          </cell>
          <cell r="I6664">
            <v>0</v>
          </cell>
        </row>
        <row r="6665">
          <cell r="A6665" t="str">
            <v>19-06578</v>
          </cell>
          <cell r="B6665" t="str">
            <v>BOING GLOBAL</v>
          </cell>
          <cell r="C6665" t="str">
            <v>A</v>
          </cell>
          <cell r="E6665" t="str">
            <v>36562 FRANKY - pink multicolored bear clip</v>
          </cell>
          <cell r="F6665" t="str">
            <v>JUGUETE</v>
          </cell>
          <cell r="G6665">
            <v>36562</v>
          </cell>
          <cell r="H6665" t="str">
            <v>TY</v>
          </cell>
          <cell r="I6665">
            <v>0</v>
          </cell>
        </row>
        <row r="6666">
          <cell r="A6666" t="str">
            <v>19-06579</v>
          </cell>
          <cell r="B6666" t="str">
            <v>BOING GLOBAL</v>
          </cell>
          <cell r="C6666" t="str">
            <v>A</v>
          </cell>
          <cell r="E6666" t="str">
            <v>35032 SAMI - fish orange clip</v>
          </cell>
          <cell r="F6666" t="str">
            <v>JUGUETES</v>
          </cell>
          <cell r="G6666">
            <v>35032</v>
          </cell>
          <cell r="H6666" t="str">
            <v>TY</v>
          </cell>
          <cell r="I6666">
            <v>0</v>
          </cell>
        </row>
        <row r="6667">
          <cell r="A6667" t="str">
            <v>19-06580</v>
          </cell>
          <cell r="B6667" t="str">
            <v>BOING GLOBAL</v>
          </cell>
          <cell r="C6667" t="str">
            <v>A</v>
          </cell>
          <cell r="E6667" t="str">
            <v>36631 NADYA - monkey (Russia) clip</v>
          </cell>
          <cell r="F6667" t="str">
            <v>JUGUETES</v>
          </cell>
          <cell r="G6667">
            <v>36631</v>
          </cell>
          <cell r="H6667" t="str">
            <v>TY</v>
          </cell>
          <cell r="I6667">
            <v>0</v>
          </cell>
        </row>
        <row r="6668">
          <cell r="A6668" t="str">
            <v>19-06581</v>
          </cell>
          <cell r="B6668" t="str">
            <v>BOING GLOBAL</v>
          </cell>
          <cell r="C6668" t="str">
            <v>A</v>
          </cell>
          <cell r="E6668" t="str">
            <v>36565 BEAKS - toucan bird clip</v>
          </cell>
          <cell r="F6668" t="str">
            <v>JUGUETES</v>
          </cell>
          <cell r="G6668">
            <v>36565</v>
          </cell>
          <cell r="H6668" t="str">
            <v>TY</v>
          </cell>
          <cell r="I6668">
            <v>0</v>
          </cell>
        </row>
        <row r="6669">
          <cell r="A6669" t="str">
            <v>19-06582</v>
          </cell>
          <cell r="B6669" t="str">
            <v>BOING GLOBAL</v>
          </cell>
          <cell r="C6669" t="str">
            <v>A</v>
          </cell>
          <cell r="E6669" t="str">
            <v>36634 SOPHIE - pink cat clip</v>
          </cell>
          <cell r="F6669" t="str">
            <v>JUGUETES</v>
          </cell>
          <cell r="G6669">
            <v>36634</v>
          </cell>
          <cell r="H6669" t="str">
            <v>TY</v>
          </cell>
          <cell r="I6669">
            <v>0</v>
          </cell>
        </row>
        <row r="6670">
          <cell r="A6670" t="str">
            <v>19-06583</v>
          </cell>
          <cell r="B6670" t="str">
            <v>BOING GLOBAL</v>
          </cell>
          <cell r="C6670" t="str">
            <v>A</v>
          </cell>
          <cell r="E6670" t="str">
            <v>37199 SCOOTER-snail reg</v>
          </cell>
          <cell r="F6670" t="str">
            <v>JUGUETES</v>
          </cell>
          <cell r="G6670">
            <v>37199</v>
          </cell>
          <cell r="H6670" t="str">
            <v>TY</v>
          </cell>
          <cell r="I6670">
            <v>0</v>
          </cell>
        </row>
        <row r="6671">
          <cell r="A6671" t="str">
            <v>19-06584</v>
          </cell>
          <cell r="B6671" t="str">
            <v>BOING GLOBAL</v>
          </cell>
          <cell r="C6671" t="str">
            <v>A</v>
          </cell>
          <cell r="E6671" t="str">
            <v>36878 DEXTER - chihuahua reg</v>
          </cell>
          <cell r="F6671" t="str">
            <v>JUGUETES</v>
          </cell>
          <cell r="G6671">
            <v>36878</v>
          </cell>
          <cell r="H6671" t="str">
            <v>TY</v>
          </cell>
          <cell r="I6671">
            <v>0</v>
          </cell>
        </row>
        <row r="6672">
          <cell r="A6672" t="str">
            <v>19-06585</v>
          </cell>
          <cell r="B6672" t="str">
            <v>BOING GLOBAL</v>
          </cell>
          <cell r="C6672" t="str">
            <v>A</v>
          </cell>
          <cell r="E6672" t="str">
            <v>37189 DOTTY-multicolor leopard reg</v>
          </cell>
          <cell r="F6672" t="str">
            <v>JUGUETES</v>
          </cell>
          <cell r="G6672">
            <v>37189</v>
          </cell>
          <cell r="H6672" t="str">
            <v>TY</v>
          </cell>
          <cell r="I6672">
            <v>0</v>
          </cell>
        </row>
        <row r="6673">
          <cell r="A6673" t="str">
            <v>19-06586</v>
          </cell>
          <cell r="B6673" t="str">
            <v>BOING GLOBAL</v>
          </cell>
          <cell r="C6673" t="str">
            <v>A</v>
          </cell>
          <cell r="E6673" t="str">
            <v>36253 ENCHANTED - owl with horn reg</v>
          </cell>
          <cell r="F6673" t="str">
            <v>JUGUETES</v>
          </cell>
          <cell r="G6673">
            <v>36253</v>
          </cell>
          <cell r="H6673" t="str">
            <v>TY</v>
          </cell>
          <cell r="I6673">
            <v>0</v>
          </cell>
        </row>
        <row r="6674">
          <cell r="A6674" t="str">
            <v>19-06587</v>
          </cell>
          <cell r="B6674" t="str">
            <v>BOING GLOBAL</v>
          </cell>
          <cell r="C6674" t="str">
            <v>A</v>
          </cell>
          <cell r="E6674" t="str">
            <v>36216 NORI - narwhal reg</v>
          </cell>
          <cell r="F6674" t="str">
            <v>JUGUETES</v>
          </cell>
          <cell r="G6674">
            <v>36216</v>
          </cell>
          <cell r="H6674" t="str">
            <v>TY</v>
          </cell>
          <cell r="I6674">
            <v>0</v>
          </cell>
        </row>
        <row r="6675">
          <cell r="A6675" t="str">
            <v>19-06588</v>
          </cell>
          <cell r="B6675" t="str">
            <v>BOING GLOBAL</v>
          </cell>
          <cell r="C6675" t="str">
            <v>A</v>
          </cell>
          <cell r="E6675" t="str">
            <v>36252 RAMSEY - lion with horn reg</v>
          </cell>
          <cell r="F6675" t="str">
            <v>JUGUETES</v>
          </cell>
          <cell r="G6675">
            <v>36252</v>
          </cell>
          <cell r="H6675" t="str">
            <v>TY</v>
          </cell>
          <cell r="I6675">
            <v>0</v>
          </cell>
        </row>
        <row r="6676">
          <cell r="A6676" t="str">
            <v>19-06589</v>
          </cell>
          <cell r="B6676" t="str">
            <v>BOING GLOBAL</v>
          </cell>
          <cell r="C6676" t="str">
            <v>A</v>
          </cell>
          <cell r="E6676" t="str">
            <v>36848 GILDA - pink flamingo reg</v>
          </cell>
          <cell r="F6676" t="str">
            <v>JUGUETES</v>
          </cell>
          <cell r="G6676">
            <v>36252</v>
          </cell>
          <cell r="H6676" t="str">
            <v>TY</v>
          </cell>
          <cell r="I6676">
            <v>0</v>
          </cell>
        </row>
        <row r="6677">
          <cell r="A6677" t="str">
            <v>19-06590</v>
          </cell>
          <cell r="B6677" t="str">
            <v>BOING GLOBAL</v>
          </cell>
          <cell r="C6677" t="str">
            <v>A</v>
          </cell>
          <cell r="E6677" t="str">
            <v>36159 SLICK - zorro café  regular</v>
          </cell>
          <cell r="F6677" t="str">
            <v>JUGUETES</v>
          </cell>
          <cell r="G6677">
            <v>36159</v>
          </cell>
          <cell r="H6677" t="str">
            <v>TY</v>
          </cell>
          <cell r="I6677">
            <v>0</v>
          </cell>
        </row>
        <row r="6678">
          <cell r="A6678" t="str">
            <v>19-06591</v>
          </cell>
          <cell r="B6678" t="str">
            <v>BOING GLOBAL</v>
          </cell>
          <cell r="C6678" t="str">
            <v>A</v>
          </cell>
          <cell r="E6678" t="str">
            <v>37158 TWIGGY - pink owl med</v>
          </cell>
          <cell r="F6678" t="str">
            <v>JUGUETES</v>
          </cell>
          <cell r="G6678">
            <v>37158</v>
          </cell>
          <cell r="H6678" t="str">
            <v>TY</v>
          </cell>
          <cell r="I6678">
            <v>0</v>
          </cell>
        </row>
        <row r="6679">
          <cell r="A6679" t="str">
            <v>19-06592</v>
          </cell>
          <cell r="B6679" t="str">
            <v>BOING GLOBAL</v>
          </cell>
          <cell r="C6679" t="str">
            <v>A</v>
          </cell>
          <cell r="E6679" t="str">
            <v>37261 BLITZ - blue unicorn med</v>
          </cell>
          <cell r="F6679" t="str">
            <v>JUGUETES</v>
          </cell>
          <cell r="G6679">
            <v>37261</v>
          </cell>
          <cell r="H6679" t="str">
            <v>TY</v>
          </cell>
          <cell r="I6679">
            <v>0</v>
          </cell>
        </row>
        <row r="6680">
          <cell r="A6680" t="str">
            <v>19-06593</v>
          </cell>
          <cell r="B6680" t="str">
            <v>BOING GLOBAL</v>
          </cell>
          <cell r="C6680" t="str">
            <v>A</v>
          </cell>
          <cell r="E6680" t="str">
            <v>36417 DANGLER - grey sloth med</v>
          </cell>
          <cell r="F6680" t="str">
            <v>JUGUETES</v>
          </cell>
          <cell r="G6680">
            <v>36417</v>
          </cell>
          <cell r="H6680" t="str">
            <v>TY</v>
          </cell>
          <cell r="I6680">
            <v>0</v>
          </cell>
        </row>
        <row r="6681">
          <cell r="A6681" t="str">
            <v>19-06594</v>
          </cell>
          <cell r="B6681" t="str">
            <v>BOING GLOBAL</v>
          </cell>
          <cell r="C6681" t="str">
            <v>A</v>
          </cell>
          <cell r="E6681" t="str">
            <v>36416 RODNEY - multi colored hamster med</v>
          </cell>
          <cell r="F6681" t="str">
            <v>JUGUETES</v>
          </cell>
          <cell r="G6681">
            <v>36416</v>
          </cell>
          <cell r="H6681" t="str">
            <v>TY</v>
          </cell>
          <cell r="I6681">
            <v>0</v>
          </cell>
        </row>
        <row r="6682">
          <cell r="A6682" t="str">
            <v>19-06595</v>
          </cell>
          <cell r="B6682" t="str">
            <v>BOING GLOBAL</v>
          </cell>
          <cell r="C6682" t="str">
            <v>A</v>
          </cell>
          <cell r="E6682" t="str">
            <v>36421 WASABI - baboom med</v>
          </cell>
          <cell r="F6682" t="str">
            <v>JUGUETES</v>
          </cell>
          <cell r="G6682">
            <v>36421</v>
          </cell>
          <cell r="H6682" t="str">
            <v>TY</v>
          </cell>
          <cell r="I6682">
            <v>0</v>
          </cell>
        </row>
        <row r="6683">
          <cell r="A6683" t="str">
            <v>19-06596</v>
          </cell>
          <cell r="B6683" t="str">
            <v>BOING GLOBAL</v>
          </cell>
          <cell r="C6683" t="str">
            <v>A</v>
          </cell>
          <cell r="E6683" t="str">
            <v>32128 LULLABY - blue bear</v>
          </cell>
          <cell r="F6683" t="str">
            <v>JUGUETES</v>
          </cell>
          <cell r="G6683">
            <v>32128</v>
          </cell>
          <cell r="H6683" t="str">
            <v>TY</v>
          </cell>
          <cell r="I6683">
            <v>0</v>
          </cell>
        </row>
        <row r="6684">
          <cell r="A6684" t="str">
            <v>19-06597</v>
          </cell>
          <cell r="B6684" t="str">
            <v>BOING GLOBAL</v>
          </cell>
          <cell r="C6684" t="str">
            <v>A</v>
          </cell>
          <cell r="E6684" t="str">
            <v>32127 PRINCESS - pink bear</v>
          </cell>
          <cell r="F6684" t="str">
            <v>JUGUETES</v>
          </cell>
          <cell r="G6684">
            <v>32127</v>
          </cell>
          <cell r="H6684" t="str">
            <v>TY</v>
          </cell>
          <cell r="I6684">
            <v>0</v>
          </cell>
        </row>
        <row r="6685">
          <cell r="A6685" t="str">
            <v>19-06598</v>
          </cell>
          <cell r="B6685" t="str">
            <v>BOING GLOBAL</v>
          </cell>
          <cell r="C6685" t="str">
            <v>A</v>
          </cell>
          <cell r="E6685" t="str">
            <v>32155 GRACIE - giraffe</v>
          </cell>
          <cell r="F6685" t="str">
            <v>JUGUETES</v>
          </cell>
          <cell r="G6685">
            <v>32155</v>
          </cell>
          <cell r="H6685" t="str">
            <v>TY</v>
          </cell>
          <cell r="I6685">
            <v>0</v>
          </cell>
        </row>
        <row r="6686">
          <cell r="A6686" t="str">
            <v>19-06599</v>
          </cell>
          <cell r="B6686" t="str">
            <v>BOING GLOBAL</v>
          </cell>
          <cell r="C6686" t="str">
            <v>A</v>
          </cell>
          <cell r="E6686" t="str">
            <v>82005 PENNY - pink penguin med</v>
          </cell>
          <cell r="F6686" t="str">
            <v>JUGUETES</v>
          </cell>
          <cell r="G6686">
            <v>82005</v>
          </cell>
          <cell r="H6686" t="str">
            <v>TY</v>
          </cell>
          <cell r="I6686">
            <v>0</v>
          </cell>
        </row>
        <row r="6687">
          <cell r="A6687" t="str">
            <v>19-06600</v>
          </cell>
          <cell r="B6687" t="str">
            <v>BOING GLOBAL</v>
          </cell>
          <cell r="C6687" t="str">
            <v>A</v>
          </cell>
          <cell r="E6687" t="str">
            <v>82008 TWINKLES - blue penguin med</v>
          </cell>
          <cell r="F6687" t="str">
            <v>JUGUETES</v>
          </cell>
          <cell r="G6687">
            <v>82008</v>
          </cell>
          <cell r="H6687" t="str">
            <v>TY</v>
          </cell>
          <cell r="I6687">
            <v>0</v>
          </cell>
        </row>
        <row r="6688">
          <cell r="A6688" t="str">
            <v>19-06601</v>
          </cell>
          <cell r="B6688" t="str">
            <v>BOING GLOBAL</v>
          </cell>
          <cell r="C6688" t="str">
            <v>A</v>
          </cell>
          <cell r="E6688" t="str">
            <v>95109 GILDA - purse</v>
          </cell>
          <cell r="F6688" t="str">
            <v>JUGUETES</v>
          </cell>
          <cell r="G6688">
            <v>95109</v>
          </cell>
          <cell r="H6688" t="str">
            <v>TY</v>
          </cell>
          <cell r="I6688">
            <v>0</v>
          </cell>
        </row>
        <row r="6689">
          <cell r="A6689" t="str">
            <v>19-06602</v>
          </cell>
          <cell r="B6689" t="str">
            <v>BOING GLOBAL</v>
          </cell>
          <cell r="C6689" t="str">
            <v>A</v>
          </cell>
          <cell r="E6689" t="str">
            <v>95112 GILBERT - purse</v>
          </cell>
          <cell r="F6689" t="str">
            <v>JUGUETES</v>
          </cell>
          <cell r="G6689">
            <v>95112</v>
          </cell>
          <cell r="H6689" t="str">
            <v>TY</v>
          </cell>
          <cell r="I6689">
            <v>0</v>
          </cell>
        </row>
        <row r="6690">
          <cell r="A6690" t="str">
            <v>19-06603</v>
          </cell>
          <cell r="B6690" t="str">
            <v>BOING GLOBAL</v>
          </cell>
          <cell r="C6690" t="str">
            <v>A</v>
          </cell>
          <cell r="E6690" t="str">
            <v>95113 WADDLES - purse</v>
          </cell>
          <cell r="F6690" t="str">
            <v>JUGUETES</v>
          </cell>
          <cell r="G6690">
            <v>95113</v>
          </cell>
          <cell r="H6690" t="str">
            <v>TY</v>
          </cell>
          <cell r="I6690">
            <v>0</v>
          </cell>
        </row>
        <row r="6691">
          <cell r="A6691" t="str">
            <v>19-06604</v>
          </cell>
          <cell r="B6691" t="str">
            <v>BOING GLOBAL</v>
          </cell>
          <cell r="C6691" t="str">
            <v>A</v>
          </cell>
          <cell r="E6691" t="str">
            <v>95103 OWEN - purse</v>
          </cell>
          <cell r="F6691" t="str">
            <v>JUGUETES</v>
          </cell>
          <cell r="G6691">
            <v>95103</v>
          </cell>
          <cell r="H6691" t="str">
            <v>TY</v>
          </cell>
          <cell r="I6691">
            <v>0</v>
          </cell>
        </row>
        <row r="6692">
          <cell r="A6692" t="str">
            <v>19-06605</v>
          </cell>
          <cell r="B6692" t="str">
            <v>BOING GLOBAL</v>
          </cell>
          <cell r="C6692" t="str">
            <v>A</v>
          </cell>
          <cell r="E6692" t="str">
            <v>95105 RAINBOW - purse</v>
          </cell>
          <cell r="F6692" t="str">
            <v>JUGUETES</v>
          </cell>
          <cell r="G6692">
            <v>95105</v>
          </cell>
          <cell r="H6692" t="str">
            <v>TY</v>
          </cell>
          <cell r="I6692">
            <v>0</v>
          </cell>
        </row>
        <row r="6693">
          <cell r="A6693" t="str">
            <v>19-06606</v>
          </cell>
          <cell r="B6693" t="str">
            <v>BOING GLOBAL</v>
          </cell>
          <cell r="C6693" t="str">
            <v>A</v>
          </cell>
          <cell r="E6693" t="str">
            <v>95211 GILBERT - wristlet</v>
          </cell>
          <cell r="F6693" t="str">
            <v>JUGUETES</v>
          </cell>
          <cell r="G6693">
            <v>95211</v>
          </cell>
          <cell r="H6693" t="str">
            <v>TY</v>
          </cell>
          <cell r="I6693">
            <v>0</v>
          </cell>
        </row>
        <row r="6694">
          <cell r="A6694" t="str">
            <v>19-06607</v>
          </cell>
          <cell r="B6694" t="str">
            <v>BOING GLOBAL</v>
          </cell>
          <cell r="C6694" t="str">
            <v>A</v>
          </cell>
          <cell r="E6694" t="str">
            <v>95208 GILDA - flamingo wristlet</v>
          </cell>
          <cell r="F6694" t="str">
            <v>JUGUETES</v>
          </cell>
          <cell r="G6694">
            <v>95208</v>
          </cell>
          <cell r="H6694" t="str">
            <v>TY</v>
          </cell>
          <cell r="I6694">
            <v>0</v>
          </cell>
        </row>
        <row r="6695">
          <cell r="A6695" t="str">
            <v>19-06608</v>
          </cell>
          <cell r="B6695" t="str">
            <v>BOING GLOBAL</v>
          </cell>
          <cell r="C6695" t="str">
            <v>A</v>
          </cell>
          <cell r="E6695" t="str">
            <v>95204 COCONUT - wristlet</v>
          </cell>
          <cell r="F6695" t="str">
            <v>JUGUETES</v>
          </cell>
          <cell r="G6695">
            <v>95204</v>
          </cell>
          <cell r="H6695" t="str">
            <v>TY</v>
          </cell>
          <cell r="I6695">
            <v>0</v>
          </cell>
        </row>
        <row r="6696">
          <cell r="A6696" t="str">
            <v>19-06609</v>
          </cell>
          <cell r="B6696" t="str">
            <v>BOING GLOBAL</v>
          </cell>
          <cell r="C6696" t="str">
            <v>A</v>
          </cell>
          <cell r="E6696" t="str">
            <v>95201 OWEN - wristlet</v>
          </cell>
          <cell r="F6696" t="str">
            <v>JUGUETES</v>
          </cell>
          <cell r="G6696">
            <v>95201</v>
          </cell>
          <cell r="H6696" t="str">
            <v>TY</v>
          </cell>
          <cell r="I6696">
            <v>0</v>
          </cell>
        </row>
        <row r="6697">
          <cell r="A6697" t="str">
            <v>19-06610</v>
          </cell>
          <cell r="B6697" t="str">
            <v>BOING GLOBAL</v>
          </cell>
          <cell r="C6697" t="str">
            <v>A</v>
          </cell>
          <cell r="E6697" t="str">
            <v>96260 PEPPA PIG BALLERINA medium plush</v>
          </cell>
          <cell r="F6697" t="str">
            <v>JUGUETES</v>
          </cell>
          <cell r="G6697">
            <v>96260</v>
          </cell>
          <cell r="H6697" t="str">
            <v>TY</v>
          </cell>
          <cell r="I6697">
            <v>0</v>
          </cell>
        </row>
        <row r="6698">
          <cell r="A6698" t="str">
            <v>19-06611</v>
          </cell>
          <cell r="B6698" t="str">
            <v>BOING GLOBAL</v>
          </cell>
          <cell r="C6698" t="str">
            <v>A</v>
          </cell>
          <cell r="E6698" t="str">
            <v>41191 MARVEL HULK - reg</v>
          </cell>
          <cell r="F6698" t="str">
            <v>JUGUETES</v>
          </cell>
          <cell r="G6698">
            <v>41191</v>
          </cell>
          <cell r="H6698" t="str">
            <v>TY</v>
          </cell>
          <cell r="I6698">
            <v>0</v>
          </cell>
        </row>
        <row r="6699">
          <cell r="A6699" t="str">
            <v>19-06612</v>
          </cell>
          <cell r="B6699" t="str">
            <v>BOING GLOBAL</v>
          </cell>
          <cell r="C6699" t="str">
            <v>A</v>
          </cell>
          <cell r="E6699" t="str">
            <v>41188 MARVEL SPIDERMAN - reg</v>
          </cell>
          <cell r="F6699" t="str">
            <v>JUGUETES</v>
          </cell>
          <cell r="G6699">
            <v>41188</v>
          </cell>
          <cell r="H6699" t="str">
            <v>TY</v>
          </cell>
          <cell r="I6699">
            <v>0</v>
          </cell>
        </row>
        <row r="6700">
          <cell r="A6700" t="str">
            <v>19-06613</v>
          </cell>
          <cell r="B6700" t="str">
            <v>BOING GLOBAL</v>
          </cell>
          <cell r="C6700" t="str">
            <v>A</v>
          </cell>
          <cell r="E6700" t="str">
            <v>41189 CAPTAIN AMERICA - reg</v>
          </cell>
          <cell r="F6700" t="str">
            <v>JUGUETES</v>
          </cell>
          <cell r="G6700">
            <v>41189</v>
          </cell>
          <cell r="H6700" t="str">
            <v>TY</v>
          </cell>
          <cell r="I6700">
            <v>0</v>
          </cell>
        </row>
        <row r="6701">
          <cell r="A6701" t="str">
            <v>19-06614</v>
          </cell>
          <cell r="B6701" t="str">
            <v>BOING GLOBAL</v>
          </cell>
          <cell r="C6701" t="str">
            <v>A</v>
          </cell>
          <cell r="E6701" t="str">
            <v>41276 CHASE - shepard dog clip</v>
          </cell>
          <cell r="F6701" t="str">
            <v>JUGUETES</v>
          </cell>
          <cell r="G6701">
            <v>41276</v>
          </cell>
          <cell r="H6701" t="str">
            <v>TY</v>
          </cell>
          <cell r="I6701">
            <v>0</v>
          </cell>
        </row>
        <row r="6702">
          <cell r="A6702" t="str">
            <v>19-06615</v>
          </cell>
          <cell r="B6702" t="str">
            <v>BOING GLOBAL</v>
          </cell>
          <cell r="C6702" t="str">
            <v>A</v>
          </cell>
          <cell r="E6702" t="str">
            <v>41277 MARSHALL - dalmatian dog clip</v>
          </cell>
          <cell r="F6702" t="str">
            <v>JUGUETES</v>
          </cell>
          <cell r="G6702">
            <v>41277</v>
          </cell>
          <cell r="H6702" t="str">
            <v>TY</v>
          </cell>
          <cell r="I6702">
            <v>0</v>
          </cell>
        </row>
        <row r="6703">
          <cell r="A6703" t="str">
            <v>19-06616</v>
          </cell>
          <cell r="B6703" t="str">
            <v>BOING GLOBAL</v>
          </cell>
          <cell r="C6703" t="str">
            <v>A</v>
          </cell>
          <cell r="E6703" t="str">
            <v>41208 CHASE - shepard dog reg</v>
          </cell>
          <cell r="F6703" t="str">
            <v>JUGUETES</v>
          </cell>
          <cell r="G6703">
            <v>41208</v>
          </cell>
          <cell r="H6703" t="str">
            <v>TY</v>
          </cell>
          <cell r="I6703">
            <v>0</v>
          </cell>
        </row>
        <row r="6704">
          <cell r="A6704" t="str">
            <v>19-06617</v>
          </cell>
          <cell r="B6704" t="str">
            <v>BOING GLOBAL</v>
          </cell>
          <cell r="C6704" t="str">
            <v>A</v>
          </cell>
          <cell r="E6704" t="str">
            <v>41209 RUBBLE - bulldog reg</v>
          </cell>
          <cell r="F6704" t="str">
            <v>JUGUETES</v>
          </cell>
          <cell r="G6704">
            <v>41209</v>
          </cell>
          <cell r="H6704" t="str">
            <v>TY</v>
          </cell>
          <cell r="I6704">
            <v>0</v>
          </cell>
        </row>
        <row r="6705">
          <cell r="A6705" t="str">
            <v>19-06618</v>
          </cell>
          <cell r="B6705" t="str">
            <v>BOING GLOBAL</v>
          </cell>
          <cell r="C6705" t="str">
            <v>A</v>
          </cell>
          <cell r="E6705" t="str">
            <v>41211 MARSHALL - dalmatian dog reg</v>
          </cell>
          <cell r="F6705" t="str">
            <v>JUGUETES</v>
          </cell>
          <cell r="G6705">
            <v>41211</v>
          </cell>
          <cell r="H6705" t="str">
            <v>TY</v>
          </cell>
          <cell r="I6705">
            <v>0</v>
          </cell>
        </row>
        <row r="6706">
          <cell r="A6706" t="str">
            <v>19-06619</v>
          </cell>
          <cell r="B6706" t="str">
            <v>BOING GLOBAL</v>
          </cell>
          <cell r="C6706" t="str">
            <v>A</v>
          </cell>
          <cell r="E6706" t="str">
            <v>41212 ROCKY - dog reg</v>
          </cell>
          <cell r="F6706" t="str">
            <v>JUGUETES</v>
          </cell>
          <cell r="G6706">
            <v>41212</v>
          </cell>
          <cell r="H6706" t="str">
            <v>TY</v>
          </cell>
          <cell r="I6706">
            <v>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noshka Sanchez" refreshedDate="43579.381259837966" createdVersion="6" refreshedVersion="6" minRefreshableVersion="3" recordCount="524" xr:uid="{00000000-000A-0000-FFFF-FFFF05000000}">
  <cacheSource type="worksheet">
    <worksheetSource ref="A1:H1048576" sheet="ExistenciaenSAP_TIENDA1 (3)"/>
  </cacheSource>
  <cacheFields count="8">
    <cacheField name="Ubicacion" numFmtId="0">
      <sharedItems containsBlank="1" count="4">
        <s v="TIENDA1"/>
        <s v="TIENDA2"/>
        <s v=" DELGADO 3CT"/>
        <m/>
      </sharedItems>
    </cacheField>
    <cacheField name="Codigo Articulo" numFmtId="0">
      <sharedItems containsBlank="1" containsMixedTypes="1" containsNumber="1" containsInteger="1" minValue="102" maxValue="102" count="344">
        <s v="19-00127"/>
        <s v="19-00157"/>
        <s v="19-00183"/>
        <s v="19-00190"/>
        <s v="19-00321"/>
        <s v="19-00763"/>
        <s v="19-00767"/>
        <s v="19-00777"/>
        <s v="19-00779"/>
        <s v="19-00995"/>
        <s v="19-01218"/>
        <s v="19-01394"/>
        <s v="19-01395"/>
        <s v="19-01396"/>
        <s v="19-01397"/>
        <s v="19-01409"/>
        <s v="19-01410"/>
        <s v="19-01411"/>
        <s v="19-01412"/>
        <s v="19-01419"/>
        <s v="19-01424"/>
        <s v="19-01429"/>
        <s v="19-01432"/>
        <s v="19-01572"/>
        <s v="19-01593"/>
        <s v="19-01705"/>
        <s v="19-01710"/>
        <s v="19-01716"/>
        <s v="19-01806"/>
        <s v="19-02051"/>
        <s v="19-02054"/>
        <s v="19-02057"/>
        <s v="19-02228"/>
        <s v="19-02234"/>
        <s v="19-02252"/>
        <s v="19-02254"/>
        <s v="19-02255"/>
        <s v="19-02258"/>
        <s v="19-02261"/>
        <s v="19-02262"/>
        <s v="19-02271"/>
        <s v="19-02290"/>
        <s v="19-02292"/>
        <s v="19-02294"/>
        <s v="19-02296"/>
        <s v="19-02297"/>
        <s v="19-02298"/>
        <s v="19-02412"/>
        <s v="19-02433"/>
        <s v="19-02442"/>
        <s v="19-02473"/>
        <s v="19-02481"/>
        <s v="19-02488"/>
        <s v="19-02516"/>
        <s v="19-02531"/>
        <s v="19-02536"/>
        <s v="19-02589"/>
        <s v="19-02597"/>
        <s v="19-02603"/>
        <s v="19-02606"/>
        <s v="19-02615"/>
        <s v="19-02617"/>
        <s v="19-02646"/>
        <s v="19-02649"/>
        <s v="19-02650"/>
        <s v="19-02651"/>
        <s v="19-02652"/>
        <s v="19-02653"/>
        <s v="19-02654"/>
        <s v="19-02655"/>
        <s v="19-02656"/>
        <s v="19-02658"/>
        <s v="19-02659"/>
        <n v="102"/>
        <s v="19-02663"/>
        <s v="19-02683"/>
        <s v="19-02742"/>
        <s v="19-03144"/>
        <s v="19-03159"/>
        <s v="19-03160"/>
        <s v="19-03162"/>
        <s v="19-03163"/>
        <s v="19-03170"/>
        <s v="19-03171"/>
        <s v="19-03180"/>
        <s v="19-03181"/>
        <s v="19-03182"/>
        <s v="19-03183"/>
        <s v="19-03186"/>
        <s v="19-03187"/>
        <s v="19-03188"/>
        <s v="19-03195"/>
        <s v="19-03363"/>
        <s v="19-03390"/>
        <s v="19-03460"/>
        <s v="19-03461"/>
        <s v="19-03474"/>
        <s v="19-03482"/>
        <s v="19-03546"/>
        <s v="19-03582"/>
        <s v="19-03586"/>
        <s v="19-03587"/>
        <s v="19-03596"/>
        <s v="19-03610"/>
        <s v="19-03624"/>
        <s v="19-03631"/>
        <s v="19-03673"/>
        <s v="19-03674"/>
        <s v="19-03707"/>
        <s v="19-03713"/>
        <s v="19-03724"/>
        <s v="19-03725"/>
        <s v="19-03735"/>
        <s v="19-03758"/>
        <s v="19-03761"/>
        <s v="19-03880"/>
        <s v="19-03890"/>
        <s v="19-03891"/>
        <s v="19-03929"/>
        <s v="19-03931"/>
        <s v="19-03932"/>
        <s v="19-03933"/>
        <s v="19-03934"/>
        <s v="19-03938"/>
        <s v="19-03941"/>
        <s v="19-04035"/>
        <s v="19-04037"/>
        <s v="19-04093"/>
        <s v="19-04108"/>
        <s v="19-04120"/>
        <s v="19-04126"/>
        <s v="19-04134"/>
        <s v="19-04135"/>
        <s v="19-04143"/>
        <s v="19-04145"/>
        <s v="19-04169"/>
        <s v="19-04170"/>
        <s v="19-04176"/>
        <s v="19-04178"/>
        <s v="19-04179"/>
        <s v="19-04180"/>
        <s v="19-04182"/>
        <s v="19-04183"/>
        <s v="19-04265"/>
        <s v="19-04420"/>
        <s v="19-04460"/>
        <s v="19-04473"/>
        <s v="19-04476"/>
        <s v="19-04477"/>
        <s v="19-04634"/>
        <s v="19-04635"/>
        <s v="19-04639"/>
        <s v="19-04645"/>
        <s v="19-04647"/>
        <s v="19-04648"/>
        <s v="19-04649"/>
        <s v="19-04653"/>
        <s v="19-04654"/>
        <s v="19-04655"/>
        <s v="19-04658"/>
        <s v="19-04660"/>
        <s v="19-04661"/>
        <s v="19-04665"/>
        <s v="19-04666"/>
        <s v="19-04667"/>
        <s v="19-04669"/>
        <s v="19-04672"/>
        <s v="19-04673"/>
        <s v="19-04794"/>
        <s v="19-04796"/>
        <s v="19-04797"/>
        <s v="19-04798"/>
        <s v="19-04801"/>
        <s v="19-04809"/>
        <s v="19-04810"/>
        <s v="19-04821"/>
        <s v="19-04824"/>
        <s v="19-04825"/>
        <s v="19-04835"/>
        <s v="19-04848"/>
        <s v="19-04853"/>
        <s v="19-04857"/>
        <s v="19-04858"/>
        <s v="19-04859"/>
        <s v="19-04861"/>
        <s v="19-04864"/>
        <s v="19-04866"/>
        <s v="19-04868"/>
        <s v="19-04869"/>
        <s v="19-04871"/>
        <s v="19-04872"/>
        <s v="19-04889"/>
        <s v="19-04938"/>
        <s v="19-04939"/>
        <s v="19-04940"/>
        <s v="19-04944"/>
        <s v="19-05002"/>
        <s v="19-05226"/>
        <s v="19-05228"/>
        <s v="19-05229"/>
        <s v="19-05232"/>
        <s v="19-05234"/>
        <s v="19-05235"/>
        <s v="19-05236"/>
        <s v="19-05237"/>
        <s v="19-05238"/>
        <s v="19-05239"/>
        <s v="19-05240"/>
        <s v="19-05242"/>
        <s v="19-05244"/>
        <s v="19-05245"/>
        <s v="19-05246"/>
        <s v="19-05247"/>
        <s v="19-05248"/>
        <s v="19-05249"/>
        <s v="19-05271"/>
        <s v="19-05278"/>
        <s v="19-05279"/>
        <s v="19-05280"/>
        <s v="19-05281"/>
        <s v="19-05284"/>
        <s v="19-05285"/>
        <s v="19-05286"/>
        <s v="19-05287"/>
        <s v="19-05288"/>
        <s v="19-05289"/>
        <s v="19-05290"/>
        <s v="19-05291"/>
        <s v="19-05292"/>
        <s v="19-05293"/>
        <s v="19-05294"/>
        <s v="19-05295"/>
        <s v="19-05296"/>
        <s v="19-05297"/>
        <s v="19-05298"/>
        <s v="19-05299"/>
        <s v="19-05300"/>
        <s v="19-05301"/>
        <s v="19-05302"/>
        <s v="19-05303"/>
        <s v="19-05344"/>
        <s v="19-05453"/>
        <s v="19-05457"/>
        <s v="19-05504"/>
        <s v="19-05518"/>
        <s v="19-05564"/>
        <s v="19-05581"/>
        <s v="19-05613"/>
        <s v="19-05630"/>
        <s v="19-05657"/>
        <s v="19-05882"/>
        <s v="19-05887"/>
        <s v="19-05906"/>
        <s v="19-06083"/>
        <s v="19-06084"/>
        <s v="19-06085"/>
        <s v="19-06168"/>
        <s v="19-06169"/>
        <s v="19-06172"/>
        <s v="19-06179"/>
        <s v="19-06182"/>
        <s v="19-06184"/>
        <s v="19-06188"/>
        <s v="19-06200"/>
        <s v="19-06201"/>
        <s v="19-06267"/>
        <s v="19-06268"/>
        <s v="19-06271"/>
        <s v="19-06285"/>
        <s v="19-06301"/>
        <s v="19-06318"/>
        <s v="19-06319"/>
        <s v="19-06320"/>
        <s v="19-06323"/>
        <s v="19-06324"/>
        <s v="19-06325"/>
        <s v="19-06326"/>
        <s v="19-06327"/>
        <s v="19-06328"/>
        <s v="19-06329"/>
        <s v="19-06333"/>
        <s v="19-06334"/>
        <s v="19-06337"/>
        <s v="19-06339"/>
        <s v="19-06340"/>
        <s v="19-06342"/>
        <s v="19-06344"/>
        <s v="19-06345"/>
        <s v="19-06346"/>
        <s v="19-06349"/>
        <s v="19-06350"/>
        <s v="19-06351"/>
        <s v="19-06375"/>
        <s v="19-06392"/>
        <s v="19-06411"/>
        <s v="19-06414"/>
        <s v="19-06421"/>
        <s v="19-06426"/>
        <s v="19-06428"/>
        <s v="19-06429"/>
        <s v="19-06431"/>
        <s v="19-06436"/>
        <s v="19-06441"/>
        <s v="19-06442"/>
        <s v="19-06447"/>
        <s v="19-06449"/>
        <s v="19-06451"/>
        <s v="19-06452"/>
        <s v="19-06453"/>
        <s v="19-06454"/>
        <s v="19-06455"/>
        <s v="19-06456"/>
        <s v="19-06467"/>
        <s v="19-06474"/>
        <s v="19-06477"/>
        <s v="19-06478"/>
        <s v="19-06488"/>
        <s v="19-06489"/>
        <s v="19-06490"/>
        <s v="19-06494"/>
        <s v="19-06519"/>
        <s v="19-06521"/>
        <s v="19-06543"/>
        <s v="19-06547"/>
        <s v="19-06576"/>
        <s v="19-06579"/>
        <s v="19-06583"/>
        <s v="19-06585"/>
        <s v="19-06586"/>
        <s v="19-06587"/>
        <s v="19-06588"/>
        <s v="19-06596"/>
        <s v="19-06600"/>
        <s v="19-06606"/>
        <s v="19-06608"/>
        <s v="19-06609"/>
        <s v="19-06614"/>
        <s v="19-06615"/>
        <s v="60-01-00332"/>
        <s v="60-01-00462"/>
        <s v="60-03-24436"/>
        <s v="60-19-50034"/>
        <s v="60-19-50035"/>
        <m/>
      </sharedItems>
    </cacheField>
    <cacheField name="Nombre Articulo" numFmtId="0">
      <sharedItems containsBlank="1" count="344">
        <s v="FLYING"/>
        <s v="POPULAR SCIENCE"/>
        <s v="VOGUE"/>
        <s v="VOGUE EN ESPANOL"/>
        <s v="314 GO TRAVEL WALLET"/>
        <s v="PEOPLE EN ESPANOL"/>
        <s v="SPORT FISHING"/>
        <s v="THE ARTIST&amp;#39;S MAGAZINE"/>
        <s v="YOGA JOURNAL"/>
        <s v="766 GO TRAVEL DRY IPAD"/>
        <s v="04-5350 CRAYOLA ART BUDDY BACKPACK"/>
        <s v="PLAYTEX TAMPONES REGULAR SIN DESODORANTE 8CT"/>
        <s v="PLAYTEX TAMPONES SUPER SIN DESODORANTE  8CT"/>
        <s v="PLAYTEX TAMPONES REGULAR CON DESODORANTE 8CT"/>
        <s v="PLAYTEX TAMPONES SUPER CON DESODORANTE 8CT"/>
        <s v="WET ONES WIPES CITRUS SCENT TRAVEL 15CT"/>
        <s v="WET ONES WIPES ANTIBACTERIAL TRAVEL 15CT"/>
        <s v="TROJAN PRESERVATIVO CLASICO-ENZ 3CT"/>
        <s v="TROJAN PRESERVATIVO TEXTURIZADO ANILLADO 3CT"/>
        <s v="03356 DUREX MAXIMO PLACER 144X1"/>
        <s v="DUREX SENSITIVO ULTRA DELGADO 3CT"/>
        <s v="DUREX LUBRICANTE COSQUILLAS Y PLACER"/>
        <s v="DUREX PLAY VIBRATION"/>
        <s v="19-01572 SOFT COMFORT NECK PILLOW ASSORTED COLORS"/>
        <s v="04-5225 CRAYOLA TWISTABLES COLORED PENCILS KIT"/>
        <s v="19-01705 SOFT COMFORT TIMELESS FLEECE BLANKET"/>
        <s v="19-01710 SOFT COMFORT INFLATABLE NECK PILLOW"/>
        <s v="19-01716 SOFT COMFORT MEMORY FOAM NECK PILLOW"/>
        <s v="52-0096 CRAYOLA 96 CANTON CRAYONS"/>
        <s v="19-02051 SOFT COMFORT KIDS NECK PILLOW ASSORTED COLORS"/>
        <s v="19-02054 SOFT COMFORT KIDS BACK PACK WITH NECK PILLOW"/>
        <s v="19-02057 SOFT COMFORT BACK PACK"/>
        <s v="04-5227 CRAYOLA 25 CT. WASHABLE PIP-SQUEAKS&amp;#174; KIT"/>
        <s v="04-5229 CRAYOLA WINDOW MARKER &amp;amp; STENCIL SET"/>
        <s v="DISPLAY SOFT COMFORT"/>
        <s v="153 GO TRAVEL TAG ME (TWIN PACK)"/>
        <s v="159 GO TRAVEL LABELS FOR LUGGAGE  (TWIN PACK)"/>
        <s v="224 GO TRAVEL KEY STRAP"/>
        <s v="342 GO TRAVEL SENTRY&amp;#174; STRAP"/>
        <s v="343 GO TRAVEL LOCK STRAP"/>
        <s v="566 GO TRAVEL FAB TAG   (TWIN PACK)"/>
        <s v="2605 GO TRAVEL DOOR STOPPER"/>
        <s v="2615 GO TRAVEL WALKING HARNESS AND REINS"/>
        <s v="2640 GO TRAVEL NEOPRENE BIBS"/>
        <s v="2651 GO TRAVEL NAPPY/DIAPER BAG REFILL"/>
        <s v="2660 GO TRAVEL CHANGING MATS"/>
        <s v="2665 GO TRAVEL HOODED BABY TOWEL"/>
        <s v="OLIVER TWIST DICKENS CHARLES"/>
        <s v="BIBLIA DE LOS CRISTALES  HALL JUDY"/>
        <s v="CINCUENTA SOMBRAS DE GREY JAMES, E. L."/>
        <s v="UN CAMINO ENTRE DOS MARES MCCULLOUGH, DAVID"/>
        <s v="MUJERES QUE AMAN DEMASIADO NORWOOD ROBIN"/>
        <s v="PUERTAS Y REJAS PLUTON EDICIONES"/>
        <s v="ONE DIRECTION V. V. A. A."/>
        <s v="AVIATION HISTORY"/>
        <s v="BRIDAL GUIDE"/>
        <s v="4 WHEEL &amp;amp; OFF-ROAD BY PETERSEN"/>
        <s v="ENTREPRENEURS STAR UP - ANNUAL"/>
        <s v="MOTOR TREND"/>
        <s v="56545 LISTERINE COOLMINT 95 ML"/>
        <s v="PLAYTEX PERSONAL CLEAN CLOTHS REFILL 48 CT"/>
        <s v="WET ONES ANTIBACTERIAL SINGLE 24"/>
        <s v="TROJAN PRESERVATIVO EXTASIS TEXTURIZADO 2CT"/>
        <s v="ARM AND HAMMER ADVANCE WHITE B.SODA + PEROXIDE PASTA DENTAL 121G"/>
        <s v="ARM AND HAMMER ADVANCE WHITE TARTAR CONTROL PASTA DENTAL 121G"/>
        <s v="ARM AND HAMMER ADVANCE WHITE SENSITIVE PASTA DENTAL 121G"/>
        <s v="ARRID XX DEODORANT GEL MORNING CLEAN 79G"/>
        <s v="ARRID XX DEODORANT GEL COOL SHOWER 79G"/>
        <s v="ARRID DEODORANT ROLL-ON REGULAR SCENT 74G"/>
        <s v="ARRID XX DEODORANT ANTI-PERSPIRANT SOLID UNSCENTED 76G"/>
        <s v="ARRID XX DEODORANT ANTI-PERSPIRANT SOLID ULTRA FRESH 76G"/>
        <s v="DUREX XL 3CT"/>
        <s v="DUREX SENSITIVO"/>
        <s v="NEWS AND GIFTS"/>
        <s v="KY GEL LUBRICANTE 100G"/>
        <s v="OSTEO BI-FLEX TRIPLE STRENGTH  CON VITAMINA D. (80 CAPSULAS)"/>
        <s v="SUNDOWN NATURALS L- CARNITINE 500MG"/>
        <s v="B3914AS00 HASBRO STAR WARS E7 HERO SERIES FIGURAS DELUXE"/>
        <s v="125 GUM CEPILLO DE ORTODONCIA PARA VIAJE"/>
        <s v="125LK GUM KIT DE HIGIENE VIAJERO  PARA ORTODONCIA (PASTA.CEPILLO + SOFT PICKS)"/>
        <s v="153 GUM CEPILLO VIAJERO ESCOLAR Y DE OFICINA"/>
        <s v="202 GUM CRAYOLA FLASH TOOTHBRUSH 42MM"/>
        <s v="1916S GUM MINT FLOSS 140YD"/>
        <s v="SAL ANDREWS CLASICA POLV EFERVESCENTE CAJA DE 12"/>
        <s v="TYLENOL EXT.FORTE CAPLETS DISPENSADOR DE 50 SOBRES"/>
        <s v="TYLENOL EXTRA FUERTE 24 CAPSULES BIL"/>
        <s v="TYLENOL EXTRA FUERTE 50 CAPSULES BIL"/>
        <s v="TYLENOL EXTRA FUERTE 100 CAPSULES BIL"/>
        <s v="TYLENOL SUSPENSION GOTAS DE 15 ML SABOR CEREZA"/>
        <s v="TYLENOL EXTRA FUERTE DE 10 SOBRES"/>
        <s v="VISINA ORIGINAL SOLUCION OFTALMICA GOTAS DE 15 ML"/>
        <s v="LOMOTIL 2 MG/855 DE 40 TABLETAS"/>
        <s v="WDKX94 MATTEL MONSTER HIGH VACACIONES MONSTRUOSAS"/>
        <s v="CHICA DEL TREN,LA - HAWKINS,PAULA"/>
        <s v="ESPACIOS"/>
        <s v="HOUSE BEAUTIFUL"/>
        <s v="MOTORCYCLIST"/>
        <s v="MAD MAGAZINE"/>
        <s v="UN ZOO DE GANCHILLO - KREINER,MEGAN"/>
        <s v="ASSASSINS CREED - FORSAKEN - BOWDEN,OLIVER"/>
        <s v="ECLIPSE - MEYER,STEPHENIE"/>
        <s v="IKER CASILLAS, LA HUMILDAD DEL CAMP - ORTEGO, ENRIQUE"/>
        <s v="LUNA NUEVA - MEYER,STEPHENIE"/>
        <s v="MAZE RUNNER 3 - LA CURA MORTAL - DASHNER JAMES"/>
        <s v="AMANECER - MEYER,STEPHENIE"/>
        <s v="CINCUENTA SOMBRAS LIBERADAS - JAMES,E.L."/>
        <s v="CINCUENTA SOMBRAS MAS OSCURAS - JAMES,E.L."/>
        <s v="GABO SIEMPRE - GAMBOA,SANTIAGO"/>
        <s v="AIR CLASSICS"/>
        <s v="SALTWATER SPORTSMAN"/>
        <s v="B6661 HASBRO AVENGERS TITAN HERO 12&amp;quot; FIGURE-SURTIDO"/>
        <s v="B5278 HASBRO DISNEY PRINCESS BASIC FASHION DOLL - SURTIDO"/>
        <s v="B3223 HASBRO STAR WARS E7 MASKS - SURTIDOS"/>
        <s v="MUSCULAR DEVELOPMENT LATINO MAGAZINE"/>
        <s v="52-0031 CRAYOLA 72 CRAYON CASE"/>
        <s v="LUXE"/>
        <s v="39800-01400 ENERGIZER MAX AAA-2 PACK 48X1"/>
        <s v="39800-09909 ENERGIZER MAX AAA-4 PACK 48X1"/>
        <s v="PDP1400462 FOSTER PELUCHE 10&amp;#39;&amp;#39; C/ CAJA IZZY"/>
        <s v="TW01-A WELL PLUS NATURAL MOSQUITO REPELLENT WRISTBAND"/>
        <s v="TW06-A WELL PLUS SILICONE CARTOON FACE MOSQUITO REPELLENT BRACELET"/>
        <s v="AMB105 WELL PLUS GLOWING SILICONE MOSQUITO REPELLENT BRACELET"/>
        <s v="AMB-104 WELL PLUS LEATHER MOSQUITO REPELLENT BRACELET 2PC/PK"/>
        <s v="MRP005 WELL PLUS MOSQUITO REPELLENT SMILY PATCH COLORS"/>
        <s v="AMB-115 WELL PLUS EVA MOSQUITO REPELLENT BRACELET"/>
        <s v="SENOR DE LOS ANILLOS I - JRR TOLKIEN"/>
        <s v="SENOR DE LOS ANILLOS III - JRR TOLKIEN"/>
        <s v="YO ANTES DE TI"/>
        <s v="PRIMER BLOG PULSERAS Y C"/>
        <s v="STAR WARS REBELS LA BATA"/>
        <s v="APRENDE Y JUEGA ACT DIDA"/>
        <s v="LEARN &amp;amp; PLAY ALPHABET SOND"/>
        <s v="LEARN &amp;amp; PLAY COLOURS SERIE"/>
        <s v="BAG TAG AIRPLANE"/>
        <s v="STROLLER CARDS SUSHI"/>
        <s v="SALSEO GAMER"/>
        <s v="SECRETOS DE YUYA"/>
        <s v="DIARIO GREG 10 VIEJA ESC"/>
        <s v="DIVERGENTE 1"/>
        <s v="DIVERGENTE 2 INSURGENTE"/>
        <s v="DIVERGENTE 3 LEAL"/>
        <s v="JUEGOS DEL HAMBRE 2 EN LLAMAS"/>
        <s v="JUEGOS DEL HAMBRE 3 SINSAJO"/>
        <s v="WHO WAS JRR TOLKIEN"/>
        <s v="TY PEPPA PIG PELUCHE - CLIP"/>
        <s v="BOING TOYS LION GUARD FIG 8&amp;quot; INCHES  ASSORTED"/>
        <s v="BOING TOYS BOING GAMES MAGIC JINN"/>
        <s v="OCTANOS"/>
        <s v="RUTA DE MANJARES"/>
        <s v="20-40070 SUN BUM SPF 70 SUNSCREEN LOTION 8OZ"/>
        <s v="20-40315 SUN BUM SPF 15 SUNSCREEN LOTION 3OZ SHORTIE"/>
        <s v="20-42015 SUN BUM SPF 15 SUNSCREEN SPRAY 6OZ"/>
        <s v="20-45095 SUN BUM BANANA LIP BALM"/>
        <s v="20-46025 SUN BUM KEY LIME LIP BALM"/>
        <s v="20-46026 SUN BUM MANGO LIP BALM"/>
        <s v="20-46028 SUN BUM POMEGRANATE LIP BALM"/>
        <s v="20-45080 SUN BUM COOL DOWN ALOE GEL 8OZ"/>
        <s v="20-45088 SUN BUM COOL DOWN SPRAY 6OZ"/>
        <s v="30-50330 SUN BUM SPF 30 BABY BUM LOTION 3OZ"/>
        <s v="20-50005 SUN BUM SUNLESS TANNING TOWELETTE 5-PACK"/>
        <s v="20-60330 SUN BUM SPF 30 LOTION 3OZ"/>
        <s v="20-60350 SUN BUM SPF 50 LOTION 3OZ"/>
        <s v="80-41025 SUN BUM SEA SPRAY 6OZ"/>
        <s v="80-41040 SUN BUM SHINE ON 3OZ"/>
        <s v="20-75075 SUN BUM SUN BUM DAYTRIPPER KIT"/>
        <s v="40-30015 SUN BUM 9&amp;quot; SONNY VINYL FIGURE"/>
        <s v="40-30060 SUN BUM BEACH TOWEL - SONNY / YELLOW"/>
        <s v="40-30030 SUN BUM BEACH FLYER"/>
        <s v="04-2532 CRAYOLA PREMIER ART SET"/>
        <s v="PANADOL MULTISYMPTON 16X1"/>
        <s v="PANADOL NINOS 20X1"/>
        <s v="PANADOL SINUS 16X1"/>
        <s v="ALKA SELTZER  12X1"/>
        <s v="TYLENOL  12X1"/>
        <s v="VICK VAPORUB 50 GR"/>
        <s v="EDAD DE LA VERDAD"/>
        <s v="SELECCION 1"/>
        <s v="SELECCION 5 CORONA"/>
        <s v="WATERFIREN 1 AZUL PROFUNDO"/>
        <s v="PERSONAS COMPRAN PERSONAS"/>
        <s v="NINA QUE MIRABA LOS TREN"/>
        <s v="CONSEJOS PARA EL HOGAR"/>
        <s v="CAKEPOPS PASTELILLOS EN"/>
        <s v="YOGUR HELADO Y MUCHO MAS"/>
        <s v="REFRESCOS Y MUCHOS MAS"/>
        <s v="FOODPOPS PISCOLABIS SALA"/>
        <s v="CUPCAKES Y MUFFINS SALAD"/>
        <s v="MUG CAKE"/>
        <s v="CHIP SANOS Y SALSAS DEL"/>
        <s v="AVENTURAS DE PENSAR"/>
        <s v="GALLETAS Y PASTAS CASERAS"/>
        <s v="IT ( ESO)"/>
        <s v="DIARIO GREG 1 UN RENACUA"/>
        <s v="DIARIO GREG 4 DIAS DE PE"/>
        <s v="DIARIO GREG 5 LA HORRIBL"/>
        <s v="ENLAZADOS"/>
        <s v="QUIEN DOMINA EL MUNDO"/>
        <s v="24291-29039 CLEAN &amp;amp; CLEAR CREAM CLEANSER 60X1OZ"/>
        <s v="83725-42110 COTTON BUDS SWABS PACK OF 24"/>
        <s v="24291-29159 CREST REGULAR TOOTHPASTE &amp;amp; TRAVEL TOOTHBRUSH 48X0.85OZ"/>
        <s v="79400-38057 DOVE ADVANCED CARE DEODORANT 36X0.5OZ"/>
        <s v="81519-01991 HERBAL ESSENCES HELLO HYDRATION CONDITIONER 36X1.7OZ"/>
        <s v="81519-01990 HERBAL ESSENCES HELLO HYDRATION SHAMPOO 36X1.7OZ"/>
        <s v="81371-03005 JOHNSON&amp;#39;S BABY LOTION 48X3OZ"/>
        <s v="81370-04170 JOHNSON&amp;#39;S BABY OIL 48X3OZ"/>
        <s v="81370-03712 JOHNSON&amp;#39;S BABY SHAMPOO 144X1.5OZ"/>
        <s v="81370-03001 JOHNSON&amp;#39;S PURE CORNSTARCH BABY POWDER 96X1.5OZ"/>
        <s v="22200-96299 LADY SPEED STICK POWDER FRESH 12X1.4OZ"/>
        <s v="24291-29063 LUBRIDERM DAILY MOISTURE LOTION TRAVEL SIZE 48X1OZ"/>
        <s v="73852-02612 PURELL ADVANCED HAND SANITIZER 25X1OZ"/>
        <s v="73852-00938 PURELL ADVANCED HAND SANITIZER WITH ALOE 24X2OZ"/>
        <s v="73852-05542 PURELL HAND SANITIZER WITH JELLY WRAP 72X1OZ"/>
        <s v="24291-29067 REACH WAXED FLOSS 144X55YD"/>
        <s v="37000-00496 SECRET OUTLAST CLEAR GEL DEODORANT 24X0.5OZ"/>
        <s v="24291-28048 TRAVEL KIT WOMEN&amp;#39;S 9 PIECE 12X1"/>
        <s v="LIDER DE 360"/>
        <s v="CHICA QUE DEJASTES ATRAS, LA"/>
        <s v="DESTROZA ESTE DIARIO"/>
        <s v="DESTROZA ESTE DIARO EN"/>
        <s v="DIARIO DE GREG MONTA TU PROPIO"/>
        <s v="RAZON  DE ESTAR CONTIGO , LA"/>
        <s v="WIGETTA Y LOS GUSANOS GUASONES"/>
        <s v="Y SI ESTO NO ES UN LIBRO"/>
        <s v="FACTOR X"/>
        <s v="SIETE PASOS PARA CONVERTIR TUS"/>
        <s v="VIAJE EL"/>
        <s v="GENIOS NO NACEN &amp;#161; SE HACEN"/>
        <s v="PARABOLA DE TRIUNFADOR"/>
        <s v="COMO COMUNICARNOS EN PUBLICO"/>
        <s v="PODER DE LA PERSISTENCIA"/>
        <s v="DE LA MOTIVACION A LA ACCION"/>
        <s v="HABILIDADES PARA EL TRATO PERS"/>
        <s v="PIENSE COMO UN MILLONARIO"/>
        <s v="NUEVAS VENTAS SIMPLIF SC"/>
        <s v="COMO SER UN LIDER"/>
        <s v="5 CONSEJOS PARA POTENCIAR"/>
        <s v="SE ACABO EL PROMEDIO"/>
        <s v="FUTURO DE LA DIRECCION DE RECU"/>
        <s v="EN EL CAMINO HACIA EL EXITO"/>
        <s v="CAMBIA VIDA 90 DIAS TRADING"/>
        <s v="B0068 HASBRO TRANSFORMERS RID ONE STEP CHANGERS SURTIDO"/>
        <s v="SIN TACONES SIN RESERVA"/>
        <s v="BIG BOOK ONE DIRECTION"/>
        <s v="HEREDERA, LA"/>
        <s v="SELECCIONES"/>
        <s v="ALICIA EN EL PAIS...3D"/>
        <s v="CORONA, LA"/>
        <s v="INFILTRADA BODA"/>
        <s v="MAZE RUNNER 4 VIRUS LETAL"/>
        <s v="QUIEN HA PUESTO ESTE HUEVO?"/>
        <s v="WBBT68 MATTEL FISHER PRICE LEON DE ACTIVIDADES"/>
        <s v="WDHW14 MATTEL FISHER PRICE CATERPILLAR"/>
        <s v="WFBD13 MATTEL CHAMELEON"/>
        <s v="PANINI ALBUM WC RUSIA 2018"/>
        <s v="PANINI WC RUSIA STICKERS PACKET"/>
        <s v="20-46023 SUN BUM WATERMELON LIP BALM"/>
        <s v="COCINA LECTURAS"/>
        <s v="AXXIS"/>
        <s v="SABER VIVIR"/>
        <s v="GQ EN ESPANOL"/>
        <s v="58-6511 CRAYOLA SIGNATURE SKETCH AND DETAIL DUAL ENDED MARKERS"/>
        <s v="75-2452 CRAYOLA COLOR WONDER SCENTED STAMPERS"/>
        <s v="04-0124 CRAYOLA ADULT COLORING ELABORATE ESCAPES"/>
        <s v="BP-2427 BIC BOLIGRAFO CRISTAL NEEDLE AZUL 3-PACK"/>
        <s v="WA9312 HASBRO RUBIKS CUBE"/>
        <s v="SUPER SOPA DE LETRAS"/>
        <s v="SELECCI&amp;#211;N CRUZADAS"/>
        <s v="W10859 LEGO DUPLO MY FIRST LADYBUG"/>
        <s v="W10709 LEGO CLASSIC ORANGE CREATIVITY BOX"/>
        <s v="W71020 LEGO CONFIDENTIAL MINIFIGURES 2018"/>
        <s v="80290007 OLD SPICE PURE SPORT PLUS EXTRA-STRONG DEODORANT 24X0.5OZ"/>
        <s v="80291522 CREST MULTIPROTECTION CLEAN MINT MOUTH WASH 48X36ML"/>
        <s v="80287594 ORAL B PRO HEALTH TOOTHBRUSH 1X72CT"/>
        <s v="80285228 GILLETTE FOAMY REGULAR SHAVING FOAM 48X2OZ"/>
        <s v="80248247 GILLETTE VENUS RAZOR 1X36CT"/>
        <s v="80307840 GILLETTE MACH3 RAZOR 1X36CT"/>
        <s v="80299706 GILLETTE VENUS SHAVE GEL VANILLA CASHMERE 24X2.5OZ"/>
        <s v="80301779 PANTENE CONDITIONER SMOOTH &amp;amp; SLEEK 24X3.38OZ"/>
        <s v="80301778 PANTENE SHAMPOO SMOOTH &amp;amp; SLEEK 24X3.38OZ"/>
        <s v="80301776 PANTENE CONDITIONER DAILY MOISTURE RENEWAL 24X3.38OZ"/>
        <s v="80298308 OLAY ULTRA MOISTURE SHEA BUTTER BODY LOTION 36X1.7OZ"/>
        <s v="80296451 ALWAYS WIPES TO-GO FRESH CLEAN 20WIPES 1X12CT"/>
        <s v="80290697 OLAY BODY WASH 24X3OZ"/>
        <s v="80291967 FEBREZE FABRIC REFRESHER TO-GO 36X2.8OZ"/>
        <s v="80253379 TIDE TO-GO 1X6CT"/>
        <s v="80275750 SECRET OUTLAST COMPLETELY CLEAN DEODORANT 24X0.5OZ"/>
        <s v="469336 HANSAPLAST 20 CURITAS IMPERMEABLES"/>
        <s v="009389 HANSAPLAST 100 CURITAS STANDARD TRANSPARENTES"/>
        <s v="PEPTO BISMOL 4OZ"/>
        <s v="DRAMAMINE NAUSEA  MAREO Y VOMITO  50MG"/>
        <s v="KISS WIDE BOARD NAIL FILE"/>
        <s v="MAXI CRUZADAS"/>
        <s v="CATS ADULT COLORING BOOK"/>
        <s v="FANTASMA DE NORIEGA, EL"/>
        <s v="LECCION DE AUGUST"/>
        <s v="LONDRES DESPU&amp;#201;S DE TI"/>
        <s v="MIL VECES HASTA SIEMPRE"/>
        <s v="MUERTE EN LA VICARIA"/>
        <s v="MUJERES QUE AMAN DEMASIADO"/>
        <s v="NANCY DIARIES 1 CURSE ARTIC"/>
        <s v="NO SONRIAS QUE ME ENAMORO"/>
        <s v="PARAISO ES TU CASA, EL"/>
        <s v="POIROT INFRINGE LA LEY"/>
        <s v="POSH ADULT INSPIRATIONAL QUOTE"/>
        <s v="QUINIENTAS VECES TU NOMBRE"/>
        <s v="SABORES DE LA COCINA PANAMENA"/>
        <s v="SILMARILLION EL"/>
        <s v="SOY LUNA 0 PRINCIPIO DEL VERAN"/>
        <s v="SOY LUNA 1 VIAJE COMIENZA"/>
        <s v="SOY LUNA 2 COMPETENCIA SOBRE R"/>
        <s v="SOY LUNA 3 VUELTAS EN LA PISTA"/>
        <s v="SOY LUNA 4. EN BUSCA DE LOS SU"/>
        <s v="VALLE DE LA CALMA"/>
        <s v="AMOR A CUATRO ESTACIONES"/>
        <s v="CHUPA EL PERRO"/>
        <s v="SOLO NOSOTROS DOS"/>
        <s v="VANIDADES"/>
        <s v="COSMOPOLITAN EN ESPA&amp;#209;OL"/>
        <s v="REVISTA TU"/>
        <s v="HARPER BAZAAR EN ESPA&amp;#209;OL"/>
        <s v="6039460  Hatchimals Surprise REFRESH Egg-2 Puzzles"/>
        <s v="6041343 HATCHIMALS COLLEGGTIBLES 2PK EGG CARTON S2"/>
        <s v="24845 PJ MASKS DIE CAST CARS"/>
        <s v="96792 POKEMON 2&amp;quot;inches pack x 23&amp;quot; inches pack x 1 FIGURE PACK BLISTER"/>
        <s v="TY BEANIE BOOS 35020 OWLETTE"/>
        <s v="TY BEANIE BOOS 35032 SAMI PEZ NARANJA"/>
        <s v="TY BEANIE BOOS 37199 SCOOTER CARACOL"/>
        <s v="TY BEANIE BOOS 37189 DOTTY LEOPARD"/>
        <s v="TY BEANIE BOOS 36253 ENCHANTED BUHO"/>
        <s v="TY BEANIE BOOS 36216 NORI narwhal"/>
        <s v="TY BEANIE BOOS 36252 RAMSEY LEON CAFE"/>
        <s v="TY BEANIES 32128 LULLABY BLUE BEAR"/>
        <s v="TY BABY TY 82008 TWINKLES PINGUINO AZUL"/>
        <s v="TY GEAR 95211 GILBERT BOLSO"/>
        <s v="TY GEAR 95204 COCONUT BOLSO"/>
        <s v="TY GEAR 95201 OWEN BOLSO"/>
        <s v="TY BEANIES PAW PATROL 41276 CHASE"/>
        <s v="TY BEANIES PAW PATROL 41277 MARSHALL"/>
        <s v="BOLSAS BIO  S  11.5&amp;quot;x15&amp;quot;"/>
        <s v="BOLSAS BIO  M  16&amp;quot;x18&amp;quot;"/>
        <s v="BOLSAS BIO  XS  9&amp;quot;X12&amp;quot;"/>
        <s v="50-10048 SUN BUM LIP BALM COUNTER DISPLAY"/>
        <s v="40-30015 SUN BUM RETAIL-9&amp;quot; SONNY-VINYL FIGURE"/>
        <m/>
      </sharedItems>
    </cacheField>
    <cacheField name="Categoria" numFmtId="0">
      <sharedItems containsBlank="1" containsMixedTypes="1" containsNumber="1" containsInteger="1" minValue="102" maxValue="102"/>
    </cacheField>
    <cacheField name="Nombre Categoria" numFmtId="0">
      <sharedItems containsBlank="1"/>
    </cacheField>
    <cacheField name="Marca" numFmtId="0">
      <sharedItems containsBlank="1" containsMixedTypes="1" containsNumber="1" containsInteger="1" minValue="6" maxValue="11"/>
    </cacheField>
    <cacheField name="Clase" numFmtId="0">
      <sharedItems containsBlank="1" containsMixedTypes="1" containsNumber="1" containsInteger="1" minValue="0" maxValue="0" count="55">
        <s v="MAGAZINE"/>
        <s v="CARTERA"/>
        <s v="ESTUCHE"/>
        <s v="CRAYONES"/>
        <s v="TAMPONS"/>
        <s v="WIPES"/>
        <s v="CONDOMS"/>
        <s v="ALMOHADA"/>
        <s v="SCHOOL SUPPLIES"/>
        <s v="FRAZADA"/>
        <s v="BAG"/>
        <s v="DISPLAY"/>
        <s v="TRAVEL ACCESSORIES"/>
        <s v="LIBRO"/>
        <s v="ENJUAGUE BUCAL"/>
        <s v="PASTA DENTAL"/>
        <s v="DESODORANTE"/>
        <m/>
        <s v="LUBRICANTE"/>
        <s v="VITAMINAS"/>
        <s v="JUGUETES"/>
        <s v="CEPILLO DENTAL"/>
        <s v="HILO DENTAL"/>
        <s v="MEDICINA"/>
        <s v="BATTERY"/>
        <s v="PLUSH"/>
        <s v="BRAZALETE"/>
        <s v="LOCION"/>
        <s v="PELUCHE"/>
        <s v="SUN BLOCK"/>
        <s v="LIP BALM"/>
        <s v="JUGUETE"/>
        <s v="TOALLA"/>
        <s v="LAPIZ DE COLOR"/>
        <s v="CREMAS"/>
        <s v="APLICADORES"/>
        <s v="ACONDICIONADOR"/>
        <s v="SHAMPOO"/>
        <s v="OIL"/>
        <s v="POLVO"/>
        <s v="JABON"/>
        <s v="SET DE BANO"/>
        <s v="STICKERS"/>
        <s v="REVISTA"/>
        <s v="BOLIGRAFO"/>
        <s v="ESPUMA DE AFEITAR"/>
        <s v="RASURADORA"/>
        <s v="CREMA CORPORAL"/>
        <s v="DESINFECTANTE"/>
        <s v="CURITA"/>
        <s v="VENDA ADHESIVA"/>
        <s v="ACCESORIOS"/>
        <n v="0"/>
        <s v="BOLSAS"/>
        <s v="POP"/>
      </sharedItems>
    </cacheField>
    <cacheField name="Existencia" numFmtId="0">
      <sharedItems containsString="0" containsBlank="1" containsNumber="1" containsInteger="1" minValue="1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24">
  <r>
    <x v="0"/>
    <x v="0"/>
    <x v="0"/>
    <n v="102"/>
    <s v="NEWS AND GIFTS"/>
    <s v="FLYING"/>
    <x v="0"/>
    <n v="10"/>
  </r>
  <r>
    <x v="1"/>
    <x v="0"/>
    <x v="0"/>
    <n v="102"/>
    <s v="NEWS AND GIFTS"/>
    <s v="FLYING"/>
    <x v="0"/>
    <n v="11"/>
  </r>
  <r>
    <x v="0"/>
    <x v="1"/>
    <x v="1"/>
    <n v="102"/>
    <s v="NEWS AND GIFTS"/>
    <s v="POPULAR SCIENCE"/>
    <x v="0"/>
    <n v="5"/>
  </r>
  <r>
    <x v="1"/>
    <x v="1"/>
    <x v="1"/>
    <n v="102"/>
    <s v="NEWS AND GIFTS"/>
    <s v="POPULAR SCIENCE"/>
    <x v="0"/>
    <n v="4"/>
  </r>
  <r>
    <x v="1"/>
    <x v="2"/>
    <x v="2"/>
    <n v="102"/>
    <s v="NEWS AND GIFTS"/>
    <s v="DIST. LEWIS"/>
    <x v="0"/>
    <n v="1"/>
  </r>
  <r>
    <x v="0"/>
    <x v="3"/>
    <x v="3"/>
    <n v="102"/>
    <s v="NEWS AND GIFTS"/>
    <s v="DIST. LEWIS"/>
    <x v="0"/>
    <n v="2"/>
  </r>
  <r>
    <x v="0"/>
    <x v="4"/>
    <x v="4"/>
    <n v="102"/>
    <s v="NEWS AND GIFTS"/>
    <s v="GO TRAVEL"/>
    <x v="1"/>
    <n v="1"/>
  </r>
  <r>
    <x v="1"/>
    <x v="4"/>
    <x v="4"/>
    <n v="102"/>
    <s v="NEWS AND GIFTS"/>
    <s v="GO TRAVEL"/>
    <x v="1"/>
    <n v="1"/>
  </r>
  <r>
    <x v="0"/>
    <x v="5"/>
    <x v="5"/>
    <n v="102"/>
    <s v="NEWS AND GIFTS"/>
    <s v="DIST. LEWIS"/>
    <x v="0"/>
    <n v="3"/>
  </r>
  <r>
    <x v="1"/>
    <x v="5"/>
    <x v="5"/>
    <n v="102"/>
    <s v="NEWS AND GIFTS"/>
    <s v="DIST. LEWIS"/>
    <x v="0"/>
    <n v="2"/>
  </r>
  <r>
    <x v="0"/>
    <x v="6"/>
    <x v="6"/>
    <n v="102"/>
    <s v="NEWS AND GIFTS"/>
    <s v="DIST. LEWIS"/>
    <x v="0"/>
    <n v="9"/>
  </r>
  <r>
    <x v="1"/>
    <x v="6"/>
    <x v="6"/>
    <n v="102"/>
    <s v="NEWS AND GIFTS"/>
    <s v="DIST. LEWIS"/>
    <x v="0"/>
    <n v="5"/>
  </r>
  <r>
    <x v="0"/>
    <x v="7"/>
    <x v="7"/>
    <n v="102"/>
    <s v="NEWS AND GIFTS"/>
    <s v="DIST. LEWIS"/>
    <x v="0"/>
    <n v="5"/>
  </r>
  <r>
    <x v="1"/>
    <x v="7"/>
    <x v="7"/>
    <n v="102"/>
    <s v="NEWS AND GIFTS"/>
    <s v="DIST. LEWIS"/>
    <x v="0"/>
    <n v="6"/>
  </r>
  <r>
    <x v="0"/>
    <x v="8"/>
    <x v="8"/>
    <n v="102"/>
    <s v="NEWS AND GIFTS"/>
    <s v="DIST. LEWIS"/>
    <x v="0"/>
    <n v="7"/>
  </r>
  <r>
    <x v="0"/>
    <x v="9"/>
    <x v="9"/>
    <n v="102"/>
    <s v="NEWS AND GIFTS"/>
    <s v="GO TRAVEL"/>
    <x v="2"/>
    <n v="2"/>
  </r>
  <r>
    <x v="1"/>
    <x v="9"/>
    <x v="9"/>
    <n v="102"/>
    <s v="NEWS AND GIFTS"/>
    <s v="GO TRAVEL"/>
    <x v="2"/>
    <n v="5"/>
  </r>
  <r>
    <x v="0"/>
    <x v="10"/>
    <x v="10"/>
    <n v="102"/>
    <s v="NEWS AND GIFTS"/>
    <s v="CRAYOLA"/>
    <x v="3"/>
    <n v="1"/>
  </r>
  <r>
    <x v="1"/>
    <x v="10"/>
    <x v="10"/>
    <n v="102"/>
    <s v="NEWS AND GIFTS"/>
    <s v="CRAYOLA"/>
    <x v="3"/>
    <n v="3"/>
  </r>
  <r>
    <x v="0"/>
    <x v="11"/>
    <x v="11"/>
    <n v="102"/>
    <s v="NEWS AND GIFTS"/>
    <s v="PLAYTEX"/>
    <x v="4"/>
    <n v="14"/>
  </r>
  <r>
    <x v="1"/>
    <x v="11"/>
    <x v="11"/>
    <n v="102"/>
    <s v="NEWS AND GIFTS"/>
    <s v="PLAYTEX"/>
    <x v="4"/>
    <n v="19"/>
  </r>
  <r>
    <x v="0"/>
    <x v="12"/>
    <x v="12"/>
    <n v="102"/>
    <s v="NEWS AND GIFTS"/>
    <s v="PLAYTEX"/>
    <x v="4"/>
    <n v="17"/>
  </r>
  <r>
    <x v="1"/>
    <x v="12"/>
    <x v="12"/>
    <n v="102"/>
    <s v="NEWS AND GIFTS"/>
    <s v="PLAYTEX"/>
    <x v="4"/>
    <n v="13"/>
  </r>
  <r>
    <x v="0"/>
    <x v="13"/>
    <x v="13"/>
    <n v="102"/>
    <s v="NEWS AND GIFTS"/>
    <s v="PLAYTEX"/>
    <x v="4"/>
    <n v="6"/>
  </r>
  <r>
    <x v="1"/>
    <x v="13"/>
    <x v="13"/>
    <n v="102"/>
    <s v="NEWS AND GIFTS"/>
    <s v="PLAYTEX"/>
    <x v="4"/>
    <n v="19"/>
  </r>
  <r>
    <x v="0"/>
    <x v="14"/>
    <x v="14"/>
    <n v="102"/>
    <s v="NEWS AND GIFTS"/>
    <s v="PLAYTEX"/>
    <x v="4"/>
    <n v="8"/>
  </r>
  <r>
    <x v="1"/>
    <x v="14"/>
    <x v="14"/>
    <n v="102"/>
    <s v="NEWS AND GIFTS"/>
    <s v="PLAYTEX"/>
    <x v="4"/>
    <n v="20"/>
  </r>
  <r>
    <x v="0"/>
    <x v="15"/>
    <x v="15"/>
    <n v="102"/>
    <s v="NEWS AND GIFTS"/>
    <s v="WET ONES"/>
    <x v="5"/>
    <n v="22"/>
  </r>
  <r>
    <x v="1"/>
    <x v="15"/>
    <x v="15"/>
    <n v="102"/>
    <s v="NEWS AND GIFTS"/>
    <s v="WET ONES"/>
    <x v="5"/>
    <n v="30"/>
  </r>
  <r>
    <x v="0"/>
    <x v="16"/>
    <x v="16"/>
    <n v="102"/>
    <s v="NEWS AND GIFTS"/>
    <s v="WET ONES"/>
    <x v="5"/>
    <n v="16"/>
  </r>
  <r>
    <x v="1"/>
    <x v="16"/>
    <x v="16"/>
    <n v="102"/>
    <s v="NEWS AND GIFTS"/>
    <s v="WET ONES"/>
    <x v="5"/>
    <n v="38"/>
  </r>
  <r>
    <x v="0"/>
    <x v="17"/>
    <x v="17"/>
    <n v="102"/>
    <s v="NEWS AND GIFTS"/>
    <s v="TROJAN"/>
    <x v="6"/>
    <n v="10"/>
  </r>
  <r>
    <x v="1"/>
    <x v="17"/>
    <x v="17"/>
    <n v="102"/>
    <s v="NEWS AND GIFTS"/>
    <s v="TROJAN"/>
    <x v="6"/>
    <n v="27"/>
  </r>
  <r>
    <x v="0"/>
    <x v="18"/>
    <x v="18"/>
    <n v="102"/>
    <s v="NEWS AND GIFTS"/>
    <s v="TROJAN"/>
    <x v="6"/>
    <n v="22"/>
  </r>
  <r>
    <x v="1"/>
    <x v="18"/>
    <x v="18"/>
    <n v="102"/>
    <s v="NEWS AND GIFTS"/>
    <s v="TROJAN"/>
    <x v="6"/>
    <n v="23"/>
  </r>
  <r>
    <x v="0"/>
    <x v="19"/>
    <x v="19"/>
    <n v="102"/>
    <s v="NEWS AND GIFTS"/>
    <s v="DUREX"/>
    <x v="6"/>
    <n v="11"/>
  </r>
  <r>
    <x v="1"/>
    <x v="19"/>
    <x v="19"/>
    <n v="102"/>
    <s v="NEWS AND GIFTS"/>
    <s v="DUREX"/>
    <x v="6"/>
    <n v="12"/>
  </r>
  <r>
    <x v="0"/>
    <x v="20"/>
    <x v="20"/>
    <n v="102"/>
    <s v="NEWS AND GIFTS"/>
    <s v="DUREX"/>
    <x v="6"/>
    <n v="12"/>
  </r>
  <r>
    <x v="1"/>
    <x v="20"/>
    <x v="20"/>
    <n v="102"/>
    <s v="NEWS AND GIFTS"/>
    <s v="DUREX"/>
    <x v="6"/>
    <n v="11"/>
  </r>
  <r>
    <x v="0"/>
    <x v="21"/>
    <x v="21"/>
    <n v="102"/>
    <s v="NEWS AND GIFTS"/>
    <s v="DUREX"/>
    <x v="6"/>
    <n v="21"/>
  </r>
  <r>
    <x v="0"/>
    <x v="22"/>
    <x v="22"/>
    <n v="102"/>
    <s v="NEWS AND GIFTS"/>
    <s v="DUREX"/>
    <x v="6"/>
    <n v="20"/>
  </r>
  <r>
    <x v="1"/>
    <x v="22"/>
    <x v="22"/>
    <n v="102"/>
    <s v="NEWS AND GIFTS"/>
    <s v="DUREX"/>
    <x v="6"/>
    <n v="2"/>
  </r>
  <r>
    <x v="0"/>
    <x v="23"/>
    <x v="23"/>
    <n v="102"/>
    <s v="NEWS AND GIFTS"/>
    <s v="SOFT COMFORT"/>
    <x v="7"/>
    <n v="39"/>
  </r>
  <r>
    <x v="1"/>
    <x v="23"/>
    <x v="23"/>
    <n v="102"/>
    <s v="NEWS AND GIFTS"/>
    <s v="SOFT COMFORT"/>
    <x v="7"/>
    <n v="40"/>
  </r>
  <r>
    <x v="0"/>
    <x v="24"/>
    <x v="24"/>
    <n v="102"/>
    <s v="NEWS AND GIFTS"/>
    <s v="CRAYOLA"/>
    <x v="8"/>
    <n v="2"/>
  </r>
  <r>
    <x v="0"/>
    <x v="25"/>
    <x v="25"/>
    <n v="102"/>
    <s v="NEWS AND GIFTS"/>
    <s v="SOFT COMFORT"/>
    <x v="9"/>
    <n v="7"/>
  </r>
  <r>
    <x v="1"/>
    <x v="25"/>
    <x v="25"/>
    <n v="102"/>
    <s v="NEWS AND GIFTS"/>
    <s v="SOFT COMFORT"/>
    <x v="9"/>
    <n v="1"/>
  </r>
  <r>
    <x v="0"/>
    <x v="26"/>
    <x v="26"/>
    <n v="102"/>
    <s v="NEWS AND GIFTS"/>
    <s v="SOFT COMFORT"/>
    <x v="7"/>
    <n v="42"/>
  </r>
  <r>
    <x v="1"/>
    <x v="26"/>
    <x v="26"/>
    <n v="102"/>
    <s v="NEWS AND GIFTS"/>
    <s v="SOFT COMFORT"/>
    <x v="7"/>
    <n v="39"/>
  </r>
  <r>
    <x v="0"/>
    <x v="27"/>
    <x v="27"/>
    <n v="102"/>
    <s v="NEWS AND GIFTS"/>
    <s v="SOFT COMFORT"/>
    <x v="7"/>
    <n v="23"/>
  </r>
  <r>
    <x v="1"/>
    <x v="27"/>
    <x v="27"/>
    <n v="102"/>
    <s v="NEWS AND GIFTS"/>
    <s v="SOFT COMFORT"/>
    <x v="7"/>
    <n v="18"/>
  </r>
  <r>
    <x v="0"/>
    <x v="28"/>
    <x v="28"/>
    <n v="102"/>
    <s v="NEWS AND GIFTS"/>
    <s v="CRAYOLA"/>
    <x v="3"/>
    <n v="6"/>
  </r>
  <r>
    <x v="0"/>
    <x v="29"/>
    <x v="29"/>
    <n v="102"/>
    <s v="NEWS AND GIFTS"/>
    <s v="ALTAMAR"/>
    <x v="7"/>
    <n v="1"/>
  </r>
  <r>
    <x v="0"/>
    <x v="30"/>
    <x v="30"/>
    <n v="102"/>
    <s v="NEWS AND GIFTS"/>
    <s v="ALTAMAR"/>
    <x v="7"/>
    <n v="10"/>
  </r>
  <r>
    <x v="1"/>
    <x v="30"/>
    <x v="30"/>
    <n v="102"/>
    <s v="NEWS AND GIFTS"/>
    <s v="ALTAMAR"/>
    <x v="7"/>
    <n v="10"/>
  </r>
  <r>
    <x v="0"/>
    <x v="31"/>
    <x v="31"/>
    <n v="102"/>
    <s v="NEWS AND GIFTS"/>
    <s v="SOFT COMFORT"/>
    <x v="10"/>
    <n v="1"/>
  </r>
  <r>
    <x v="1"/>
    <x v="32"/>
    <x v="32"/>
    <n v="102"/>
    <s v="NEWS AND GIFTS"/>
    <s v="CRAYOLA"/>
    <x v="8"/>
    <n v="10"/>
  </r>
  <r>
    <x v="0"/>
    <x v="33"/>
    <x v="33"/>
    <n v="102"/>
    <s v="NEWS AND GIFTS"/>
    <s v="CRAYOLA"/>
    <x v="8"/>
    <n v="2"/>
  </r>
  <r>
    <x v="0"/>
    <x v="34"/>
    <x v="34"/>
    <n v="102"/>
    <s v="NEWS AND GIFTS"/>
    <s v="SOFT COMFORT"/>
    <x v="11"/>
    <n v="2"/>
  </r>
  <r>
    <x v="1"/>
    <x v="34"/>
    <x v="34"/>
    <n v="102"/>
    <s v="NEWS AND GIFTS"/>
    <s v="SOFT COMFORT"/>
    <x v="11"/>
    <n v="3"/>
  </r>
  <r>
    <x v="1"/>
    <x v="35"/>
    <x v="35"/>
    <n v="102"/>
    <s v="NEWS AND GIFTS"/>
    <s v="GO TRAVEL"/>
    <x v="12"/>
    <n v="1"/>
  </r>
  <r>
    <x v="1"/>
    <x v="36"/>
    <x v="36"/>
    <n v="102"/>
    <s v="NEWS AND GIFTS"/>
    <s v="GO TRAVEL"/>
    <x v="12"/>
    <n v="7"/>
  </r>
  <r>
    <x v="1"/>
    <x v="37"/>
    <x v="37"/>
    <n v="102"/>
    <s v="NEWS AND GIFTS"/>
    <s v="GO TRAVEL"/>
    <x v="12"/>
    <n v="1"/>
  </r>
  <r>
    <x v="0"/>
    <x v="38"/>
    <x v="38"/>
    <n v="102"/>
    <s v="NEWS AND GIFTS"/>
    <s v="GO TRAVEL"/>
    <x v="12"/>
    <n v="1"/>
  </r>
  <r>
    <x v="0"/>
    <x v="39"/>
    <x v="39"/>
    <n v="102"/>
    <s v="NEWS AND GIFTS"/>
    <s v="GO TRAVEL"/>
    <x v="12"/>
    <n v="1"/>
  </r>
  <r>
    <x v="0"/>
    <x v="40"/>
    <x v="40"/>
    <n v="102"/>
    <s v="NEWS AND GIFTS"/>
    <s v="GO TRAVEL"/>
    <x v="12"/>
    <n v="1"/>
  </r>
  <r>
    <x v="0"/>
    <x v="41"/>
    <x v="41"/>
    <n v="102"/>
    <s v="NEWS AND GIFTS"/>
    <s v="GO TRAVEL"/>
    <x v="12"/>
    <n v="4"/>
  </r>
  <r>
    <x v="1"/>
    <x v="42"/>
    <x v="42"/>
    <n v="102"/>
    <s v="NEWS AND GIFTS"/>
    <s v="GO TRAVEL"/>
    <x v="12"/>
    <n v="3"/>
  </r>
  <r>
    <x v="0"/>
    <x v="43"/>
    <x v="43"/>
    <n v="102"/>
    <s v="NEWS AND GIFTS"/>
    <s v="GO TRAVEL"/>
    <x v="12"/>
    <n v="3"/>
  </r>
  <r>
    <x v="0"/>
    <x v="44"/>
    <x v="44"/>
    <n v="102"/>
    <s v="NEWS AND GIFTS"/>
    <s v="GO TRAVEL"/>
    <x v="12"/>
    <n v="3"/>
  </r>
  <r>
    <x v="1"/>
    <x v="44"/>
    <x v="44"/>
    <n v="102"/>
    <s v="NEWS AND GIFTS"/>
    <s v="GO TRAVEL"/>
    <x v="12"/>
    <n v="2"/>
  </r>
  <r>
    <x v="0"/>
    <x v="45"/>
    <x v="45"/>
    <n v="102"/>
    <s v="NEWS AND GIFTS"/>
    <s v="GO TRAVEL"/>
    <x v="12"/>
    <n v="2"/>
  </r>
  <r>
    <x v="1"/>
    <x v="45"/>
    <x v="45"/>
    <n v="102"/>
    <s v="NEWS AND GIFTS"/>
    <s v="GO TRAVEL"/>
    <x v="12"/>
    <n v="1"/>
  </r>
  <r>
    <x v="0"/>
    <x v="46"/>
    <x v="46"/>
    <n v="102"/>
    <s v="NEWS AND GIFTS"/>
    <s v="GO TRAVEL"/>
    <x v="12"/>
    <n v="1"/>
  </r>
  <r>
    <x v="0"/>
    <x v="47"/>
    <x v="47"/>
    <n v="102"/>
    <s v="NEWS AND GIFTS"/>
    <s v="DIST. LEWIS"/>
    <x v="13"/>
    <n v="1"/>
  </r>
  <r>
    <x v="1"/>
    <x v="48"/>
    <x v="48"/>
    <n v="102"/>
    <s v="NEWS AND GIFTS"/>
    <s v="DIST. LEWIS"/>
    <x v="13"/>
    <n v="1"/>
  </r>
  <r>
    <x v="0"/>
    <x v="49"/>
    <x v="49"/>
    <n v="102"/>
    <s v="NEWS AND GIFTS"/>
    <s v="DIST. LEWIS"/>
    <x v="13"/>
    <n v="1"/>
  </r>
  <r>
    <x v="1"/>
    <x v="49"/>
    <x v="49"/>
    <n v="102"/>
    <s v="NEWS AND GIFTS"/>
    <s v="DIST. LEWIS"/>
    <x v="13"/>
    <n v="2"/>
  </r>
  <r>
    <x v="0"/>
    <x v="50"/>
    <x v="50"/>
    <n v="102"/>
    <s v="NEWS AND GIFTS"/>
    <s v="DIST. LEWIS"/>
    <x v="13"/>
    <n v="1"/>
  </r>
  <r>
    <x v="0"/>
    <x v="51"/>
    <x v="51"/>
    <n v="102"/>
    <s v="NEWS AND GIFTS"/>
    <s v="DIST. LEWIS"/>
    <x v="13"/>
    <n v="2"/>
  </r>
  <r>
    <x v="0"/>
    <x v="52"/>
    <x v="52"/>
    <n v="102"/>
    <s v="NEWS AND GIFTS"/>
    <s v="DIST. LEWIS"/>
    <x v="13"/>
    <n v="1"/>
  </r>
  <r>
    <x v="1"/>
    <x v="52"/>
    <x v="52"/>
    <n v="102"/>
    <s v="NEWS AND GIFTS"/>
    <s v="DIST. LEWIS"/>
    <x v="13"/>
    <n v="2"/>
  </r>
  <r>
    <x v="0"/>
    <x v="53"/>
    <x v="53"/>
    <n v="102"/>
    <s v="NEWS AND GIFTS"/>
    <s v="DIST. LEWIS"/>
    <x v="13"/>
    <n v="1"/>
  </r>
  <r>
    <x v="1"/>
    <x v="54"/>
    <x v="54"/>
    <n v="102"/>
    <s v="NEWS AND GIFTS"/>
    <s v="DIST. LEWIS"/>
    <x v="0"/>
    <n v="1"/>
  </r>
  <r>
    <x v="0"/>
    <x v="55"/>
    <x v="55"/>
    <n v="102"/>
    <s v="NEWS AND GIFTS"/>
    <s v="DIST. LEWIS"/>
    <x v="0"/>
    <n v="6"/>
  </r>
  <r>
    <x v="1"/>
    <x v="55"/>
    <x v="55"/>
    <n v="102"/>
    <s v="NEWS AND GIFTS"/>
    <s v="DIST. LEWIS"/>
    <x v="0"/>
    <n v="7"/>
  </r>
  <r>
    <x v="0"/>
    <x v="56"/>
    <x v="56"/>
    <n v="102"/>
    <s v="NEWS AND GIFTS"/>
    <s v="DIST. LEWIS"/>
    <x v="0"/>
    <n v="10"/>
  </r>
  <r>
    <x v="0"/>
    <x v="57"/>
    <x v="57"/>
    <n v="102"/>
    <s v="NEWS AND GIFTS"/>
    <s v="DIST. LEWIS"/>
    <x v="0"/>
    <n v="3"/>
  </r>
  <r>
    <x v="0"/>
    <x v="58"/>
    <x v="58"/>
    <n v="102"/>
    <s v="NEWS AND GIFTS"/>
    <s v="DIST. LEWIS"/>
    <x v="0"/>
    <n v="7"/>
  </r>
  <r>
    <x v="1"/>
    <x v="58"/>
    <x v="58"/>
    <n v="102"/>
    <s v="NEWS AND GIFTS"/>
    <s v="DIST. LEWIS"/>
    <x v="0"/>
    <n v="3"/>
  </r>
  <r>
    <x v="1"/>
    <x v="59"/>
    <x v="59"/>
    <n v="102"/>
    <s v="NEWS AND GIFTS"/>
    <s v="LISTERINE"/>
    <x v="14"/>
    <n v="1"/>
  </r>
  <r>
    <x v="0"/>
    <x v="60"/>
    <x v="60"/>
    <n v="102"/>
    <s v="NEWS AND GIFTS"/>
    <s v="PLAYTEX"/>
    <x v="5"/>
    <n v="13"/>
  </r>
  <r>
    <x v="1"/>
    <x v="60"/>
    <x v="60"/>
    <n v="102"/>
    <s v="NEWS AND GIFTS"/>
    <s v="PLAYTEX"/>
    <x v="5"/>
    <n v="12"/>
  </r>
  <r>
    <x v="0"/>
    <x v="61"/>
    <x v="61"/>
    <n v="102"/>
    <s v="NEWS AND GIFTS"/>
    <s v="WET ONES"/>
    <x v="5"/>
    <n v="18"/>
  </r>
  <r>
    <x v="1"/>
    <x v="61"/>
    <x v="61"/>
    <n v="102"/>
    <s v="NEWS AND GIFTS"/>
    <s v="WET ONES"/>
    <x v="5"/>
    <n v="15"/>
  </r>
  <r>
    <x v="0"/>
    <x v="62"/>
    <x v="62"/>
    <n v="102"/>
    <s v="NEWS AND GIFTS"/>
    <s v="TROJAN"/>
    <x v="6"/>
    <n v="26"/>
  </r>
  <r>
    <x v="1"/>
    <x v="62"/>
    <x v="62"/>
    <n v="102"/>
    <s v="NEWS AND GIFTS"/>
    <s v="TROJAN"/>
    <x v="6"/>
    <n v="24"/>
  </r>
  <r>
    <x v="0"/>
    <x v="63"/>
    <x v="63"/>
    <n v="102"/>
    <s v="NEWS AND GIFTS"/>
    <s v="ARM AND HAMMER"/>
    <x v="15"/>
    <n v="10"/>
  </r>
  <r>
    <x v="1"/>
    <x v="63"/>
    <x v="63"/>
    <n v="102"/>
    <s v="NEWS AND GIFTS"/>
    <s v="ARM AND HAMMER"/>
    <x v="15"/>
    <n v="24"/>
  </r>
  <r>
    <x v="0"/>
    <x v="64"/>
    <x v="64"/>
    <n v="102"/>
    <s v="NEWS AND GIFTS"/>
    <s v="ARM AND HAMMER"/>
    <x v="15"/>
    <n v="12"/>
  </r>
  <r>
    <x v="1"/>
    <x v="64"/>
    <x v="64"/>
    <n v="102"/>
    <s v="NEWS AND GIFTS"/>
    <s v="ARM AND HAMMER"/>
    <x v="15"/>
    <n v="24"/>
  </r>
  <r>
    <x v="0"/>
    <x v="65"/>
    <x v="65"/>
    <n v="102"/>
    <s v="NEWS AND GIFTS"/>
    <s v="ARM AND HAMMER"/>
    <x v="15"/>
    <n v="12"/>
  </r>
  <r>
    <x v="1"/>
    <x v="65"/>
    <x v="65"/>
    <n v="102"/>
    <s v="NEWS AND GIFTS"/>
    <s v="ARM AND HAMMER"/>
    <x v="15"/>
    <n v="25"/>
  </r>
  <r>
    <x v="0"/>
    <x v="66"/>
    <x v="66"/>
    <n v="102"/>
    <s v="NEWS AND GIFTS"/>
    <s v="ARRID XX"/>
    <x v="16"/>
    <n v="13"/>
  </r>
  <r>
    <x v="1"/>
    <x v="66"/>
    <x v="66"/>
    <n v="102"/>
    <s v="NEWS AND GIFTS"/>
    <s v="ARRID XX"/>
    <x v="16"/>
    <n v="12"/>
  </r>
  <r>
    <x v="0"/>
    <x v="67"/>
    <x v="67"/>
    <n v="102"/>
    <s v="NEWS AND GIFTS"/>
    <s v="ARRID XX"/>
    <x v="16"/>
    <n v="13"/>
  </r>
  <r>
    <x v="1"/>
    <x v="67"/>
    <x v="67"/>
    <n v="102"/>
    <s v="NEWS AND GIFTS"/>
    <s v="ARRID XX"/>
    <x v="16"/>
    <n v="12"/>
  </r>
  <r>
    <x v="0"/>
    <x v="68"/>
    <x v="68"/>
    <n v="102"/>
    <s v="NEWS AND GIFTS"/>
    <s v="ARRID XX"/>
    <x v="16"/>
    <n v="14"/>
  </r>
  <r>
    <x v="1"/>
    <x v="68"/>
    <x v="68"/>
    <n v="102"/>
    <s v="NEWS AND GIFTS"/>
    <s v="ARRID XX"/>
    <x v="16"/>
    <n v="16"/>
  </r>
  <r>
    <x v="0"/>
    <x v="69"/>
    <x v="69"/>
    <n v="102"/>
    <s v="NEWS AND GIFTS"/>
    <s v="ARRID XX"/>
    <x v="16"/>
    <n v="18"/>
  </r>
  <r>
    <x v="1"/>
    <x v="69"/>
    <x v="69"/>
    <n v="102"/>
    <s v="NEWS AND GIFTS"/>
    <s v="ARRID XX"/>
    <x v="16"/>
    <n v="13"/>
  </r>
  <r>
    <x v="0"/>
    <x v="70"/>
    <x v="70"/>
    <n v="102"/>
    <s v="NEWS AND GIFTS"/>
    <s v="ARRID XX"/>
    <x v="16"/>
    <n v="12"/>
  </r>
  <r>
    <x v="1"/>
    <x v="70"/>
    <x v="70"/>
    <n v="102"/>
    <s v="NEWS AND GIFTS"/>
    <s v="ARRID XX"/>
    <x v="16"/>
    <n v="12"/>
  </r>
  <r>
    <x v="0"/>
    <x v="71"/>
    <x v="71"/>
    <n v="102"/>
    <s v="NEWS AND GIFTS"/>
    <s v="DUREX"/>
    <x v="6"/>
    <n v="22"/>
  </r>
  <r>
    <x v="0"/>
    <x v="72"/>
    <x v="72"/>
    <m/>
    <m/>
    <m/>
    <x v="17"/>
    <m/>
  </r>
  <r>
    <x v="2"/>
    <x v="73"/>
    <x v="73"/>
    <s v="DUREX"/>
    <s v="CONDOMS"/>
    <n v="11"/>
    <x v="17"/>
    <m/>
  </r>
  <r>
    <x v="1"/>
    <x v="72"/>
    <x v="72"/>
    <m/>
    <m/>
    <m/>
    <x v="17"/>
    <m/>
  </r>
  <r>
    <x v="2"/>
    <x v="73"/>
    <x v="73"/>
    <s v="DUREX"/>
    <s v="CONDOMS"/>
    <n v="6"/>
    <x v="17"/>
    <m/>
  </r>
  <r>
    <x v="0"/>
    <x v="74"/>
    <x v="74"/>
    <n v="102"/>
    <s v="NEWS AND GIFTS"/>
    <s v="KY"/>
    <x v="18"/>
    <n v="12"/>
  </r>
  <r>
    <x v="1"/>
    <x v="74"/>
    <x v="74"/>
    <n v="102"/>
    <s v="NEWS AND GIFTS"/>
    <s v="KY"/>
    <x v="18"/>
    <n v="7"/>
  </r>
  <r>
    <x v="0"/>
    <x v="75"/>
    <x v="75"/>
    <n v="102"/>
    <s v="NEWS AND GIFTS"/>
    <s v="OSTEO BI FLEX"/>
    <x v="19"/>
    <n v="1"/>
  </r>
  <r>
    <x v="0"/>
    <x v="76"/>
    <x v="76"/>
    <n v="102"/>
    <s v="NEWS AND GIFTS"/>
    <s v="SUNDOWN NATURALS"/>
    <x v="19"/>
    <n v="1"/>
  </r>
  <r>
    <x v="0"/>
    <x v="77"/>
    <x v="77"/>
    <n v="102"/>
    <s v="NEWS AND GIFTS"/>
    <s v="HASBRO"/>
    <x v="20"/>
    <n v="1"/>
  </r>
  <r>
    <x v="1"/>
    <x v="77"/>
    <x v="77"/>
    <n v="102"/>
    <s v="NEWS AND GIFTS"/>
    <s v="HASBRO"/>
    <x v="20"/>
    <n v="2"/>
  </r>
  <r>
    <x v="0"/>
    <x v="78"/>
    <x v="78"/>
    <n v="102"/>
    <s v="NEWS AND GIFTS"/>
    <s v="GUM"/>
    <x v="21"/>
    <n v="15"/>
  </r>
  <r>
    <x v="1"/>
    <x v="78"/>
    <x v="78"/>
    <n v="102"/>
    <s v="NEWS AND GIFTS"/>
    <s v="GUM"/>
    <x v="21"/>
    <n v="21"/>
  </r>
  <r>
    <x v="0"/>
    <x v="79"/>
    <x v="79"/>
    <n v="102"/>
    <s v="NEWS AND GIFTS"/>
    <s v="GUM"/>
    <x v="21"/>
    <n v="38"/>
  </r>
  <r>
    <x v="1"/>
    <x v="79"/>
    <x v="79"/>
    <n v="102"/>
    <s v="NEWS AND GIFTS"/>
    <s v="GUM"/>
    <x v="21"/>
    <n v="34"/>
  </r>
  <r>
    <x v="0"/>
    <x v="80"/>
    <x v="80"/>
    <n v="102"/>
    <s v="NEWS AND GIFTS"/>
    <s v="GUM"/>
    <x v="21"/>
    <n v="21"/>
  </r>
  <r>
    <x v="1"/>
    <x v="80"/>
    <x v="80"/>
    <n v="102"/>
    <s v="NEWS AND GIFTS"/>
    <s v="GUM"/>
    <x v="21"/>
    <n v="30"/>
  </r>
  <r>
    <x v="0"/>
    <x v="81"/>
    <x v="81"/>
    <n v="102"/>
    <s v="NEWS AND GIFTS"/>
    <s v="GUM"/>
    <x v="21"/>
    <n v="33"/>
  </r>
  <r>
    <x v="1"/>
    <x v="81"/>
    <x v="81"/>
    <n v="102"/>
    <s v="NEWS AND GIFTS"/>
    <s v="GUM"/>
    <x v="21"/>
    <n v="25"/>
  </r>
  <r>
    <x v="0"/>
    <x v="82"/>
    <x v="82"/>
    <n v="102"/>
    <s v="NEWS AND GIFTS"/>
    <s v="GUM"/>
    <x v="22"/>
    <n v="12"/>
  </r>
  <r>
    <x v="1"/>
    <x v="82"/>
    <x v="82"/>
    <n v="102"/>
    <s v="NEWS AND GIFTS"/>
    <s v="GUM"/>
    <x v="22"/>
    <n v="11"/>
  </r>
  <r>
    <x v="0"/>
    <x v="83"/>
    <x v="83"/>
    <n v="102"/>
    <s v="NEWS AND GIFTS"/>
    <s v="SAL ANDREWS"/>
    <x v="23"/>
    <n v="1"/>
  </r>
  <r>
    <x v="0"/>
    <x v="84"/>
    <x v="84"/>
    <n v="102"/>
    <s v="NEWS AND GIFTS"/>
    <s v="TYLENOL"/>
    <x v="23"/>
    <n v="79"/>
  </r>
  <r>
    <x v="1"/>
    <x v="84"/>
    <x v="84"/>
    <n v="102"/>
    <s v="NEWS AND GIFTS"/>
    <s v="TYLENOL"/>
    <x v="23"/>
    <n v="83"/>
  </r>
  <r>
    <x v="0"/>
    <x v="85"/>
    <x v="85"/>
    <n v="102"/>
    <s v="NEWS AND GIFTS"/>
    <s v="TYLENOL"/>
    <x v="23"/>
    <n v="14"/>
  </r>
  <r>
    <x v="1"/>
    <x v="85"/>
    <x v="85"/>
    <n v="102"/>
    <s v="NEWS AND GIFTS"/>
    <s v="TYLENOL"/>
    <x v="23"/>
    <n v="16"/>
  </r>
  <r>
    <x v="0"/>
    <x v="86"/>
    <x v="86"/>
    <n v="102"/>
    <s v="NEWS AND GIFTS"/>
    <s v="TYLENOL"/>
    <x v="23"/>
    <n v="12"/>
  </r>
  <r>
    <x v="1"/>
    <x v="86"/>
    <x v="86"/>
    <n v="102"/>
    <s v="NEWS AND GIFTS"/>
    <s v="TYLENOL"/>
    <x v="23"/>
    <n v="9"/>
  </r>
  <r>
    <x v="0"/>
    <x v="87"/>
    <x v="87"/>
    <n v="102"/>
    <s v="NEWS AND GIFTS"/>
    <s v="TYLENOL"/>
    <x v="23"/>
    <n v="1"/>
  </r>
  <r>
    <x v="0"/>
    <x v="88"/>
    <x v="88"/>
    <n v="102"/>
    <s v="NEWS AND GIFTS"/>
    <s v="TYLENOL"/>
    <x v="23"/>
    <n v="10"/>
  </r>
  <r>
    <x v="1"/>
    <x v="88"/>
    <x v="88"/>
    <n v="102"/>
    <s v="NEWS AND GIFTS"/>
    <s v="TYLENOL"/>
    <x v="23"/>
    <n v="11"/>
  </r>
  <r>
    <x v="0"/>
    <x v="89"/>
    <x v="89"/>
    <n v="102"/>
    <s v="NEWS AND GIFTS"/>
    <s v="VISINA"/>
    <x v="23"/>
    <n v="12"/>
  </r>
  <r>
    <x v="1"/>
    <x v="89"/>
    <x v="89"/>
    <n v="102"/>
    <s v="NEWS AND GIFTS"/>
    <s v="VISINA"/>
    <x v="23"/>
    <n v="4"/>
  </r>
  <r>
    <x v="0"/>
    <x v="90"/>
    <x v="90"/>
    <n v="102"/>
    <s v="NEWS AND GIFTS"/>
    <s v="BENADRIL"/>
    <x v="23"/>
    <n v="11"/>
  </r>
  <r>
    <x v="1"/>
    <x v="90"/>
    <x v="90"/>
    <n v="102"/>
    <s v="NEWS AND GIFTS"/>
    <s v="BENADRIL"/>
    <x v="23"/>
    <n v="7"/>
  </r>
  <r>
    <x v="0"/>
    <x v="91"/>
    <x v="91"/>
    <n v="102"/>
    <s v="NEWS AND GIFTS"/>
    <s v="LOMOTIL"/>
    <x v="23"/>
    <n v="31"/>
  </r>
  <r>
    <x v="1"/>
    <x v="91"/>
    <x v="91"/>
    <n v="102"/>
    <s v="NEWS AND GIFTS"/>
    <s v="LOMOTIL"/>
    <x v="23"/>
    <n v="28"/>
  </r>
  <r>
    <x v="0"/>
    <x v="92"/>
    <x v="92"/>
    <n v="102"/>
    <s v="NEWS AND GIFTS"/>
    <s v="MATTEL"/>
    <x v="20"/>
    <n v="1"/>
  </r>
  <r>
    <x v="1"/>
    <x v="93"/>
    <x v="93"/>
    <n v="102"/>
    <s v="NEWS AND GIFTS"/>
    <s v="DIST. LEWIS"/>
    <x v="13"/>
    <n v="1"/>
  </r>
  <r>
    <x v="0"/>
    <x v="94"/>
    <x v="94"/>
    <n v="102"/>
    <s v="NEWS AND GIFTS"/>
    <s v="DIST. LEWIS"/>
    <x v="0"/>
    <n v="3"/>
  </r>
  <r>
    <x v="0"/>
    <x v="95"/>
    <x v="95"/>
    <n v="102"/>
    <s v="NEWS AND GIFTS"/>
    <s v="DIST. LEWIS"/>
    <x v="0"/>
    <n v="1"/>
  </r>
  <r>
    <x v="0"/>
    <x v="96"/>
    <x v="96"/>
    <n v="102"/>
    <s v="NEWS AND GIFTS"/>
    <s v="DIST. LEWIS"/>
    <x v="0"/>
    <n v="9"/>
  </r>
  <r>
    <x v="0"/>
    <x v="97"/>
    <x v="97"/>
    <n v="102"/>
    <s v="NEWS AND GIFTS"/>
    <s v="DIST. LEWIS"/>
    <x v="0"/>
    <n v="12"/>
  </r>
  <r>
    <x v="0"/>
    <x v="98"/>
    <x v="98"/>
    <n v="102"/>
    <s v="NEWS AND GIFTS"/>
    <s v="DIST. LEWIS"/>
    <x v="13"/>
    <n v="3"/>
  </r>
  <r>
    <x v="0"/>
    <x v="99"/>
    <x v="99"/>
    <n v="102"/>
    <s v="NEWS AND GIFTS"/>
    <s v="DIST. LEWIS"/>
    <x v="13"/>
    <n v="2"/>
  </r>
  <r>
    <x v="1"/>
    <x v="100"/>
    <x v="100"/>
    <n v="102"/>
    <s v="NEWS AND GIFTS"/>
    <s v="DIST. LEWIS"/>
    <x v="13"/>
    <n v="3"/>
  </r>
  <r>
    <x v="1"/>
    <x v="101"/>
    <x v="101"/>
    <n v="102"/>
    <s v="NEWS AND GIFTS"/>
    <s v="DIST. LEWIS"/>
    <x v="13"/>
    <n v="1"/>
  </r>
  <r>
    <x v="1"/>
    <x v="102"/>
    <x v="102"/>
    <n v="102"/>
    <s v="NEWS AND GIFTS"/>
    <s v="DIST. LEWIS"/>
    <x v="13"/>
    <n v="1"/>
  </r>
  <r>
    <x v="0"/>
    <x v="103"/>
    <x v="103"/>
    <n v="102"/>
    <s v="NEWS AND GIFTS"/>
    <s v="DIST. LEWIS"/>
    <x v="13"/>
    <n v="1"/>
  </r>
  <r>
    <x v="1"/>
    <x v="103"/>
    <x v="103"/>
    <n v="102"/>
    <s v="NEWS AND GIFTS"/>
    <s v="DIST. LEWIS"/>
    <x v="13"/>
    <n v="1"/>
  </r>
  <r>
    <x v="0"/>
    <x v="104"/>
    <x v="104"/>
    <n v="102"/>
    <s v="NEWS AND GIFTS"/>
    <s v="DIST. LEWIS"/>
    <x v="13"/>
    <n v="2"/>
  </r>
  <r>
    <x v="0"/>
    <x v="105"/>
    <x v="105"/>
    <n v="102"/>
    <s v="NEWS AND GIFTS"/>
    <s v="DIST. LEWIS"/>
    <x v="13"/>
    <n v="1"/>
  </r>
  <r>
    <x v="0"/>
    <x v="106"/>
    <x v="106"/>
    <n v="102"/>
    <s v="NEWS AND GIFTS"/>
    <s v="DIST. LEWIS"/>
    <x v="13"/>
    <n v="1"/>
  </r>
  <r>
    <x v="1"/>
    <x v="106"/>
    <x v="106"/>
    <n v="102"/>
    <s v="NEWS AND GIFTS"/>
    <s v="DIST. LEWIS"/>
    <x v="13"/>
    <n v="1"/>
  </r>
  <r>
    <x v="0"/>
    <x v="107"/>
    <x v="107"/>
    <n v="102"/>
    <s v="NEWS AND GIFTS"/>
    <s v="DIST. LEWIS"/>
    <x v="13"/>
    <n v="4"/>
  </r>
  <r>
    <x v="0"/>
    <x v="108"/>
    <x v="108"/>
    <n v="102"/>
    <s v="NEWS AND GIFTS"/>
    <s v="DIST. LEWIS"/>
    <x v="13"/>
    <n v="6"/>
  </r>
  <r>
    <x v="1"/>
    <x v="108"/>
    <x v="108"/>
    <n v="102"/>
    <s v="NEWS AND GIFTS"/>
    <s v="DIST. LEWIS"/>
    <x v="13"/>
    <n v="12"/>
  </r>
  <r>
    <x v="0"/>
    <x v="109"/>
    <x v="109"/>
    <n v="102"/>
    <s v="NEWS AND GIFTS"/>
    <s v="DIST. LEWIS"/>
    <x v="0"/>
    <n v="8"/>
  </r>
  <r>
    <x v="1"/>
    <x v="109"/>
    <x v="109"/>
    <n v="102"/>
    <s v="NEWS AND GIFTS"/>
    <s v="DIST. LEWIS"/>
    <x v="0"/>
    <n v="2"/>
  </r>
  <r>
    <x v="0"/>
    <x v="110"/>
    <x v="110"/>
    <n v="102"/>
    <s v="NEWS AND GIFTS"/>
    <s v="HASBRO"/>
    <x v="20"/>
    <n v="1"/>
  </r>
  <r>
    <x v="1"/>
    <x v="110"/>
    <x v="110"/>
    <n v="102"/>
    <s v="NEWS AND GIFTS"/>
    <s v="HASBRO"/>
    <x v="20"/>
    <n v="1"/>
  </r>
  <r>
    <x v="1"/>
    <x v="111"/>
    <x v="111"/>
    <n v="102"/>
    <s v="NEWS AND GIFTS"/>
    <s v="HASBRO"/>
    <x v="20"/>
    <n v="2"/>
  </r>
  <r>
    <x v="0"/>
    <x v="112"/>
    <x v="112"/>
    <n v="102"/>
    <s v="NEWS AND GIFTS"/>
    <s v="HASBRO"/>
    <x v="20"/>
    <n v="3"/>
  </r>
  <r>
    <x v="0"/>
    <x v="113"/>
    <x v="113"/>
    <n v="102"/>
    <s v="NEWS AND GIFTS"/>
    <s v="DIST. LEWIS"/>
    <x v="0"/>
    <n v="1"/>
  </r>
  <r>
    <x v="0"/>
    <x v="114"/>
    <x v="114"/>
    <n v="102"/>
    <s v="NEWS AND GIFTS"/>
    <s v="CRAYOLA"/>
    <x v="8"/>
    <n v="10"/>
  </r>
  <r>
    <x v="1"/>
    <x v="114"/>
    <x v="114"/>
    <n v="102"/>
    <s v="NEWS AND GIFTS"/>
    <s v="CRAYOLA"/>
    <x v="8"/>
    <n v="9"/>
  </r>
  <r>
    <x v="0"/>
    <x v="115"/>
    <x v="115"/>
    <n v="102"/>
    <s v="NEWS AND GIFTS"/>
    <s v="DIST. LEWIS"/>
    <x v="0"/>
    <n v="6"/>
  </r>
  <r>
    <x v="0"/>
    <x v="116"/>
    <x v="116"/>
    <n v="102"/>
    <s v="NEWS AND GIFTS"/>
    <s v="ENERGIZER"/>
    <x v="24"/>
    <n v="4"/>
  </r>
  <r>
    <x v="0"/>
    <x v="117"/>
    <x v="117"/>
    <n v="102"/>
    <s v="NEWS AND GIFTS"/>
    <s v="ENERGIZER"/>
    <x v="24"/>
    <n v="8"/>
  </r>
  <r>
    <x v="1"/>
    <x v="118"/>
    <x v="118"/>
    <n v="102"/>
    <s v="NEWS AND GIFTS"/>
    <s v="FOSTER"/>
    <x v="25"/>
    <n v="3"/>
  </r>
  <r>
    <x v="0"/>
    <x v="119"/>
    <x v="119"/>
    <n v="102"/>
    <s v="NEWS AND GIFTS"/>
    <s v="WELL PLUS"/>
    <x v="26"/>
    <n v="10"/>
  </r>
  <r>
    <x v="1"/>
    <x v="119"/>
    <x v="119"/>
    <n v="102"/>
    <s v="NEWS AND GIFTS"/>
    <s v="WELL PLUS"/>
    <x v="26"/>
    <n v="10"/>
  </r>
  <r>
    <x v="0"/>
    <x v="120"/>
    <x v="120"/>
    <n v="102"/>
    <s v="NEWS AND GIFTS"/>
    <s v="WELL PLUS"/>
    <x v="26"/>
    <n v="12"/>
  </r>
  <r>
    <x v="1"/>
    <x v="120"/>
    <x v="120"/>
    <n v="102"/>
    <s v="NEWS AND GIFTS"/>
    <s v="WELL PLUS"/>
    <x v="26"/>
    <n v="11"/>
  </r>
  <r>
    <x v="0"/>
    <x v="121"/>
    <x v="121"/>
    <n v="102"/>
    <s v="NEWS AND GIFTS"/>
    <s v="WELL PLUS"/>
    <x v="26"/>
    <n v="19"/>
  </r>
  <r>
    <x v="1"/>
    <x v="121"/>
    <x v="121"/>
    <n v="102"/>
    <s v="NEWS AND GIFTS"/>
    <s v="WELL PLUS"/>
    <x v="26"/>
    <n v="9"/>
  </r>
  <r>
    <x v="0"/>
    <x v="122"/>
    <x v="122"/>
    <n v="102"/>
    <s v="NEWS AND GIFTS"/>
    <s v="WELL PLUS"/>
    <x v="26"/>
    <n v="13"/>
  </r>
  <r>
    <x v="1"/>
    <x v="122"/>
    <x v="122"/>
    <n v="102"/>
    <s v="NEWS AND GIFTS"/>
    <s v="WELL PLUS"/>
    <x v="26"/>
    <n v="1"/>
  </r>
  <r>
    <x v="0"/>
    <x v="123"/>
    <x v="123"/>
    <n v="102"/>
    <s v="NEWS AND GIFTS"/>
    <s v="WELL PLUS"/>
    <x v="27"/>
    <n v="21"/>
  </r>
  <r>
    <x v="0"/>
    <x v="124"/>
    <x v="124"/>
    <n v="102"/>
    <s v="NEWS AND GIFTS"/>
    <s v="WELL PLUS"/>
    <x v="26"/>
    <n v="7"/>
  </r>
  <r>
    <x v="0"/>
    <x v="125"/>
    <x v="125"/>
    <n v="102"/>
    <s v="NEWS AND GIFTS"/>
    <s v="H. MANCHA"/>
    <x v="13"/>
    <n v="2"/>
  </r>
  <r>
    <x v="1"/>
    <x v="126"/>
    <x v="126"/>
    <n v="102"/>
    <s v="NEWS AND GIFTS"/>
    <s v="H. MANCHA"/>
    <x v="13"/>
    <n v="4"/>
  </r>
  <r>
    <x v="0"/>
    <x v="127"/>
    <x v="127"/>
    <n v="102"/>
    <s v="NEWS AND GIFTS"/>
    <s v="H. MANCHA"/>
    <x v="13"/>
    <n v="4"/>
  </r>
  <r>
    <x v="1"/>
    <x v="128"/>
    <x v="128"/>
    <n v="102"/>
    <s v="NEWS AND GIFTS"/>
    <s v="H. MANCHA"/>
    <x v="13"/>
    <n v="1"/>
  </r>
  <r>
    <x v="0"/>
    <x v="129"/>
    <x v="129"/>
    <n v="102"/>
    <s v="NEWS AND GIFTS"/>
    <s v="H. MANCHA"/>
    <x v="13"/>
    <n v="2"/>
  </r>
  <r>
    <x v="0"/>
    <x v="130"/>
    <x v="130"/>
    <n v="102"/>
    <s v="NEWS AND GIFTS"/>
    <s v="H. MANCHA"/>
    <x v="13"/>
    <n v="1"/>
  </r>
  <r>
    <x v="1"/>
    <x v="131"/>
    <x v="131"/>
    <n v="102"/>
    <s v="NEWS AND GIFTS"/>
    <s v="H. MANCHA"/>
    <x v="13"/>
    <n v="1"/>
  </r>
  <r>
    <x v="1"/>
    <x v="132"/>
    <x v="132"/>
    <n v="102"/>
    <s v="NEWS AND GIFTS"/>
    <s v="H. MANCHA"/>
    <x v="13"/>
    <n v="1"/>
  </r>
  <r>
    <x v="0"/>
    <x v="133"/>
    <x v="133"/>
    <n v="102"/>
    <s v="NEWS AND GIFTS"/>
    <s v="H. MANCHA"/>
    <x v="13"/>
    <n v="3"/>
  </r>
  <r>
    <x v="1"/>
    <x v="133"/>
    <x v="133"/>
    <n v="102"/>
    <s v="NEWS AND GIFTS"/>
    <s v="H. MANCHA"/>
    <x v="13"/>
    <n v="2"/>
  </r>
  <r>
    <x v="0"/>
    <x v="134"/>
    <x v="134"/>
    <n v="102"/>
    <s v="NEWS AND GIFTS"/>
    <s v="H. MANCHA"/>
    <x v="13"/>
    <n v="3"/>
  </r>
  <r>
    <x v="1"/>
    <x v="134"/>
    <x v="134"/>
    <n v="102"/>
    <s v="NEWS AND GIFTS"/>
    <s v="H. MANCHA"/>
    <x v="13"/>
    <n v="2"/>
  </r>
  <r>
    <x v="0"/>
    <x v="135"/>
    <x v="135"/>
    <n v="102"/>
    <s v="NEWS AND GIFTS"/>
    <s v="H. MANCHA"/>
    <x v="13"/>
    <n v="2"/>
  </r>
  <r>
    <x v="1"/>
    <x v="135"/>
    <x v="135"/>
    <n v="102"/>
    <s v="NEWS AND GIFTS"/>
    <s v="H. MANCHA"/>
    <x v="13"/>
    <n v="2"/>
  </r>
  <r>
    <x v="0"/>
    <x v="136"/>
    <x v="136"/>
    <n v="102"/>
    <s v="NEWS AND GIFTS"/>
    <s v="H. MANCHA"/>
    <x v="13"/>
    <n v="1"/>
  </r>
  <r>
    <x v="0"/>
    <x v="137"/>
    <x v="137"/>
    <n v="102"/>
    <s v="NEWS AND GIFTS"/>
    <s v="H. MANCHA"/>
    <x v="13"/>
    <n v="4"/>
  </r>
  <r>
    <x v="0"/>
    <x v="138"/>
    <x v="138"/>
    <n v="102"/>
    <s v="NEWS AND GIFTS"/>
    <s v="H. MANCHA"/>
    <x v="13"/>
    <n v="1"/>
  </r>
  <r>
    <x v="1"/>
    <x v="138"/>
    <x v="138"/>
    <n v="102"/>
    <s v="NEWS AND GIFTS"/>
    <s v="H. MANCHA"/>
    <x v="13"/>
    <n v="1"/>
  </r>
  <r>
    <x v="0"/>
    <x v="139"/>
    <x v="139"/>
    <n v="102"/>
    <s v="NEWS AND GIFTS"/>
    <s v="H. MANCHA"/>
    <x v="13"/>
    <n v="2"/>
  </r>
  <r>
    <x v="0"/>
    <x v="140"/>
    <x v="140"/>
    <n v="102"/>
    <s v="NEWS AND GIFTS"/>
    <s v="H. MANCHA"/>
    <x v="13"/>
    <n v="1"/>
  </r>
  <r>
    <x v="1"/>
    <x v="140"/>
    <x v="140"/>
    <n v="102"/>
    <s v="NEWS AND GIFTS"/>
    <s v="H. MANCHA"/>
    <x v="13"/>
    <n v="1"/>
  </r>
  <r>
    <x v="0"/>
    <x v="141"/>
    <x v="141"/>
    <n v="102"/>
    <s v="NEWS AND GIFTS"/>
    <s v="H. MANCHA"/>
    <x v="13"/>
    <n v="6"/>
  </r>
  <r>
    <x v="1"/>
    <x v="141"/>
    <x v="141"/>
    <n v="102"/>
    <s v="NEWS AND GIFTS"/>
    <s v="H. MANCHA"/>
    <x v="13"/>
    <n v="4"/>
  </r>
  <r>
    <x v="0"/>
    <x v="142"/>
    <x v="142"/>
    <n v="102"/>
    <s v="NEWS AND GIFTS"/>
    <s v="H. MANCHA"/>
    <x v="13"/>
    <n v="1"/>
  </r>
  <r>
    <x v="1"/>
    <x v="142"/>
    <x v="142"/>
    <n v="102"/>
    <s v="NEWS AND GIFTS"/>
    <s v="H. MANCHA"/>
    <x v="13"/>
    <n v="1"/>
  </r>
  <r>
    <x v="0"/>
    <x v="143"/>
    <x v="143"/>
    <n v="102"/>
    <s v="NEWS AND GIFTS"/>
    <s v="H. MANCHA"/>
    <x v="13"/>
    <n v="1"/>
  </r>
  <r>
    <x v="0"/>
    <x v="144"/>
    <x v="144"/>
    <n v="102"/>
    <s v="NEWS AND GIFTS"/>
    <s v="TY"/>
    <x v="28"/>
    <n v="1"/>
  </r>
  <r>
    <x v="1"/>
    <x v="144"/>
    <x v="144"/>
    <n v="102"/>
    <s v="NEWS AND GIFTS"/>
    <s v="TY"/>
    <x v="28"/>
    <n v="2"/>
  </r>
  <r>
    <x v="0"/>
    <x v="145"/>
    <x v="145"/>
    <n v="102"/>
    <s v="NEWS AND GIFTS"/>
    <s v="BOING TOYS"/>
    <x v="20"/>
    <n v="1"/>
  </r>
  <r>
    <x v="1"/>
    <x v="146"/>
    <x v="146"/>
    <n v="102"/>
    <s v="NEWS AND GIFTS"/>
    <s v="BOING TOYS"/>
    <x v="20"/>
    <n v="1"/>
  </r>
  <r>
    <x v="0"/>
    <x v="147"/>
    <x v="147"/>
    <n v="102"/>
    <s v="NEWS AND GIFTS"/>
    <s v="DIST. LEWIS"/>
    <x v="0"/>
    <n v="14"/>
  </r>
  <r>
    <x v="1"/>
    <x v="147"/>
    <x v="147"/>
    <n v="102"/>
    <s v="NEWS AND GIFTS"/>
    <s v="DIST. LEWIS"/>
    <x v="0"/>
    <n v="4"/>
  </r>
  <r>
    <x v="0"/>
    <x v="148"/>
    <x v="148"/>
    <n v="102"/>
    <s v="NEWS AND GIFTS"/>
    <s v="ANDRO"/>
    <x v="13"/>
    <n v="6"/>
  </r>
  <r>
    <x v="1"/>
    <x v="149"/>
    <x v="149"/>
    <n v="102"/>
    <s v="NEWS AND GIFTS"/>
    <s v="SUN BUM"/>
    <x v="29"/>
    <n v="1"/>
  </r>
  <r>
    <x v="1"/>
    <x v="150"/>
    <x v="150"/>
    <n v="102"/>
    <s v="NEWS AND GIFTS"/>
    <s v="SUN BUM"/>
    <x v="29"/>
    <n v="1"/>
  </r>
  <r>
    <x v="1"/>
    <x v="151"/>
    <x v="151"/>
    <n v="102"/>
    <s v="NEWS AND GIFTS"/>
    <s v="SUN BUM"/>
    <x v="29"/>
    <n v="1"/>
  </r>
  <r>
    <x v="0"/>
    <x v="152"/>
    <x v="152"/>
    <n v="102"/>
    <s v="NEWS AND GIFTS"/>
    <s v="SUN BUM"/>
    <x v="30"/>
    <n v="4"/>
  </r>
  <r>
    <x v="1"/>
    <x v="152"/>
    <x v="152"/>
    <n v="102"/>
    <s v="NEWS AND GIFTS"/>
    <s v="SUN BUM"/>
    <x v="30"/>
    <n v="2"/>
  </r>
  <r>
    <x v="1"/>
    <x v="153"/>
    <x v="153"/>
    <n v="102"/>
    <s v="NEWS AND GIFTS"/>
    <s v="SUN BUM"/>
    <x v="30"/>
    <n v="1"/>
  </r>
  <r>
    <x v="0"/>
    <x v="154"/>
    <x v="154"/>
    <n v="102"/>
    <s v="NEWS AND GIFTS"/>
    <s v="SUN BUM"/>
    <x v="30"/>
    <n v="4"/>
  </r>
  <r>
    <x v="1"/>
    <x v="155"/>
    <x v="155"/>
    <n v="102"/>
    <s v="NEWS AND GIFTS"/>
    <s v="SUN BUM"/>
    <x v="30"/>
    <n v="1"/>
  </r>
  <r>
    <x v="0"/>
    <x v="156"/>
    <x v="156"/>
    <n v="102"/>
    <s v="NEWS AND GIFTS"/>
    <s v="SUN BUM"/>
    <x v="29"/>
    <n v="1"/>
  </r>
  <r>
    <x v="1"/>
    <x v="156"/>
    <x v="156"/>
    <n v="102"/>
    <s v="NEWS AND GIFTS"/>
    <s v="SUN BUM"/>
    <x v="29"/>
    <n v="1"/>
  </r>
  <r>
    <x v="0"/>
    <x v="157"/>
    <x v="157"/>
    <n v="102"/>
    <s v="NEWS AND GIFTS"/>
    <s v="SUN BUM"/>
    <x v="29"/>
    <n v="2"/>
  </r>
  <r>
    <x v="0"/>
    <x v="158"/>
    <x v="158"/>
    <n v="102"/>
    <s v="NEWS AND GIFTS"/>
    <s v="SUN BUM"/>
    <x v="29"/>
    <n v="3"/>
  </r>
  <r>
    <x v="1"/>
    <x v="158"/>
    <x v="158"/>
    <n v="102"/>
    <s v="NEWS AND GIFTS"/>
    <s v="SUN BUM"/>
    <x v="29"/>
    <n v="1"/>
  </r>
  <r>
    <x v="0"/>
    <x v="159"/>
    <x v="159"/>
    <n v="102"/>
    <s v="NEWS AND GIFTS"/>
    <s v="SUN BUM"/>
    <x v="29"/>
    <n v="18"/>
  </r>
  <r>
    <x v="1"/>
    <x v="159"/>
    <x v="159"/>
    <n v="102"/>
    <s v="NEWS AND GIFTS"/>
    <s v="SUN BUM"/>
    <x v="29"/>
    <n v="17"/>
  </r>
  <r>
    <x v="0"/>
    <x v="160"/>
    <x v="160"/>
    <n v="102"/>
    <s v="NEWS AND GIFTS"/>
    <s v="SUN BUM"/>
    <x v="29"/>
    <n v="1"/>
  </r>
  <r>
    <x v="1"/>
    <x v="160"/>
    <x v="160"/>
    <n v="102"/>
    <s v="NEWS AND GIFTS"/>
    <s v="SUN BUM"/>
    <x v="29"/>
    <n v="14"/>
  </r>
  <r>
    <x v="0"/>
    <x v="161"/>
    <x v="161"/>
    <n v="102"/>
    <s v="NEWS AND GIFTS"/>
    <s v="SUN BUM"/>
    <x v="29"/>
    <n v="5"/>
  </r>
  <r>
    <x v="1"/>
    <x v="161"/>
    <x v="161"/>
    <n v="102"/>
    <s v="NEWS AND GIFTS"/>
    <s v="SUN BUM"/>
    <x v="29"/>
    <n v="1"/>
  </r>
  <r>
    <x v="0"/>
    <x v="162"/>
    <x v="162"/>
    <n v="102"/>
    <s v="NEWS AND GIFTS"/>
    <s v="SUN BUM"/>
    <x v="29"/>
    <n v="1"/>
  </r>
  <r>
    <x v="1"/>
    <x v="162"/>
    <x v="162"/>
    <n v="102"/>
    <s v="NEWS AND GIFTS"/>
    <s v="SUN BUM"/>
    <x v="29"/>
    <n v="5"/>
  </r>
  <r>
    <x v="0"/>
    <x v="163"/>
    <x v="163"/>
    <n v="102"/>
    <s v="NEWS AND GIFTS"/>
    <s v="SUN BUM"/>
    <x v="29"/>
    <n v="1"/>
  </r>
  <r>
    <x v="1"/>
    <x v="163"/>
    <x v="163"/>
    <n v="102"/>
    <s v="NEWS AND GIFTS"/>
    <s v="SUN BUM"/>
    <x v="29"/>
    <n v="2"/>
  </r>
  <r>
    <x v="0"/>
    <x v="164"/>
    <x v="164"/>
    <n v="102"/>
    <s v="NEWS AND GIFTS"/>
    <s v="SUN BUM"/>
    <x v="29"/>
    <n v="2"/>
  </r>
  <r>
    <x v="0"/>
    <x v="165"/>
    <x v="165"/>
    <n v="102"/>
    <s v="NEWS AND GIFTS"/>
    <s v="SUN BUM"/>
    <x v="31"/>
    <n v="1"/>
  </r>
  <r>
    <x v="1"/>
    <x v="165"/>
    <x v="165"/>
    <n v="102"/>
    <s v="NEWS AND GIFTS"/>
    <s v="SUN BUM"/>
    <x v="31"/>
    <n v="3"/>
  </r>
  <r>
    <x v="0"/>
    <x v="166"/>
    <x v="166"/>
    <n v="102"/>
    <s v="NEWS AND GIFTS"/>
    <s v="SUN BUM"/>
    <x v="32"/>
    <n v="3"/>
  </r>
  <r>
    <x v="1"/>
    <x v="167"/>
    <x v="167"/>
    <n v="102"/>
    <s v="NEWS AND GIFTS"/>
    <s v="SUN BUM"/>
    <x v="31"/>
    <n v="2"/>
  </r>
  <r>
    <x v="0"/>
    <x v="168"/>
    <x v="168"/>
    <n v="102"/>
    <s v="NEWS AND GIFTS"/>
    <s v="CRAYOLA"/>
    <x v="33"/>
    <n v="1"/>
  </r>
  <r>
    <x v="0"/>
    <x v="169"/>
    <x v="169"/>
    <n v="102"/>
    <s v="NEWS AND GIFTS"/>
    <s v="PANADOL"/>
    <x v="23"/>
    <n v="6"/>
  </r>
  <r>
    <x v="1"/>
    <x v="169"/>
    <x v="169"/>
    <n v="102"/>
    <s v="NEWS AND GIFTS"/>
    <s v="PANADOL"/>
    <x v="23"/>
    <n v="11"/>
  </r>
  <r>
    <x v="0"/>
    <x v="170"/>
    <x v="170"/>
    <n v="102"/>
    <s v="NEWS AND GIFTS"/>
    <s v="PANADOL"/>
    <x v="23"/>
    <n v="15"/>
  </r>
  <r>
    <x v="1"/>
    <x v="170"/>
    <x v="170"/>
    <n v="102"/>
    <s v="NEWS AND GIFTS"/>
    <s v="PANADOL"/>
    <x v="23"/>
    <n v="27"/>
  </r>
  <r>
    <x v="0"/>
    <x v="171"/>
    <x v="171"/>
    <n v="102"/>
    <s v="NEWS AND GIFTS"/>
    <s v="PANADOL"/>
    <x v="23"/>
    <n v="1"/>
  </r>
  <r>
    <x v="0"/>
    <x v="172"/>
    <x v="172"/>
    <n v="102"/>
    <s v="NEWS AND GIFTS"/>
    <s v="ALKA SELTZER"/>
    <x v="23"/>
    <n v="19"/>
  </r>
  <r>
    <x v="1"/>
    <x v="172"/>
    <x v="172"/>
    <n v="102"/>
    <s v="NEWS AND GIFTS"/>
    <s v="ALKA SELTZER"/>
    <x v="23"/>
    <n v="13"/>
  </r>
  <r>
    <x v="0"/>
    <x v="173"/>
    <x v="173"/>
    <n v="102"/>
    <s v="NEWS AND GIFTS"/>
    <s v="TYLENOL"/>
    <x v="23"/>
    <n v="9"/>
  </r>
  <r>
    <x v="1"/>
    <x v="173"/>
    <x v="173"/>
    <n v="102"/>
    <s v="NEWS AND GIFTS"/>
    <s v="TYLENOL"/>
    <x v="23"/>
    <n v="16"/>
  </r>
  <r>
    <x v="0"/>
    <x v="174"/>
    <x v="174"/>
    <n v="102"/>
    <s v="NEWS AND GIFTS"/>
    <s v="VICK"/>
    <x v="23"/>
    <n v="10"/>
  </r>
  <r>
    <x v="1"/>
    <x v="174"/>
    <x v="174"/>
    <n v="102"/>
    <s v="NEWS AND GIFTS"/>
    <s v="VICK"/>
    <x v="23"/>
    <n v="13"/>
  </r>
  <r>
    <x v="0"/>
    <x v="175"/>
    <x v="175"/>
    <n v="102"/>
    <s v="NEWS AND GIFTS"/>
    <s v="H. MANCHA"/>
    <x v="13"/>
    <n v="2"/>
  </r>
  <r>
    <x v="1"/>
    <x v="175"/>
    <x v="175"/>
    <n v="102"/>
    <s v="NEWS AND GIFTS"/>
    <s v="H. MANCHA"/>
    <x v="13"/>
    <n v="3"/>
  </r>
  <r>
    <x v="0"/>
    <x v="176"/>
    <x v="176"/>
    <n v="102"/>
    <s v="NEWS AND GIFTS"/>
    <s v="H. MANCHA"/>
    <x v="13"/>
    <n v="1"/>
  </r>
  <r>
    <x v="1"/>
    <x v="176"/>
    <x v="176"/>
    <n v="102"/>
    <s v="NEWS AND GIFTS"/>
    <s v="H. MANCHA"/>
    <x v="13"/>
    <n v="1"/>
  </r>
  <r>
    <x v="0"/>
    <x v="177"/>
    <x v="177"/>
    <n v="102"/>
    <s v="NEWS AND GIFTS"/>
    <s v="H. MANCHA"/>
    <x v="13"/>
    <n v="3"/>
  </r>
  <r>
    <x v="1"/>
    <x v="177"/>
    <x v="177"/>
    <n v="102"/>
    <s v="NEWS AND GIFTS"/>
    <s v="H. MANCHA"/>
    <x v="13"/>
    <n v="5"/>
  </r>
  <r>
    <x v="1"/>
    <x v="178"/>
    <x v="178"/>
    <n v="102"/>
    <s v="NEWS AND GIFTS"/>
    <s v="H. MANCHA"/>
    <x v="13"/>
    <n v="1"/>
  </r>
  <r>
    <x v="1"/>
    <x v="179"/>
    <x v="179"/>
    <n v="102"/>
    <s v="NEWS AND GIFTS"/>
    <s v="H. MANCHA"/>
    <x v="13"/>
    <n v="1"/>
  </r>
  <r>
    <x v="1"/>
    <x v="180"/>
    <x v="180"/>
    <n v="102"/>
    <s v="NEWS AND GIFTS"/>
    <s v="H. MANCHA"/>
    <x v="13"/>
    <n v="1"/>
  </r>
  <r>
    <x v="0"/>
    <x v="181"/>
    <x v="181"/>
    <n v="102"/>
    <s v="NEWS AND GIFTS"/>
    <s v="H. MANCHA"/>
    <x v="13"/>
    <n v="1"/>
  </r>
  <r>
    <x v="1"/>
    <x v="181"/>
    <x v="181"/>
    <n v="102"/>
    <s v="NEWS AND GIFTS"/>
    <s v="H. MANCHA"/>
    <x v="13"/>
    <n v="2"/>
  </r>
  <r>
    <x v="0"/>
    <x v="182"/>
    <x v="182"/>
    <n v="102"/>
    <s v="NEWS AND GIFTS"/>
    <s v="H. MANCHA"/>
    <x v="13"/>
    <n v="1"/>
  </r>
  <r>
    <x v="1"/>
    <x v="183"/>
    <x v="183"/>
    <n v="102"/>
    <s v="NEWS AND GIFTS"/>
    <s v="H. MANCHA"/>
    <x v="13"/>
    <n v="1"/>
  </r>
  <r>
    <x v="0"/>
    <x v="184"/>
    <x v="184"/>
    <n v="102"/>
    <s v="NEWS AND GIFTS"/>
    <s v="H. MANCHA"/>
    <x v="13"/>
    <n v="1"/>
  </r>
  <r>
    <x v="0"/>
    <x v="185"/>
    <x v="185"/>
    <n v="102"/>
    <s v="NEWS AND GIFTS"/>
    <s v="H. MANCHA"/>
    <x v="13"/>
    <n v="1"/>
  </r>
  <r>
    <x v="1"/>
    <x v="185"/>
    <x v="185"/>
    <n v="102"/>
    <s v="NEWS AND GIFTS"/>
    <s v="H. MANCHA"/>
    <x v="13"/>
    <n v="2"/>
  </r>
  <r>
    <x v="1"/>
    <x v="186"/>
    <x v="186"/>
    <n v="102"/>
    <s v="NEWS AND GIFTS"/>
    <s v="H. MANCHA"/>
    <x v="13"/>
    <n v="1"/>
  </r>
  <r>
    <x v="1"/>
    <x v="187"/>
    <x v="187"/>
    <n v="102"/>
    <s v="NEWS AND GIFTS"/>
    <s v="H. MANCHA"/>
    <x v="13"/>
    <n v="1"/>
  </r>
  <r>
    <x v="1"/>
    <x v="188"/>
    <x v="188"/>
    <n v="102"/>
    <s v="NEWS AND GIFTS"/>
    <s v="H. MANCHA"/>
    <x v="13"/>
    <n v="1"/>
  </r>
  <r>
    <x v="1"/>
    <x v="189"/>
    <x v="189"/>
    <n v="102"/>
    <s v="NEWS AND GIFTS"/>
    <s v="H. MANCHA"/>
    <x v="13"/>
    <n v="2"/>
  </r>
  <r>
    <x v="1"/>
    <x v="190"/>
    <x v="190"/>
    <n v="102"/>
    <s v="NEWS AND GIFTS"/>
    <s v="H. MANCHA"/>
    <x v="13"/>
    <n v="1"/>
  </r>
  <r>
    <x v="0"/>
    <x v="191"/>
    <x v="191"/>
    <n v="102"/>
    <s v="NEWS AND GIFTS"/>
    <s v="H. MANCHA"/>
    <x v="13"/>
    <n v="1"/>
  </r>
  <r>
    <x v="0"/>
    <x v="192"/>
    <x v="192"/>
    <n v="102"/>
    <s v="NEWS AND GIFTS"/>
    <s v="H. MANCHA"/>
    <x v="13"/>
    <n v="2"/>
  </r>
  <r>
    <x v="1"/>
    <x v="192"/>
    <x v="192"/>
    <n v="102"/>
    <s v="NEWS AND GIFTS"/>
    <s v="H. MANCHA"/>
    <x v="13"/>
    <n v="1"/>
  </r>
  <r>
    <x v="0"/>
    <x v="193"/>
    <x v="193"/>
    <n v="102"/>
    <s v="NEWS AND GIFTS"/>
    <s v="H. MANCHA"/>
    <x v="13"/>
    <n v="1"/>
  </r>
  <r>
    <x v="1"/>
    <x v="193"/>
    <x v="193"/>
    <n v="102"/>
    <s v="NEWS AND GIFTS"/>
    <s v="H. MANCHA"/>
    <x v="13"/>
    <n v="2"/>
  </r>
  <r>
    <x v="0"/>
    <x v="194"/>
    <x v="194"/>
    <n v="102"/>
    <s v="NEWS AND GIFTS"/>
    <s v="H. MANCHA"/>
    <x v="13"/>
    <n v="1"/>
  </r>
  <r>
    <x v="1"/>
    <x v="194"/>
    <x v="194"/>
    <n v="102"/>
    <s v="NEWS AND GIFTS"/>
    <s v="H. MANCHA"/>
    <x v="13"/>
    <n v="3"/>
  </r>
  <r>
    <x v="0"/>
    <x v="195"/>
    <x v="195"/>
    <n v="102"/>
    <s v="NEWS AND GIFTS"/>
    <s v="H. MANCHA"/>
    <x v="13"/>
    <n v="4"/>
  </r>
  <r>
    <x v="0"/>
    <x v="196"/>
    <x v="196"/>
    <n v="102"/>
    <s v="NEWS AND GIFTS"/>
    <s v="H. MANCHA"/>
    <x v="13"/>
    <n v="1"/>
  </r>
  <r>
    <x v="0"/>
    <x v="197"/>
    <x v="197"/>
    <n v="102"/>
    <s v="NEWS AND GIFTS"/>
    <s v="CLEAN AND CLEAR"/>
    <x v="34"/>
    <n v="26"/>
  </r>
  <r>
    <x v="1"/>
    <x v="197"/>
    <x v="197"/>
    <n v="102"/>
    <s v="NEWS AND GIFTS"/>
    <s v="CLEAN AND CLEAR"/>
    <x v="34"/>
    <n v="12"/>
  </r>
  <r>
    <x v="0"/>
    <x v="198"/>
    <x v="198"/>
    <n v="102"/>
    <s v="NEWS AND GIFTS"/>
    <s v="COTTON BUDS"/>
    <x v="35"/>
    <n v="18"/>
  </r>
  <r>
    <x v="1"/>
    <x v="198"/>
    <x v="198"/>
    <n v="102"/>
    <s v="NEWS AND GIFTS"/>
    <s v="COTTON BUDS"/>
    <x v="35"/>
    <n v="13"/>
  </r>
  <r>
    <x v="0"/>
    <x v="199"/>
    <x v="199"/>
    <n v="102"/>
    <s v="NEWS AND GIFTS"/>
    <s v="CREST"/>
    <x v="15"/>
    <n v="2"/>
  </r>
  <r>
    <x v="0"/>
    <x v="200"/>
    <x v="200"/>
    <n v="102"/>
    <s v="NEWS AND GIFTS"/>
    <s v="DOVE"/>
    <x v="16"/>
    <n v="2"/>
  </r>
  <r>
    <x v="0"/>
    <x v="201"/>
    <x v="201"/>
    <n v="102"/>
    <s v="NEWS AND GIFTS"/>
    <s v="HERBAL ESSENCES"/>
    <x v="36"/>
    <n v="54"/>
  </r>
  <r>
    <x v="1"/>
    <x v="201"/>
    <x v="201"/>
    <n v="102"/>
    <s v="NEWS AND GIFTS"/>
    <s v="HERBAL ESSENCES"/>
    <x v="36"/>
    <n v="76"/>
  </r>
  <r>
    <x v="0"/>
    <x v="202"/>
    <x v="202"/>
    <n v="102"/>
    <s v="NEWS AND GIFTS"/>
    <s v="HERBAL ESSENCES"/>
    <x v="37"/>
    <n v="38"/>
  </r>
  <r>
    <x v="1"/>
    <x v="202"/>
    <x v="202"/>
    <n v="102"/>
    <s v="NEWS AND GIFTS"/>
    <s v="HERBAL ESSENCES"/>
    <x v="37"/>
    <n v="34"/>
  </r>
  <r>
    <x v="0"/>
    <x v="203"/>
    <x v="203"/>
    <n v="102"/>
    <s v="NEWS AND GIFTS"/>
    <s v="JOHNSON&amp;#39;S"/>
    <x v="34"/>
    <n v="51"/>
  </r>
  <r>
    <x v="1"/>
    <x v="203"/>
    <x v="203"/>
    <n v="102"/>
    <s v="NEWS AND GIFTS"/>
    <s v="JOHNSON&amp;#39;S"/>
    <x v="34"/>
    <n v="39"/>
  </r>
  <r>
    <x v="0"/>
    <x v="204"/>
    <x v="204"/>
    <n v="102"/>
    <s v="NEWS AND GIFTS"/>
    <s v="JOHNSON&amp;#39;S"/>
    <x v="38"/>
    <n v="33"/>
  </r>
  <r>
    <x v="1"/>
    <x v="204"/>
    <x v="204"/>
    <n v="102"/>
    <s v="NEWS AND GIFTS"/>
    <s v="JOHNSON&amp;#39;S"/>
    <x v="38"/>
    <n v="40"/>
  </r>
  <r>
    <x v="0"/>
    <x v="205"/>
    <x v="205"/>
    <n v="102"/>
    <s v="NEWS AND GIFTS"/>
    <s v="JOHNSON&amp;#39;S"/>
    <x v="37"/>
    <n v="14"/>
  </r>
  <r>
    <x v="1"/>
    <x v="205"/>
    <x v="205"/>
    <n v="102"/>
    <s v="NEWS AND GIFTS"/>
    <s v="JOHNSON&amp;#39;S"/>
    <x v="37"/>
    <n v="65"/>
  </r>
  <r>
    <x v="0"/>
    <x v="206"/>
    <x v="206"/>
    <n v="102"/>
    <s v="NEWS AND GIFTS"/>
    <s v="JOHNSON&amp;#39;S"/>
    <x v="39"/>
    <n v="1"/>
  </r>
  <r>
    <x v="1"/>
    <x v="206"/>
    <x v="206"/>
    <n v="102"/>
    <s v="NEWS AND GIFTS"/>
    <s v="JOHNSON&amp;#39;S"/>
    <x v="39"/>
    <n v="5"/>
  </r>
  <r>
    <x v="0"/>
    <x v="207"/>
    <x v="207"/>
    <n v="102"/>
    <s v="NEWS AND GIFTS"/>
    <s v="LADY SPEED STICK"/>
    <x v="16"/>
    <n v="3"/>
  </r>
  <r>
    <x v="1"/>
    <x v="207"/>
    <x v="207"/>
    <n v="102"/>
    <s v="NEWS AND GIFTS"/>
    <s v="LADY SPEED STICK"/>
    <x v="16"/>
    <n v="1"/>
  </r>
  <r>
    <x v="0"/>
    <x v="208"/>
    <x v="208"/>
    <n v="102"/>
    <s v="NEWS AND GIFTS"/>
    <s v="LUBRIDERM"/>
    <x v="34"/>
    <n v="24"/>
  </r>
  <r>
    <x v="1"/>
    <x v="208"/>
    <x v="208"/>
    <n v="102"/>
    <s v="NEWS AND GIFTS"/>
    <s v="LUBRIDERM"/>
    <x v="34"/>
    <n v="25"/>
  </r>
  <r>
    <x v="0"/>
    <x v="209"/>
    <x v="209"/>
    <n v="102"/>
    <s v="NEWS AND GIFTS"/>
    <s v="PURELL"/>
    <x v="40"/>
    <n v="24"/>
  </r>
  <r>
    <x v="1"/>
    <x v="209"/>
    <x v="209"/>
    <n v="102"/>
    <s v="NEWS AND GIFTS"/>
    <s v="PURELL"/>
    <x v="40"/>
    <n v="31"/>
  </r>
  <r>
    <x v="0"/>
    <x v="210"/>
    <x v="210"/>
    <n v="102"/>
    <s v="NEWS AND GIFTS"/>
    <s v="PURELL"/>
    <x v="40"/>
    <n v="5"/>
  </r>
  <r>
    <x v="1"/>
    <x v="210"/>
    <x v="210"/>
    <n v="102"/>
    <s v="NEWS AND GIFTS"/>
    <s v="PURELL"/>
    <x v="40"/>
    <n v="15"/>
  </r>
  <r>
    <x v="0"/>
    <x v="211"/>
    <x v="211"/>
    <n v="102"/>
    <s v="NEWS AND GIFTS"/>
    <s v="PURELL"/>
    <x v="40"/>
    <n v="1"/>
  </r>
  <r>
    <x v="0"/>
    <x v="212"/>
    <x v="212"/>
    <n v="102"/>
    <s v="NEWS AND GIFTS"/>
    <s v="REACH"/>
    <x v="22"/>
    <n v="1"/>
  </r>
  <r>
    <x v="0"/>
    <x v="213"/>
    <x v="213"/>
    <n v="102"/>
    <s v="NEWS AND GIFTS"/>
    <s v="SECRET"/>
    <x v="16"/>
    <n v="1"/>
  </r>
  <r>
    <x v="1"/>
    <x v="213"/>
    <x v="213"/>
    <n v="102"/>
    <s v="NEWS AND GIFTS"/>
    <s v="SECRET"/>
    <x v="16"/>
    <n v="1"/>
  </r>
  <r>
    <x v="0"/>
    <x v="214"/>
    <x v="214"/>
    <n v="102"/>
    <s v="NEWS AND GIFTS"/>
    <s v="TRAVEL KIT"/>
    <x v="41"/>
    <n v="1"/>
  </r>
  <r>
    <x v="1"/>
    <x v="214"/>
    <x v="214"/>
    <n v="102"/>
    <s v="NEWS AND GIFTS"/>
    <s v="TRAVEL KIT"/>
    <x v="41"/>
    <n v="1"/>
  </r>
  <r>
    <x v="0"/>
    <x v="215"/>
    <x v="215"/>
    <n v="102"/>
    <s v="NEWS AND GIFTS"/>
    <s v="H. MANCHA"/>
    <x v="13"/>
    <n v="1"/>
  </r>
  <r>
    <x v="0"/>
    <x v="216"/>
    <x v="216"/>
    <n v="102"/>
    <s v="NEWS AND GIFTS"/>
    <s v="H. MANCHA"/>
    <x v="13"/>
    <n v="2"/>
  </r>
  <r>
    <x v="1"/>
    <x v="216"/>
    <x v="216"/>
    <n v="102"/>
    <s v="NEWS AND GIFTS"/>
    <s v="H. MANCHA"/>
    <x v="13"/>
    <n v="1"/>
  </r>
  <r>
    <x v="0"/>
    <x v="217"/>
    <x v="217"/>
    <n v="102"/>
    <s v="NEWS AND GIFTS"/>
    <s v="H. MANCHA"/>
    <x v="13"/>
    <n v="3"/>
  </r>
  <r>
    <x v="1"/>
    <x v="217"/>
    <x v="217"/>
    <n v="102"/>
    <s v="NEWS AND GIFTS"/>
    <s v="H. MANCHA"/>
    <x v="13"/>
    <n v="2"/>
  </r>
  <r>
    <x v="0"/>
    <x v="218"/>
    <x v="218"/>
    <n v="102"/>
    <s v="NEWS AND GIFTS"/>
    <s v="H. MANCHA"/>
    <x v="13"/>
    <n v="1"/>
  </r>
  <r>
    <x v="1"/>
    <x v="218"/>
    <x v="218"/>
    <n v="102"/>
    <s v="NEWS AND GIFTS"/>
    <s v="H. MANCHA"/>
    <x v="13"/>
    <n v="1"/>
  </r>
  <r>
    <x v="0"/>
    <x v="219"/>
    <x v="219"/>
    <n v="102"/>
    <s v="NEWS AND GIFTS"/>
    <s v="H. MANCHA"/>
    <x v="13"/>
    <n v="4"/>
  </r>
  <r>
    <x v="1"/>
    <x v="219"/>
    <x v="219"/>
    <n v="102"/>
    <s v="NEWS AND GIFTS"/>
    <s v="H. MANCHA"/>
    <x v="13"/>
    <n v="1"/>
  </r>
  <r>
    <x v="0"/>
    <x v="220"/>
    <x v="220"/>
    <n v="102"/>
    <s v="NEWS AND GIFTS"/>
    <s v="H. MANCHA"/>
    <x v="13"/>
    <n v="3"/>
  </r>
  <r>
    <x v="0"/>
    <x v="221"/>
    <x v="221"/>
    <n v="102"/>
    <s v="NEWS AND GIFTS"/>
    <s v="H. MANCHA"/>
    <x v="13"/>
    <n v="1"/>
  </r>
  <r>
    <x v="1"/>
    <x v="221"/>
    <x v="221"/>
    <n v="102"/>
    <s v="NEWS AND GIFTS"/>
    <s v="H. MANCHA"/>
    <x v="13"/>
    <n v="3"/>
  </r>
  <r>
    <x v="0"/>
    <x v="222"/>
    <x v="222"/>
    <n v="102"/>
    <s v="NEWS AND GIFTS"/>
    <s v="H. MANCHA"/>
    <x v="13"/>
    <n v="2"/>
  </r>
  <r>
    <x v="1"/>
    <x v="222"/>
    <x v="222"/>
    <n v="102"/>
    <s v="NEWS AND GIFTS"/>
    <s v="H. MANCHA"/>
    <x v="13"/>
    <n v="2"/>
  </r>
  <r>
    <x v="0"/>
    <x v="223"/>
    <x v="223"/>
    <n v="102"/>
    <s v="NEWS AND GIFTS"/>
    <s v="H. MANCHA"/>
    <x v="13"/>
    <n v="3"/>
  </r>
  <r>
    <x v="1"/>
    <x v="223"/>
    <x v="223"/>
    <n v="102"/>
    <s v="NEWS AND GIFTS"/>
    <s v="H. MANCHA"/>
    <x v="13"/>
    <n v="2"/>
  </r>
  <r>
    <x v="0"/>
    <x v="224"/>
    <x v="224"/>
    <n v="102"/>
    <s v="NEWS AND GIFTS"/>
    <s v="H. MANCHA"/>
    <x v="13"/>
    <n v="2"/>
  </r>
  <r>
    <x v="0"/>
    <x v="225"/>
    <x v="225"/>
    <n v="102"/>
    <s v="NEWS AND GIFTS"/>
    <s v="H. MANCHA"/>
    <x v="13"/>
    <n v="2"/>
  </r>
  <r>
    <x v="1"/>
    <x v="225"/>
    <x v="225"/>
    <n v="102"/>
    <s v="NEWS AND GIFTS"/>
    <s v="H. MANCHA"/>
    <x v="13"/>
    <n v="3"/>
  </r>
  <r>
    <x v="0"/>
    <x v="226"/>
    <x v="226"/>
    <n v="102"/>
    <s v="NEWS AND GIFTS"/>
    <s v="H. MANCHA"/>
    <x v="13"/>
    <n v="2"/>
  </r>
  <r>
    <x v="1"/>
    <x v="226"/>
    <x v="226"/>
    <n v="102"/>
    <s v="NEWS AND GIFTS"/>
    <s v="H. MANCHA"/>
    <x v="13"/>
    <n v="3"/>
  </r>
  <r>
    <x v="0"/>
    <x v="227"/>
    <x v="227"/>
    <n v="102"/>
    <s v="NEWS AND GIFTS"/>
    <s v="H. MANCHA"/>
    <x v="13"/>
    <n v="2"/>
  </r>
  <r>
    <x v="1"/>
    <x v="227"/>
    <x v="227"/>
    <n v="102"/>
    <s v="NEWS AND GIFTS"/>
    <s v="H. MANCHA"/>
    <x v="13"/>
    <n v="3"/>
  </r>
  <r>
    <x v="0"/>
    <x v="228"/>
    <x v="228"/>
    <n v="102"/>
    <s v="NEWS AND GIFTS"/>
    <s v="H. MANCHA"/>
    <x v="13"/>
    <n v="2"/>
  </r>
  <r>
    <x v="1"/>
    <x v="228"/>
    <x v="228"/>
    <n v="102"/>
    <s v="NEWS AND GIFTS"/>
    <s v="H. MANCHA"/>
    <x v="13"/>
    <n v="2"/>
  </r>
  <r>
    <x v="0"/>
    <x v="229"/>
    <x v="229"/>
    <n v="102"/>
    <s v="NEWS AND GIFTS"/>
    <s v="H. MANCHA"/>
    <x v="13"/>
    <n v="2"/>
  </r>
  <r>
    <x v="1"/>
    <x v="229"/>
    <x v="229"/>
    <n v="102"/>
    <s v="NEWS AND GIFTS"/>
    <s v="H. MANCHA"/>
    <x v="13"/>
    <n v="2"/>
  </r>
  <r>
    <x v="0"/>
    <x v="230"/>
    <x v="230"/>
    <n v="102"/>
    <s v="NEWS AND GIFTS"/>
    <s v="H. MANCHA"/>
    <x v="13"/>
    <n v="2"/>
  </r>
  <r>
    <x v="1"/>
    <x v="230"/>
    <x v="230"/>
    <n v="102"/>
    <s v="NEWS AND GIFTS"/>
    <s v="H. MANCHA"/>
    <x v="13"/>
    <n v="3"/>
  </r>
  <r>
    <x v="0"/>
    <x v="231"/>
    <x v="231"/>
    <n v="102"/>
    <s v="NEWS AND GIFTS"/>
    <s v="H. MANCHA"/>
    <x v="13"/>
    <n v="2"/>
  </r>
  <r>
    <x v="1"/>
    <x v="231"/>
    <x v="231"/>
    <n v="102"/>
    <s v="NEWS AND GIFTS"/>
    <s v="H. MANCHA"/>
    <x v="13"/>
    <n v="4"/>
  </r>
  <r>
    <x v="0"/>
    <x v="232"/>
    <x v="232"/>
    <n v="102"/>
    <s v="NEWS AND GIFTS"/>
    <s v="H. MANCHA"/>
    <x v="13"/>
    <n v="1"/>
  </r>
  <r>
    <x v="1"/>
    <x v="232"/>
    <x v="232"/>
    <n v="102"/>
    <s v="NEWS AND GIFTS"/>
    <s v="H. MANCHA"/>
    <x v="13"/>
    <n v="3"/>
  </r>
  <r>
    <x v="0"/>
    <x v="233"/>
    <x v="233"/>
    <n v="102"/>
    <s v="NEWS AND GIFTS"/>
    <s v="H. MANCHA"/>
    <x v="13"/>
    <n v="3"/>
  </r>
  <r>
    <x v="1"/>
    <x v="233"/>
    <x v="233"/>
    <n v="102"/>
    <s v="NEWS AND GIFTS"/>
    <s v="H. MANCHA"/>
    <x v="13"/>
    <n v="1"/>
  </r>
  <r>
    <x v="1"/>
    <x v="234"/>
    <x v="234"/>
    <n v="102"/>
    <s v="NEWS AND GIFTS"/>
    <s v="H. MANCHA"/>
    <x v="13"/>
    <n v="1"/>
  </r>
  <r>
    <x v="1"/>
    <x v="235"/>
    <x v="235"/>
    <n v="102"/>
    <s v="NEWS AND GIFTS"/>
    <s v="H. MANCHA"/>
    <x v="13"/>
    <n v="1"/>
  </r>
  <r>
    <x v="0"/>
    <x v="236"/>
    <x v="236"/>
    <n v="102"/>
    <s v="NEWS AND GIFTS"/>
    <s v="H. MANCHA"/>
    <x v="13"/>
    <n v="1"/>
  </r>
  <r>
    <x v="1"/>
    <x v="236"/>
    <x v="236"/>
    <n v="102"/>
    <s v="NEWS AND GIFTS"/>
    <s v="H. MANCHA"/>
    <x v="13"/>
    <n v="1"/>
  </r>
  <r>
    <x v="0"/>
    <x v="237"/>
    <x v="237"/>
    <n v="102"/>
    <s v="NEWS AND GIFTS"/>
    <s v="H. MANCHA"/>
    <x v="13"/>
    <n v="3"/>
  </r>
  <r>
    <x v="0"/>
    <x v="238"/>
    <x v="238"/>
    <n v="102"/>
    <s v="NEWS AND GIFTS"/>
    <s v="H. MANCHA"/>
    <x v="13"/>
    <n v="1"/>
  </r>
  <r>
    <x v="1"/>
    <x v="238"/>
    <x v="238"/>
    <n v="102"/>
    <s v="NEWS AND GIFTS"/>
    <s v="H. MANCHA"/>
    <x v="13"/>
    <n v="2"/>
  </r>
  <r>
    <x v="0"/>
    <x v="239"/>
    <x v="239"/>
    <n v="102"/>
    <s v="NEWS AND GIFTS"/>
    <s v="H. MANCHA"/>
    <x v="13"/>
    <n v="2"/>
  </r>
  <r>
    <x v="1"/>
    <x v="239"/>
    <x v="239"/>
    <n v="102"/>
    <s v="NEWS AND GIFTS"/>
    <s v="H. MANCHA"/>
    <x v="13"/>
    <n v="2"/>
  </r>
  <r>
    <x v="0"/>
    <x v="240"/>
    <x v="240"/>
    <n v="102"/>
    <s v="NEWS AND GIFTS"/>
    <s v="HASBRO"/>
    <x v="20"/>
    <n v="1"/>
  </r>
  <r>
    <x v="0"/>
    <x v="241"/>
    <x v="241"/>
    <n v="102"/>
    <s v="NEWS AND GIFTS"/>
    <s v="H. MANCHA"/>
    <x v="13"/>
    <n v="1"/>
  </r>
  <r>
    <x v="1"/>
    <x v="241"/>
    <x v="241"/>
    <n v="102"/>
    <s v="NEWS AND GIFTS"/>
    <s v="H. MANCHA"/>
    <x v="13"/>
    <n v="1"/>
  </r>
  <r>
    <x v="1"/>
    <x v="242"/>
    <x v="242"/>
    <n v="102"/>
    <s v="NEWS AND GIFTS"/>
    <s v="H. MANCHA"/>
    <x v="13"/>
    <n v="3"/>
  </r>
  <r>
    <x v="0"/>
    <x v="243"/>
    <x v="243"/>
    <n v="102"/>
    <s v="NEWS AND GIFTS"/>
    <s v="H. MANCHA"/>
    <x v="13"/>
    <n v="1"/>
  </r>
  <r>
    <x v="0"/>
    <x v="244"/>
    <x v="244"/>
    <n v="102"/>
    <s v="NEWS AND GIFTS"/>
    <s v="DIST. LEWIS"/>
    <x v="0"/>
    <n v="9"/>
  </r>
  <r>
    <x v="1"/>
    <x v="244"/>
    <x v="244"/>
    <n v="102"/>
    <s v="NEWS AND GIFTS"/>
    <s v="DIST. LEWIS"/>
    <x v="0"/>
    <n v="16"/>
  </r>
  <r>
    <x v="1"/>
    <x v="245"/>
    <x v="245"/>
    <n v="102"/>
    <s v="NEWS AND GIFTS"/>
    <s v="H. MANCHA"/>
    <x v="13"/>
    <n v="1"/>
  </r>
  <r>
    <x v="1"/>
    <x v="246"/>
    <x v="246"/>
    <n v="102"/>
    <s v="NEWS AND GIFTS"/>
    <s v="H. MANCHA"/>
    <x v="13"/>
    <n v="1"/>
  </r>
  <r>
    <x v="1"/>
    <x v="247"/>
    <x v="247"/>
    <n v="102"/>
    <s v="NEWS AND GIFTS"/>
    <s v="H. MANCHA"/>
    <x v="13"/>
    <n v="1"/>
  </r>
  <r>
    <x v="1"/>
    <x v="248"/>
    <x v="248"/>
    <n v="102"/>
    <s v="NEWS AND GIFTS"/>
    <s v="H. MANCHA"/>
    <x v="13"/>
    <n v="1"/>
  </r>
  <r>
    <x v="0"/>
    <x v="249"/>
    <x v="249"/>
    <n v="102"/>
    <s v="NEWS AND GIFTS"/>
    <s v="H. MANCHA"/>
    <x v="13"/>
    <n v="1"/>
  </r>
  <r>
    <x v="1"/>
    <x v="249"/>
    <x v="249"/>
    <n v="102"/>
    <s v="NEWS AND GIFTS"/>
    <s v="H. MANCHA"/>
    <x v="13"/>
    <n v="2"/>
  </r>
  <r>
    <x v="1"/>
    <x v="250"/>
    <x v="250"/>
    <n v="102"/>
    <s v="NEWS AND GIFTS"/>
    <s v="MATTEL"/>
    <x v="20"/>
    <n v="1"/>
  </r>
  <r>
    <x v="0"/>
    <x v="251"/>
    <x v="251"/>
    <n v="102"/>
    <s v="NEWS AND GIFTS"/>
    <s v="MATTEL"/>
    <x v="20"/>
    <n v="1"/>
  </r>
  <r>
    <x v="0"/>
    <x v="252"/>
    <x v="252"/>
    <n v="102"/>
    <s v="NEWS AND GIFTS"/>
    <s v="MATTEL"/>
    <x v="20"/>
    <n v="2"/>
  </r>
  <r>
    <x v="0"/>
    <x v="253"/>
    <x v="253"/>
    <n v="102"/>
    <s v="NEWS AND GIFTS"/>
    <s v="PANINI"/>
    <x v="13"/>
    <n v="45"/>
  </r>
  <r>
    <x v="1"/>
    <x v="253"/>
    <x v="253"/>
    <n v="102"/>
    <s v="NEWS AND GIFTS"/>
    <s v="PANINI"/>
    <x v="13"/>
    <n v="55"/>
  </r>
  <r>
    <x v="0"/>
    <x v="254"/>
    <x v="254"/>
    <n v="102"/>
    <s v="NEWS AND GIFTS"/>
    <s v="PANINI"/>
    <x v="42"/>
    <n v="415"/>
  </r>
  <r>
    <x v="1"/>
    <x v="254"/>
    <x v="254"/>
    <n v="102"/>
    <s v="NEWS AND GIFTS"/>
    <s v="PANINI"/>
    <x v="42"/>
    <n v="238"/>
  </r>
  <r>
    <x v="0"/>
    <x v="255"/>
    <x v="255"/>
    <n v="102"/>
    <s v="NEWS AND GIFTS"/>
    <s v="SUN BUM"/>
    <x v="30"/>
    <n v="1"/>
  </r>
  <r>
    <x v="0"/>
    <x v="256"/>
    <x v="256"/>
    <n v="102"/>
    <s v="NEWS AND GIFTS"/>
    <s v="DIST. LEWIS"/>
    <x v="43"/>
    <n v="2"/>
  </r>
  <r>
    <x v="0"/>
    <x v="257"/>
    <x v="257"/>
    <n v="102"/>
    <s v="NEWS AND GIFTS"/>
    <s v="DIST. LEWIS"/>
    <x v="43"/>
    <n v="13"/>
  </r>
  <r>
    <x v="1"/>
    <x v="257"/>
    <x v="257"/>
    <n v="102"/>
    <s v="NEWS AND GIFTS"/>
    <s v="DIST. LEWIS"/>
    <x v="43"/>
    <n v="2"/>
  </r>
  <r>
    <x v="0"/>
    <x v="258"/>
    <x v="258"/>
    <n v="102"/>
    <s v="NEWS AND GIFTS"/>
    <s v="DIST. LEWIS"/>
    <x v="43"/>
    <n v="2"/>
  </r>
  <r>
    <x v="0"/>
    <x v="259"/>
    <x v="259"/>
    <n v="102"/>
    <s v="NEWS AND GIFTS"/>
    <s v="DIST. LEWIS"/>
    <x v="0"/>
    <n v="11"/>
  </r>
  <r>
    <x v="1"/>
    <x v="259"/>
    <x v="259"/>
    <n v="102"/>
    <s v="NEWS AND GIFTS"/>
    <s v="DIST. LEWIS"/>
    <x v="0"/>
    <n v="4"/>
  </r>
  <r>
    <x v="0"/>
    <x v="260"/>
    <x v="260"/>
    <n v="102"/>
    <s v="NEWS AND GIFTS"/>
    <s v="CRAYOLA"/>
    <x v="3"/>
    <n v="1"/>
  </r>
  <r>
    <x v="0"/>
    <x v="261"/>
    <x v="261"/>
    <n v="102"/>
    <s v="NEWS AND GIFTS"/>
    <s v="CRAYOLA"/>
    <x v="8"/>
    <n v="1"/>
  </r>
  <r>
    <x v="1"/>
    <x v="262"/>
    <x v="262"/>
    <n v="102"/>
    <s v="NEWS AND GIFTS"/>
    <s v="CRAYOLA"/>
    <x v="13"/>
    <n v="1"/>
  </r>
  <r>
    <x v="0"/>
    <x v="263"/>
    <x v="263"/>
    <n v="102"/>
    <s v="NEWS AND GIFTS"/>
    <s v="BIC"/>
    <x v="44"/>
    <n v="61"/>
  </r>
  <r>
    <x v="1"/>
    <x v="263"/>
    <x v="263"/>
    <n v="102"/>
    <s v="NEWS AND GIFTS"/>
    <s v="BIC"/>
    <x v="44"/>
    <n v="95"/>
  </r>
  <r>
    <x v="0"/>
    <x v="264"/>
    <x v="264"/>
    <n v="102"/>
    <s v="NEWS AND GIFTS"/>
    <s v="HASBRO"/>
    <x v="20"/>
    <n v="3"/>
  </r>
  <r>
    <x v="1"/>
    <x v="264"/>
    <x v="264"/>
    <n v="102"/>
    <s v="NEWS AND GIFTS"/>
    <s v="HASBRO"/>
    <x v="20"/>
    <n v="7"/>
  </r>
  <r>
    <x v="1"/>
    <x v="265"/>
    <x v="265"/>
    <n v="102"/>
    <s v="NEWS AND GIFTS"/>
    <s v="DIST. LEWIS"/>
    <x v="13"/>
    <n v="4"/>
  </r>
  <r>
    <x v="0"/>
    <x v="266"/>
    <x v="266"/>
    <n v="102"/>
    <s v="NEWS AND GIFTS"/>
    <s v="DIST. LEWIS"/>
    <x v="13"/>
    <n v="11"/>
  </r>
  <r>
    <x v="1"/>
    <x v="266"/>
    <x v="266"/>
    <n v="102"/>
    <s v="NEWS AND GIFTS"/>
    <s v="DIST. LEWIS"/>
    <x v="13"/>
    <n v="12"/>
  </r>
  <r>
    <x v="1"/>
    <x v="267"/>
    <x v="267"/>
    <n v="102"/>
    <s v="NEWS AND GIFTS"/>
    <s v="LEGO"/>
    <x v="20"/>
    <n v="3"/>
  </r>
  <r>
    <x v="1"/>
    <x v="268"/>
    <x v="268"/>
    <n v="102"/>
    <s v="NEWS AND GIFTS"/>
    <s v="LEGO"/>
    <x v="20"/>
    <n v="1"/>
  </r>
  <r>
    <x v="1"/>
    <x v="269"/>
    <x v="269"/>
    <n v="102"/>
    <s v="NEWS AND GIFTS"/>
    <s v="LEGO"/>
    <x v="20"/>
    <n v="5"/>
  </r>
  <r>
    <x v="0"/>
    <x v="270"/>
    <x v="270"/>
    <n v="102"/>
    <s v="NEWS AND GIFTS"/>
    <s v="OLD SPICE"/>
    <x v="16"/>
    <n v="63"/>
  </r>
  <r>
    <x v="1"/>
    <x v="270"/>
    <x v="270"/>
    <n v="102"/>
    <s v="NEWS AND GIFTS"/>
    <s v="OLD SPICE"/>
    <x v="16"/>
    <n v="5"/>
  </r>
  <r>
    <x v="0"/>
    <x v="271"/>
    <x v="271"/>
    <n v="102"/>
    <s v="NEWS AND GIFTS"/>
    <s v="CREST"/>
    <x v="14"/>
    <n v="66"/>
  </r>
  <r>
    <x v="1"/>
    <x v="271"/>
    <x v="271"/>
    <n v="102"/>
    <s v="NEWS AND GIFTS"/>
    <s v="CREST"/>
    <x v="14"/>
    <n v="28"/>
  </r>
  <r>
    <x v="0"/>
    <x v="272"/>
    <x v="272"/>
    <n v="102"/>
    <s v="NEWS AND GIFTS"/>
    <s v="ORAL B"/>
    <x v="21"/>
    <n v="107"/>
  </r>
  <r>
    <x v="1"/>
    <x v="272"/>
    <x v="272"/>
    <n v="102"/>
    <s v="NEWS AND GIFTS"/>
    <s v="ORAL B"/>
    <x v="21"/>
    <n v="59"/>
  </r>
  <r>
    <x v="1"/>
    <x v="273"/>
    <x v="273"/>
    <n v="102"/>
    <s v="NEWS AND GIFTS"/>
    <s v="GILLETTE"/>
    <x v="45"/>
    <n v="1"/>
  </r>
  <r>
    <x v="0"/>
    <x v="274"/>
    <x v="274"/>
    <n v="102"/>
    <s v="NEWS AND GIFTS"/>
    <s v="GILLETTE"/>
    <x v="46"/>
    <n v="36"/>
  </r>
  <r>
    <x v="1"/>
    <x v="274"/>
    <x v="274"/>
    <n v="102"/>
    <s v="NEWS AND GIFTS"/>
    <s v="GILLETTE"/>
    <x v="46"/>
    <n v="4"/>
  </r>
  <r>
    <x v="0"/>
    <x v="275"/>
    <x v="275"/>
    <n v="102"/>
    <s v="NEWS AND GIFTS"/>
    <s v="GILLETTE"/>
    <x v="46"/>
    <n v="34"/>
  </r>
  <r>
    <x v="1"/>
    <x v="275"/>
    <x v="275"/>
    <n v="102"/>
    <s v="NEWS AND GIFTS"/>
    <s v="GILLETTE"/>
    <x v="46"/>
    <n v="1"/>
  </r>
  <r>
    <x v="0"/>
    <x v="276"/>
    <x v="276"/>
    <n v="102"/>
    <s v="NEWS AND GIFTS"/>
    <s v="GILLETTE"/>
    <x v="45"/>
    <n v="22"/>
  </r>
  <r>
    <x v="1"/>
    <x v="276"/>
    <x v="276"/>
    <n v="102"/>
    <s v="NEWS AND GIFTS"/>
    <s v="GILLETTE"/>
    <x v="45"/>
    <n v="28"/>
  </r>
  <r>
    <x v="0"/>
    <x v="277"/>
    <x v="277"/>
    <n v="102"/>
    <s v="NEWS AND GIFTS"/>
    <s v="PANTENE"/>
    <x v="36"/>
    <n v="118"/>
  </r>
  <r>
    <x v="1"/>
    <x v="277"/>
    <x v="277"/>
    <n v="102"/>
    <s v="NEWS AND GIFTS"/>
    <s v="PANTENE"/>
    <x v="36"/>
    <n v="50"/>
  </r>
  <r>
    <x v="0"/>
    <x v="278"/>
    <x v="278"/>
    <n v="102"/>
    <s v="NEWS AND GIFTS"/>
    <s v="PANTENE"/>
    <x v="37"/>
    <n v="41"/>
  </r>
  <r>
    <x v="1"/>
    <x v="278"/>
    <x v="278"/>
    <n v="102"/>
    <s v="NEWS AND GIFTS"/>
    <s v="PANTENE"/>
    <x v="37"/>
    <n v="60"/>
  </r>
  <r>
    <x v="0"/>
    <x v="279"/>
    <x v="279"/>
    <n v="102"/>
    <s v="NEWS AND GIFTS"/>
    <s v="PANTENE"/>
    <x v="36"/>
    <n v="113"/>
  </r>
  <r>
    <x v="1"/>
    <x v="279"/>
    <x v="279"/>
    <n v="102"/>
    <s v="NEWS AND GIFTS"/>
    <s v="PANTENE"/>
    <x v="36"/>
    <n v="89"/>
  </r>
  <r>
    <x v="0"/>
    <x v="280"/>
    <x v="280"/>
    <n v="102"/>
    <s v="NEWS AND GIFTS"/>
    <s v="OLAY"/>
    <x v="47"/>
    <n v="93"/>
  </r>
  <r>
    <x v="1"/>
    <x v="280"/>
    <x v="280"/>
    <n v="102"/>
    <s v="NEWS AND GIFTS"/>
    <s v="OLAY"/>
    <x v="47"/>
    <n v="26"/>
  </r>
  <r>
    <x v="0"/>
    <x v="281"/>
    <x v="281"/>
    <n v="102"/>
    <s v="NEWS AND GIFTS"/>
    <s v="ALWAYS"/>
    <x v="5"/>
    <n v="59"/>
  </r>
  <r>
    <x v="1"/>
    <x v="281"/>
    <x v="281"/>
    <n v="102"/>
    <s v="NEWS AND GIFTS"/>
    <s v="ALWAYS"/>
    <x v="5"/>
    <n v="74"/>
  </r>
  <r>
    <x v="0"/>
    <x v="282"/>
    <x v="282"/>
    <n v="102"/>
    <s v="NEWS AND GIFTS"/>
    <s v="OLAY"/>
    <x v="40"/>
    <n v="71"/>
  </r>
  <r>
    <x v="1"/>
    <x v="282"/>
    <x v="282"/>
    <n v="102"/>
    <s v="NEWS AND GIFTS"/>
    <s v="OLAY"/>
    <x v="40"/>
    <n v="82"/>
  </r>
  <r>
    <x v="0"/>
    <x v="283"/>
    <x v="283"/>
    <n v="102"/>
    <s v="NEWS AND GIFTS"/>
    <s v="FEBREZE"/>
    <x v="16"/>
    <n v="73"/>
  </r>
  <r>
    <x v="1"/>
    <x v="283"/>
    <x v="283"/>
    <n v="102"/>
    <s v="NEWS AND GIFTS"/>
    <s v="FEBREZE"/>
    <x v="16"/>
    <n v="75"/>
  </r>
  <r>
    <x v="0"/>
    <x v="284"/>
    <x v="284"/>
    <n v="102"/>
    <s v="NEWS AND GIFTS"/>
    <s v="TIDE"/>
    <x v="48"/>
    <n v="19"/>
  </r>
  <r>
    <x v="1"/>
    <x v="284"/>
    <x v="284"/>
    <n v="102"/>
    <s v="NEWS AND GIFTS"/>
    <s v="TIDE"/>
    <x v="48"/>
    <n v="29"/>
  </r>
  <r>
    <x v="0"/>
    <x v="285"/>
    <x v="285"/>
    <n v="102"/>
    <s v="NEWS AND GIFTS"/>
    <s v="SECRET"/>
    <x v="16"/>
    <n v="13"/>
  </r>
  <r>
    <x v="1"/>
    <x v="285"/>
    <x v="285"/>
    <n v="102"/>
    <s v="NEWS AND GIFTS"/>
    <s v="SECRET"/>
    <x v="16"/>
    <n v="10"/>
  </r>
  <r>
    <x v="0"/>
    <x v="286"/>
    <x v="286"/>
    <n v="102"/>
    <s v="NEWS AND GIFTS"/>
    <s v="HANSAPLAST"/>
    <x v="49"/>
    <n v="19"/>
  </r>
  <r>
    <x v="1"/>
    <x v="286"/>
    <x v="286"/>
    <n v="102"/>
    <s v="NEWS AND GIFTS"/>
    <s v="HANSAPLAST"/>
    <x v="49"/>
    <n v="23"/>
  </r>
  <r>
    <x v="0"/>
    <x v="287"/>
    <x v="287"/>
    <n v="102"/>
    <s v="NEWS AND GIFTS"/>
    <s v="HANSAPLAST"/>
    <x v="50"/>
    <n v="14"/>
  </r>
  <r>
    <x v="1"/>
    <x v="287"/>
    <x v="287"/>
    <n v="102"/>
    <s v="NEWS AND GIFTS"/>
    <s v="HANSAPLAST"/>
    <x v="50"/>
    <n v="14"/>
  </r>
  <r>
    <x v="0"/>
    <x v="288"/>
    <x v="288"/>
    <n v="102"/>
    <s v="NEWS AND GIFTS"/>
    <s v="PEPTO BISMOL"/>
    <x v="23"/>
    <n v="35"/>
  </r>
  <r>
    <x v="1"/>
    <x v="288"/>
    <x v="288"/>
    <n v="102"/>
    <s v="NEWS AND GIFTS"/>
    <s v="PEPTO BISMOL"/>
    <x v="23"/>
    <n v="39"/>
  </r>
  <r>
    <x v="0"/>
    <x v="289"/>
    <x v="289"/>
    <n v="102"/>
    <s v="NEWS AND GIFTS"/>
    <s v="DRAMAMINE"/>
    <x v="23"/>
    <n v="23"/>
  </r>
  <r>
    <x v="1"/>
    <x v="289"/>
    <x v="289"/>
    <n v="102"/>
    <s v="NEWS AND GIFTS"/>
    <s v="DRAMAMINE"/>
    <x v="23"/>
    <n v="21"/>
  </r>
  <r>
    <x v="1"/>
    <x v="290"/>
    <x v="290"/>
    <n v="102"/>
    <s v="NEWS AND GIFTS"/>
    <s v="KISS"/>
    <x v="51"/>
    <n v="1"/>
  </r>
  <r>
    <x v="0"/>
    <x v="291"/>
    <x v="291"/>
    <n v="102"/>
    <s v="NEWS AND GIFTS"/>
    <s v="DIST.LEWIS"/>
    <x v="52"/>
    <n v="16"/>
  </r>
  <r>
    <x v="1"/>
    <x v="291"/>
    <x v="291"/>
    <n v="102"/>
    <s v="NEWS AND GIFTS"/>
    <s v="DIST.LEWIS"/>
    <x v="52"/>
    <n v="14"/>
  </r>
  <r>
    <x v="1"/>
    <x v="292"/>
    <x v="292"/>
    <n v="102"/>
    <s v="NEWS AND GIFTS"/>
    <s v="HOMBRE MANCHA"/>
    <x v="13"/>
    <n v="1"/>
  </r>
  <r>
    <x v="0"/>
    <x v="293"/>
    <x v="293"/>
    <n v="102"/>
    <s v="NEWS AND GIFTS"/>
    <s v="HOMBRE MANCHA"/>
    <x v="13"/>
    <n v="1"/>
  </r>
  <r>
    <x v="1"/>
    <x v="294"/>
    <x v="294"/>
    <n v="102"/>
    <s v="NEWS AND GIFTS"/>
    <s v="HOMBRE MANCHA"/>
    <x v="13"/>
    <n v="4"/>
  </r>
  <r>
    <x v="0"/>
    <x v="295"/>
    <x v="295"/>
    <n v="102"/>
    <s v="NEWS AND GIFTS"/>
    <s v="HOMBRE MANCHA"/>
    <x v="13"/>
    <n v="1"/>
  </r>
  <r>
    <x v="0"/>
    <x v="296"/>
    <x v="296"/>
    <n v="102"/>
    <s v="NEWS AND GIFTS"/>
    <s v="HOMBRE MANCHA"/>
    <x v="13"/>
    <n v="2"/>
  </r>
  <r>
    <x v="0"/>
    <x v="297"/>
    <x v="297"/>
    <n v="102"/>
    <s v="NEWS AND GIFTS"/>
    <s v="HOMBRE MANCHA"/>
    <x v="13"/>
    <n v="1"/>
  </r>
  <r>
    <x v="0"/>
    <x v="298"/>
    <x v="298"/>
    <n v="102"/>
    <s v="NEWS AND GIFTS"/>
    <s v="HOMBRE MANCHA"/>
    <x v="13"/>
    <n v="2"/>
  </r>
  <r>
    <x v="0"/>
    <x v="299"/>
    <x v="299"/>
    <n v="102"/>
    <s v="NEWS AND GIFTS"/>
    <s v="HOMBRE MANCHA"/>
    <x v="13"/>
    <n v="1"/>
  </r>
  <r>
    <x v="1"/>
    <x v="299"/>
    <x v="299"/>
    <n v="102"/>
    <s v="NEWS AND GIFTS"/>
    <s v="HOMBRE MANCHA"/>
    <x v="13"/>
    <n v="1"/>
  </r>
  <r>
    <x v="1"/>
    <x v="300"/>
    <x v="300"/>
    <n v="102"/>
    <s v="NEWS AND GIFTS"/>
    <s v="HOMBRE MANCHA"/>
    <x v="13"/>
    <n v="3"/>
  </r>
  <r>
    <x v="0"/>
    <x v="301"/>
    <x v="301"/>
    <n v="102"/>
    <s v="NEWS AND GIFTS"/>
    <s v="HOMBRE MANCHA"/>
    <x v="13"/>
    <n v="1"/>
  </r>
  <r>
    <x v="0"/>
    <x v="302"/>
    <x v="302"/>
    <n v="102"/>
    <s v="NEWS AND GIFTS"/>
    <s v="HOMBRE MANCHA"/>
    <x v="13"/>
    <n v="2"/>
  </r>
  <r>
    <x v="1"/>
    <x v="303"/>
    <x v="303"/>
    <n v="102"/>
    <s v="NEWS AND GIFTS"/>
    <s v="HOMBRE MANCHA"/>
    <x v="13"/>
    <n v="2"/>
  </r>
  <r>
    <x v="0"/>
    <x v="304"/>
    <x v="304"/>
    <n v="102"/>
    <s v="NEWS AND GIFTS"/>
    <s v="HOMBRE MANCHA"/>
    <x v="13"/>
    <n v="3"/>
  </r>
  <r>
    <x v="0"/>
    <x v="305"/>
    <x v="305"/>
    <n v="102"/>
    <s v="NEWS AND GIFTS"/>
    <s v="HOMBRE MANCHA"/>
    <x v="13"/>
    <n v="4"/>
  </r>
  <r>
    <x v="0"/>
    <x v="306"/>
    <x v="306"/>
    <n v="102"/>
    <s v="NEWS AND GIFTS"/>
    <s v="HOMBRE MANCHA"/>
    <x v="13"/>
    <n v="1"/>
  </r>
  <r>
    <x v="0"/>
    <x v="307"/>
    <x v="307"/>
    <n v="102"/>
    <s v="NEWS AND GIFTS"/>
    <s v="HOMBRE MANCHA"/>
    <x v="13"/>
    <n v="3"/>
  </r>
  <r>
    <x v="1"/>
    <x v="307"/>
    <x v="307"/>
    <n v="102"/>
    <s v="NEWS AND GIFTS"/>
    <s v="HOMBRE MANCHA"/>
    <x v="13"/>
    <n v="1"/>
  </r>
  <r>
    <x v="0"/>
    <x v="308"/>
    <x v="308"/>
    <n v="102"/>
    <s v="NEWS AND GIFTS"/>
    <s v="HOMBRE MANCHA"/>
    <x v="13"/>
    <n v="1"/>
  </r>
  <r>
    <x v="1"/>
    <x v="308"/>
    <x v="308"/>
    <n v="102"/>
    <s v="NEWS AND GIFTS"/>
    <s v="HOMBRE MANCHA"/>
    <x v="13"/>
    <n v="2"/>
  </r>
  <r>
    <x v="0"/>
    <x v="309"/>
    <x v="309"/>
    <n v="102"/>
    <s v="NEWS AND GIFTS"/>
    <s v="HOMBRE MANCHA"/>
    <x v="13"/>
    <n v="2"/>
  </r>
  <r>
    <x v="0"/>
    <x v="310"/>
    <x v="310"/>
    <n v="102"/>
    <s v="NEWS AND GIFTS"/>
    <s v="HOMBRE MANCHA"/>
    <x v="13"/>
    <n v="2"/>
  </r>
  <r>
    <x v="1"/>
    <x v="310"/>
    <x v="310"/>
    <n v="102"/>
    <s v="NEWS AND GIFTS"/>
    <s v="HOMBRE MANCHA"/>
    <x v="13"/>
    <n v="1"/>
  </r>
  <r>
    <x v="1"/>
    <x v="311"/>
    <x v="311"/>
    <n v="102"/>
    <s v="NEWS AND GIFTS"/>
    <s v="HOMBRE MANCHA"/>
    <x v="13"/>
    <n v="3"/>
  </r>
  <r>
    <x v="0"/>
    <x v="312"/>
    <x v="312"/>
    <n v="102"/>
    <s v="NEWS AND GIFTS"/>
    <s v="HOMBRE MANCHA"/>
    <x v="13"/>
    <n v="3"/>
  </r>
  <r>
    <x v="1"/>
    <x v="312"/>
    <x v="312"/>
    <n v="102"/>
    <s v="NEWS AND GIFTS"/>
    <s v="HOMBRE MANCHA"/>
    <x v="13"/>
    <n v="1"/>
  </r>
  <r>
    <x v="0"/>
    <x v="313"/>
    <x v="313"/>
    <n v="102"/>
    <s v="NEWS AND GIFTS"/>
    <s v="HOMBRE MANCHA"/>
    <x v="13"/>
    <n v="1"/>
  </r>
  <r>
    <x v="1"/>
    <x v="313"/>
    <x v="313"/>
    <n v="102"/>
    <s v="NEWS AND GIFTS"/>
    <s v="HOMBRE MANCHA"/>
    <x v="13"/>
    <n v="1"/>
  </r>
  <r>
    <x v="0"/>
    <x v="314"/>
    <x v="314"/>
    <n v="102"/>
    <s v="NEWS AND GIFTS"/>
    <s v="HOMBRE MANCHA"/>
    <x v="13"/>
    <n v="1"/>
  </r>
  <r>
    <x v="1"/>
    <x v="314"/>
    <x v="314"/>
    <n v="102"/>
    <s v="NEWS AND GIFTS"/>
    <s v="HOMBRE MANCHA"/>
    <x v="13"/>
    <n v="1"/>
  </r>
  <r>
    <x v="0"/>
    <x v="315"/>
    <x v="315"/>
    <n v="102"/>
    <s v="NEWS AND GIFTS"/>
    <s v="HOMBRE MANCHA"/>
    <x v="13"/>
    <n v="1"/>
  </r>
  <r>
    <x v="1"/>
    <x v="316"/>
    <x v="316"/>
    <n v="102"/>
    <s v="NEWS AND GIFTS"/>
    <s v="DIST. LEWIS"/>
    <x v="13"/>
    <n v="8"/>
  </r>
  <r>
    <x v="0"/>
    <x v="317"/>
    <x v="317"/>
    <n v="102"/>
    <s v="NEWS AND GIFTS"/>
    <s v="DIST. LEWIS"/>
    <x v="13"/>
    <n v="20"/>
  </r>
  <r>
    <x v="1"/>
    <x v="317"/>
    <x v="317"/>
    <n v="102"/>
    <s v="NEWS AND GIFTS"/>
    <s v="DIST. LEWIS"/>
    <x v="13"/>
    <n v="19"/>
  </r>
  <r>
    <x v="0"/>
    <x v="318"/>
    <x v="318"/>
    <n v="102"/>
    <s v="NEWS AND GIFTS"/>
    <s v="DIST. LEWIS"/>
    <x v="13"/>
    <n v="24"/>
  </r>
  <r>
    <x v="1"/>
    <x v="318"/>
    <x v="318"/>
    <n v="102"/>
    <s v="NEWS AND GIFTS"/>
    <s v="DIST. LEWIS"/>
    <x v="13"/>
    <n v="26"/>
  </r>
  <r>
    <x v="0"/>
    <x v="319"/>
    <x v="319"/>
    <n v="102"/>
    <s v="NEWS AND GIFTS"/>
    <s v="DIST. LEWIS"/>
    <x v="13"/>
    <n v="8"/>
  </r>
  <r>
    <x v="1"/>
    <x v="319"/>
    <x v="319"/>
    <n v="102"/>
    <s v="NEWS AND GIFTS"/>
    <s v="DIST. LEWIS"/>
    <x v="13"/>
    <n v="7"/>
  </r>
  <r>
    <x v="0"/>
    <x v="320"/>
    <x v="320"/>
    <n v="102"/>
    <s v="NEWS AND GIFTS"/>
    <s v="BOING TOYS"/>
    <x v="20"/>
    <n v="1"/>
  </r>
  <r>
    <x v="1"/>
    <x v="320"/>
    <x v="320"/>
    <n v="102"/>
    <s v="NEWS AND GIFTS"/>
    <s v="BOING TOYS"/>
    <x v="20"/>
    <n v="4"/>
  </r>
  <r>
    <x v="0"/>
    <x v="321"/>
    <x v="321"/>
    <n v="102"/>
    <s v="NEWS AND GIFTS"/>
    <s v="BOING TOYS"/>
    <x v="20"/>
    <n v="1"/>
  </r>
  <r>
    <x v="1"/>
    <x v="321"/>
    <x v="321"/>
    <n v="102"/>
    <s v="NEWS AND GIFTS"/>
    <s v="BOING TOYS"/>
    <x v="20"/>
    <n v="6"/>
  </r>
  <r>
    <x v="1"/>
    <x v="322"/>
    <x v="322"/>
    <n v="102"/>
    <s v="NEWS AND GIFTS"/>
    <s v="BOING TOYS"/>
    <x v="20"/>
    <n v="4"/>
  </r>
  <r>
    <x v="1"/>
    <x v="323"/>
    <x v="323"/>
    <n v="102"/>
    <s v="NEWS AND GIFTS"/>
    <s v="BOING TOYS"/>
    <x v="20"/>
    <n v="1"/>
  </r>
  <r>
    <x v="0"/>
    <x v="324"/>
    <x v="324"/>
    <n v="102"/>
    <s v="NEWS AND GIFTS"/>
    <s v="TY"/>
    <x v="20"/>
    <n v="2"/>
  </r>
  <r>
    <x v="1"/>
    <x v="324"/>
    <x v="324"/>
    <n v="102"/>
    <s v="NEWS AND GIFTS"/>
    <s v="TY"/>
    <x v="20"/>
    <n v="3"/>
  </r>
  <r>
    <x v="0"/>
    <x v="325"/>
    <x v="325"/>
    <n v="102"/>
    <s v="NEWS AND GIFTS"/>
    <s v="TY"/>
    <x v="20"/>
    <n v="5"/>
  </r>
  <r>
    <x v="0"/>
    <x v="326"/>
    <x v="326"/>
    <n v="102"/>
    <s v="NEWS AND GIFTS"/>
    <s v="TY"/>
    <x v="20"/>
    <n v="4"/>
  </r>
  <r>
    <x v="0"/>
    <x v="327"/>
    <x v="327"/>
    <n v="102"/>
    <s v="NEWS AND GIFTS"/>
    <s v="TY"/>
    <x v="20"/>
    <n v="1"/>
  </r>
  <r>
    <x v="0"/>
    <x v="328"/>
    <x v="328"/>
    <n v="102"/>
    <s v="NEWS AND GIFTS"/>
    <s v="TY"/>
    <x v="20"/>
    <n v="5"/>
  </r>
  <r>
    <x v="0"/>
    <x v="329"/>
    <x v="329"/>
    <n v="102"/>
    <s v="NEWS AND GIFTS"/>
    <s v="TY"/>
    <x v="20"/>
    <n v="4"/>
  </r>
  <r>
    <x v="1"/>
    <x v="329"/>
    <x v="329"/>
    <n v="102"/>
    <s v="NEWS AND GIFTS"/>
    <s v="TY"/>
    <x v="20"/>
    <n v="5"/>
  </r>
  <r>
    <x v="0"/>
    <x v="330"/>
    <x v="330"/>
    <n v="102"/>
    <s v="NEWS AND GIFTS"/>
    <s v="TY"/>
    <x v="20"/>
    <n v="3"/>
  </r>
  <r>
    <x v="1"/>
    <x v="330"/>
    <x v="330"/>
    <n v="102"/>
    <s v="NEWS AND GIFTS"/>
    <s v="TY"/>
    <x v="20"/>
    <n v="4"/>
  </r>
  <r>
    <x v="1"/>
    <x v="331"/>
    <x v="331"/>
    <n v="102"/>
    <s v="NEWS AND GIFTS"/>
    <s v="TY"/>
    <x v="20"/>
    <n v="2"/>
  </r>
  <r>
    <x v="0"/>
    <x v="332"/>
    <x v="332"/>
    <n v="102"/>
    <s v="NEWS AND GIFTS"/>
    <s v="TY"/>
    <x v="20"/>
    <n v="1"/>
  </r>
  <r>
    <x v="0"/>
    <x v="333"/>
    <x v="333"/>
    <n v="102"/>
    <s v="NEWS AND GIFTS"/>
    <s v="TY"/>
    <x v="20"/>
    <n v="4"/>
  </r>
  <r>
    <x v="1"/>
    <x v="334"/>
    <x v="334"/>
    <n v="102"/>
    <s v="NEWS AND GIFTS"/>
    <s v="TY"/>
    <x v="20"/>
    <n v="6"/>
  </r>
  <r>
    <x v="0"/>
    <x v="335"/>
    <x v="335"/>
    <n v="102"/>
    <s v="NEWS AND GIFTS"/>
    <s v="TY"/>
    <x v="20"/>
    <n v="1"/>
  </r>
  <r>
    <x v="0"/>
    <x v="336"/>
    <x v="336"/>
    <n v="102"/>
    <s v="NEWS AND GIFTS"/>
    <s v="TY"/>
    <x v="20"/>
    <n v="1"/>
  </r>
  <r>
    <x v="0"/>
    <x v="337"/>
    <x v="337"/>
    <n v="102"/>
    <s v="NEWS AND GIFTS"/>
    <s v="TY"/>
    <x v="20"/>
    <n v="1"/>
  </r>
  <r>
    <x v="0"/>
    <x v="338"/>
    <x v="338"/>
    <n v="102"/>
    <s v="NEWS AND GIFTS"/>
    <s v="DFA"/>
    <x v="53"/>
    <n v="1250"/>
  </r>
  <r>
    <x v="1"/>
    <x v="338"/>
    <x v="338"/>
    <n v="102"/>
    <s v="NEWS AND GIFTS"/>
    <s v="DFA"/>
    <x v="53"/>
    <n v="2000"/>
  </r>
  <r>
    <x v="0"/>
    <x v="339"/>
    <x v="339"/>
    <n v="102"/>
    <s v="NEWS AND GIFTS"/>
    <s v="DFA"/>
    <x v="53"/>
    <n v="1000"/>
  </r>
  <r>
    <x v="1"/>
    <x v="339"/>
    <x v="339"/>
    <n v="102"/>
    <s v="NEWS AND GIFTS"/>
    <s v="DFA"/>
    <x v="53"/>
    <n v="1500"/>
  </r>
  <r>
    <x v="0"/>
    <x v="340"/>
    <x v="340"/>
    <n v="102"/>
    <s v="NEWS AND GIFTS"/>
    <s v="DFA"/>
    <x v="53"/>
    <n v="1000"/>
  </r>
  <r>
    <x v="1"/>
    <x v="340"/>
    <x v="340"/>
    <n v="102"/>
    <s v="NEWS AND GIFTS"/>
    <s v="DFA"/>
    <x v="53"/>
    <n v="2000"/>
  </r>
  <r>
    <x v="1"/>
    <x v="341"/>
    <x v="341"/>
    <n v="102"/>
    <s v="NEWS AND GIFTS"/>
    <s v="SUN BUM"/>
    <x v="54"/>
    <n v="2"/>
  </r>
  <r>
    <x v="1"/>
    <x v="342"/>
    <x v="342"/>
    <n v="102"/>
    <s v="NEWS AND GIFTS"/>
    <s v="SUN BUM"/>
    <x v="54"/>
    <n v="2"/>
  </r>
  <r>
    <x v="3"/>
    <x v="343"/>
    <x v="343"/>
    <m/>
    <m/>
    <m/>
    <x v="1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1" cacheId="1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gridDropZones="1" multipleFieldFilters="0">
  <location ref="A3:F347" firstHeaderRow="1" firstDataRow="2" firstDataCol="3"/>
  <pivotFields count="8">
    <pivotField axis="axisCol" compact="0" outline="0" showAll="0">
      <items count="5">
        <item h="1" x="2"/>
        <item x="0"/>
        <item x="1"/>
        <item h="1" x="3"/>
        <item t="default"/>
      </items>
    </pivotField>
    <pivotField axis="axisRow" compact="0" outline="0" showAll="0" defaultSubtotal="0">
      <items count="344">
        <item x="7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</items>
    </pivotField>
    <pivotField axis="axisRow" compact="0" outline="0" showAll="0" defaultSubtotal="0">
      <items count="344">
        <item x="287"/>
        <item x="19"/>
        <item x="262"/>
        <item x="168"/>
        <item x="24"/>
        <item x="32"/>
        <item x="33"/>
        <item x="10"/>
        <item x="78"/>
        <item x="79"/>
        <item x="35"/>
        <item x="80"/>
        <item x="36"/>
        <item x="23"/>
        <item x="25"/>
        <item x="26"/>
        <item x="27"/>
        <item x="29"/>
        <item x="30"/>
        <item x="31"/>
        <item x="82"/>
        <item x="81"/>
        <item x="149"/>
        <item x="150"/>
        <item x="151"/>
        <item x="156"/>
        <item x="157"/>
        <item x="152"/>
        <item x="255"/>
        <item x="153"/>
        <item x="154"/>
        <item x="155"/>
        <item x="159"/>
        <item x="160"/>
        <item x="161"/>
        <item x="164"/>
        <item x="207"/>
        <item x="37"/>
        <item x="214"/>
        <item x="197"/>
        <item x="208"/>
        <item x="212"/>
        <item x="199"/>
        <item x="322"/>
        <item x="41"/>
        <item x="42"/>
        <item x="43"/>
        <item x="44"/>
        <item x="45"/>
        <item x="46"/>
        <item x="158"/>
        <item x="4"/>
        <item x="38"/>
        <item x="39"/>
        <item x="213"/>
        <item x="116"/>
        <item x="117"/>
        <item x="56"/>
        <item x="165"/>
        <item x="342"/>
        <item x="167"/>
        <item x="166"/>
        <item x="286"/>
        <item x="235"/>
        <item x="341"/>
        <item x="114"/>
        <item x="28"/>
        <item x="59"/>
        <item x="40"/>
        <item x="260"/>
        <item x="320"/>
        <item x="321"/>
        <item x="210"/>
        <item x="209"/>
        <item x="211"/>
        <item x="261"/>
        <item x="9"/>
        <item x="200"/>
        <item x="274"/>
        <item x="284"/>
        <item x="285"/>
        <item x="273"/>
        <item x="272"/>
        <item x="270"/>
        <item x="282"/>
        <item x="271"/>
        <item x="283"/>
        <item x="281"/>
        <item x="280"/>
        <item x="276"/>
        <item x="279"/>
        <item x="278"/>
        <item x="277"/>
        <item x="275"/>
        <item x="162"/>
        <item x="163"/>
        <item x="206"/>
        <item x="205"/>
        <item x="204"/>
        <item x="203"/>
        <item x="202"/>
        <item x="201"/>
        <item x="198"/>
        <item x="323"/>
        <item x="108"/>
        <item x="245"/>
        <item x="172"/>
        <item x="104"/>
        <item x="122"/>
        <item x="121"/>
        <item x="124"/>
        <item x="313"/>
        <item x="130"/>
        <item x="63"/>
        <item x="65"/>
        <item x="64"/>
        <item x="68"/>
        <item x="70"/>
        <item x="69"/>
        <item x="67"/>
        <item x="66"/>
        <item x="99"/>
        <item x="189"/>
        <item x="54"/>
        <item x="257"/>
        <item x="240"/>
        <item x="112"/>
        <item x="77"/>
        <item x="111"/>
        <item x="110"/>
        <item x="133"/>
        <item x="48"/>
        <item x="242"/>
        <item x="146"/>
        <item x="145"/>
        <item x="339"/>
        <item x="338"/>
        <item x="340"/>
        <item x="263"/>
        <item x="55"/>
        <item x="182"/>
        <item x="239"/>
        <item x="292"/>
        <item x="93"/>
        <item x="216"/>
        <item x="188"/>
        <item x="314"/>
        <item x="49"/>
        <item x="105"/>
        <item x="106"/>
        <item x="256"/>
        <item x="228"/>
        <item x="234"/>
        <item x="181"/>
        <item x="246"/>
        <item x="317"/>
        <item x="186"/>
        <item x="230"/>
        <item x="217"/>
        <item x="218"/>
        <item x="219"/>
        <item x="192"/>
        <item x="137"/>
        <item x="193"/>
        <item x="194"/>
        <item x="34"/>
        <item x="138"/>
        <item x="139"/>
        <item x="140"/>
        <item x="289"/>
        <item x="21"/>
        <item x="22"/>
        <item x="72"/>
        <item x="20"/>
        <item x="71"/>
        <item x="100"/>
        <item x="175"/>
        <item x="238"/>
        <item x="195"/>
        <item x="57"/>
        <item x="94"/>
        <item x="223"/>
        <item x="293"/>
        <item x="0"/>
        <item x="185"/>
        <item x="237"/>
        <item x="107"/>
        <item x="190"/>
        <item x="226"/>
        <item x="259"/>
        <item x="231"/>
        <item x="319"/>
        <item x="243"/>
        <item x="95"/>
        <item x="101"/>
        <item x="247"/>
        <item x="191"/>
        <item x="141"/>
        <item x="142"/>
        <item x="290"/>
        <item x="74"/>
        <item x="131"/>
        <item x="132"/>
        <item x="294"/>
        <item x="215"/>
        <item x="91"/>
        <item x="295"/>
        <item x="102"/>
        <item x="115"/>
        <item x="97"/>
        <item x="291"/>
        <item x="103"/>
        <item x="248"/>
        <item x="296"/>
        <item x="58"/>
        <item x="96"/>
        <item x="123"/>
        <item x="297"/>
        <item x="187"/>
        <item x="298"/>
        <item x="51"/>
        <item x="113"/>
        <item x="299"/>
        <item x="73"/>
        <item x="180"/>
        <item x="300"/>
        <item x="233"/>
        <item x="147"/>
        <item x="47"/>
        <item x="53"/>
        <item x="75"/>
        <item x="169"/>
        <item x="170"/>
        <item x="171"/>
        <item x="253"/>
        <item x="254"/>
        <item x="227"/>
        <item x="301"/>
        <item x="118"/>
        <item x="5"/>
        <item x="288"/>
        <item x="179"/>
        <item x="232"/>
        <item x="60"/>
        <item x="13"/>
        <item x="11"/>
        <item x="14"/>
        <item x="12"/>
        <item x="229"/>
        <item x="302"/>
        <item x="1"/>
        <item x="303"/>
        <item x="128"/>
        <item x="52"/>
        <item x="196"/>
        <item x="249"/>
        <item x="304"/>
        <item x="220"/>
        <item x="184"/>
        <item x="318"/>
        <item x="148"/>
        <item x="258"/>
        <item x="305"/>
        <item x="83"/>
        <item x="135"/>
        <item x="109"/>
        <item x="236"/>
        <item x="136"/>
        <item x="266"/>
        <item x="176"/>
        <item x="177"/>
        <item x="244"/>
        <item x="125"/>
        <item x="126"/>
        <item x="224"/>
        <item x="306"/>
        <item x="241"/>
        <item x="315"/>
        <item x="307"/>
        <item x="308"/>
        <item x="309"/>
        <item x="310"/>
        <item x="311"/>
        <item x="6"/>
        <item x="129"/>
        <item x="134"/>
        <item x="76"/>
        <item x="265"/>
        <item x="7"/>
        <item x="17"/>
        <item x="62"/>
        <item x="18"/>
        <item x="119"/>
        <item x="120"/>
        <item x="332"/>
        <item x="324"/>
        <item x="325"/>
        <item x="329"/>
        <item x="330"/>
        <item x="328"/>
        <item x="327"/>
        <item x="326"/>
        <item x="331"/>
        <item x="336"/>
        <item x="337"/>
        <item x="335"/>
        <item x="334"/>
        <item x="333"/>
        <item x="144"/>
        <item x="173"/>
        <item x="84"/>
        <item x="87"/>
        <item x="85"/>
        <item x="86"/>
        <item x="89"/>
        <item x="88"/>
        <item x="50"/>
        <item x="98"/>
        <item x="312"/>
        <item x="316"/>
        <item x="225"/>
        <item x="174"/>
        <item x="90"/>
        <item x="2"/>
        <item x="3"/>
        <item x="268"/>
        <item x="267"/>
        <item x="269"/>
        <item x="264"/>
        <item x="178"/>
        <item x="250"/>
        <item x="251"/>
        <item x="92"/>
        <item x="61"/>
        <item x="16"/>
        <item x="15"/>
        <item x="252"/>
        <item x="143"/>
        <item x="221"/>
        <item x="222"/>
        <item x="127"/>
        <item x="8"/>
        <item x="183"/>
        <item x="343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56">
        <item x="52"/>
        <item x="51"/>
        <item x="36"/>
        <item x="7"/>
        <item x="35"/>
        <item x="10"/>
        <item x="24"/>
        <item x="44"/>
        <item x="53"/>
        <item x="26"/>
        <item x="1"/>
        <item x="21"/>
        <item x="6"/>
        <item x="3"/>
        <item x="47"/>
        <item x="34"/>
        <item x="49"/>
        <item x="48"/>
        <item x="16"/>
        <item x="11"/>
        <item x="14"/>
        <item x="45"/>
        <item x="2"/>
        <item x="9"/>
        <item x="22"/>
        <item x="40"/>
        <item x="31"/>
        <item x="20"/>
        <item x="33"/>
        <item x="13"/>
        <item x="30"/>
        <item x="27"/>
        <item x="18"/>
        <item x="0"/>
        <item x="23"/>
        <item x="38"/>
        <item x="15"/>
        <item x="28"/>
        <item x="25"/>
        <item x="39"/>
        <item x="54"/>
        <item x="46"/>
        <item x="43"/>
        <item x="8"/>
        <item x="41"/>
        <item x="37"/>
        <item x="42"/>
        <item x="29"/>
        <item x="4"/>
        <item x="32"/>
        <item x="12"/>
        <item x="50"/>
        <item x="19"/>
        <item x="5"/>
        <item x="17"/>
        <item t="default"/>
      </items>
    </pivotField>
    <pivotField dataField="1" compact="0" outline="0" showAll="0"/>
  </pivotFields>
  <rowFields count="3">
    <field x="1"/>
    <field x="2"/>
    <field x="6"/>
  </rowFields>
  <rowItems count="343">
    <i>
      <x v="1"/>
      <x v="183"/>
      <x v="33"/>
    </i>
    <i>
      <x v="2"/>
      <x v="250"/>
      <x v="33"/>
    </i>
    <i>
      <x v="3"/>
      <x v="323"/>
      <x v="33"/>
    </i>
    <i>
      <x v="4"/>
      <x v="324"/>
      <x v="33"/>
    </i>
    <i>
      <x v="5"/>
      <x v="51"/>
      <x v="10"/>
    </i>
    <i>
      <x v="6"/>
      <x v="239"/>
      <x v="33"/>
    </i>
    <i>
      <x v="7"/>
      <x v="283"/>
      <x v="33"/>
    </i>
    <i>
      <x v="8"/>
      <x v="288"/>
      <x v="33"/>
    </i>
    <i>
      <x v="9"/>
      <x v="341"/>
      <x v="33"/>
    </i>
    <i>
      <x v="10"/>
      <x v="76"/>
      <x v="22"/>
    </i>
    <i>
      <x v="11"/>
      <x v="7"/>
      <x v="13"/>
    </i>
    <i>
      <x v="12"/>
      <x v="245"/>
      <x v="48"/>
    </i>
    <i>
      <x v="13"/>
      <x v="247"/>
      <x v="48"/>
    </i>
    <i>
      <x v="14"/>
      <x v="244"/>
      <x v="48"/>
    </i>
    <i>
      <x v="15"/>
      <x v="246"/>
      <x v="48"/>
    </i>
    <i>
      <x v="16"/>
      <x v="335"/>
      <x v="53"/>
    </i>
    <i>
      <x v="17"/>
      <x v="334"/>
      <x v="53"/>
    </i>
    <i>
      <x v="18"/>
      <x v="289"/>
      <x v="12"/>
    </i>
    <i>
      <x v="19"/>
      <x v="291"/>
      <x v="12"/>
    </i>
    <i>
      <x v="20"/>
      <x v="1"/>
      <x v="12"/>
    </i>
    <i>
      <x v="21"/>
      <x v="173"/>
      <x v="12"/>
    </i>
    <i>
      <x v="22"/>
      <x v="170"/>
      <x v="12"/>
    </i>
    <i>
      <x v="23"/>
      <x v="171"/>
      <x v="12"/>
    </i>
    <i>
      <x v="24"/>
      <x v="13"/>
      <x v="3"/>
    </i>
    <i>
      <x v="25"/>
      <x v="4"/>
      <x v="43"/>
    </i>
    <i>
      <x v="26"/>
      <x v="14"/>
      <x v="23"/>
    </i>
    <i>
      <x v="27"/>
      <x v="15"/>
      <x v="3"/>
    </i>
    <i>
      <x v="28"/>
      <x v="16"/>
      <x v="3"/>
    </i>
    <i>
      <x v="29"/>
      <x v="66"/>
      <x v="13"/>
    </i>
    <i>
      <x v="30"/>
      <x v="17"/>
      <x v="3"/>
    </i>
    <i>
      <x v="31"/>
      <x v="18"/>
      <x v="3"/>
    </i>
    <i>
      <x v="32"/>
      <x v="19"/>
      <x v="5"/>
    </i>
    <i>
      <x v="33"/>
      <x v="5"/>
      <x v="43"/>
    </i>
    <i>
      <x v="34"/>
      <x v="6"/>
      <x v="43"/>
    </i>
    <i>
      <x v="35"/>
      <x v="165"/>
      <x v="19"/>
    </i>
    <i>
      <x v="36"/>
      <x v="10"/>
      <x v="50"/>
    </i>
    <i>
      <x v="37"/>
      <x v="12"/>
      <x v="50"/>
    </i>
    <i>
      <x v="38"/>
      <x v="37"/>
      <x v="50"/>
    </i>
    <i>
      <x v="39"/>
      <x v="52"/>
      <x v="50"/>
    </i>
    <i>
      <x v="40"/>
      <x v="53"/>
      <x v="50"/>
    </i>
    <i>
      <x v="41"/>
      <x v="68"/>
      <x v="50"/>
    </i>
    <i>
      <x v="42"/>
      <x v="44"/>
      <x v="50"/>
    </i>
    <i>
      <x v="43"/>
      <x v="45"/>
      <x v="50"/>
    </i>
    <i>
      <x v="44"/>
      <x v="46"/>
      <x v="50"/>
    </i>
    <i>
      <x v="45"/>
      <x v="47"/>
      <x v="50"/>
    </i>
    <i>
      <x v="46"/>
      <x v="48"/>
      <x v="50"/>
    </i>
    <i>
      <x v="47"/>
      <x v="49"/>
      <x v="50"/>
    </i>
    <i>
      <x v="48"/>
      <x v="228"/>
      <x v="29"/>
    </i>
    <i>
      <x v="49"/>
      <x v="131"/>
      <x v="29"/>
    </i>
    <i>
      <x v="50"/>
      <x v="147"/>
      <x v="29"/>
    </i>
    <i>
      <x v="51"/>
      <x v="316"/>
      <x v="29"/>
    </i>
    <i>
      <x v="52"/>
      <x v="220"/>
      <x v="29"/>
    </i>
    <i>
      <x v="53"/>
      <x v="253"/>
      <x v="29"/>
    </i>
    <i>
      <x v="54"/>
      <x v="229"/>
      <x v="29"/>
    </i>
    <i>
      <x v="55"/>
      <x v="123"/>
      <x v="33"/>
    </i>
    <i>
      <x v="56"/>
      <x v="139"/>
      <x v="33"/>
    </i>
    <i>
      <x v="57"/>
      <x v="57"/>
      <x v="33"/>
    </i>
    <i>
      <x v="58"/>
      <x v="179"/>
      <x v="33"/>
    </i>
    <i>
      <x v="59"/>
      <x v="214"/>
      <x v="33"/>
    </i>
    <i>
      <x v="60"/>
      <x v="67"/>
      <x v="20"/>
    </i>
    <i>
      <x v="61"/>
      <x v="243"/>
      <x v="53"/>
    </i>
    <i>
      <x v="62"/>
      <x v="333"/>
      <x v="53"/>
    </i>
    <i>
      <x v="63"/>
      <x v="290"/>
      <x v="12"/>
    </i>
    <i>
      <x v="64"/>
      <x v="113"/>
      <x v="36"/>
    </i>
    <i>
      <x v="65"/>
      <x v="115"/>
      <x v="36"/>
    </i>
    <i>
      <x v="66"/>
      <x v="114"/>
      <x v="36"/>
    </i>
    <i>
      <x v="67"/>
      <x v="120"/>
      <x v="18"/>
    </i>
    <i>
      <x v="68"/>
      <x v="119"/>
      <x v="18"/>
    </i>
    <i>
      <x v="69"/>
      <x v="116"/>
      <x v="18"/>
    </i>
    <i>
      <x v="70"/>
      <x v="118"/>
      <x v="18"/>
    </i>
    <i>
      <x v="71"/>
      <x v="117"/>
      <x v="18"/>
    </i>
    <i>
      <x v="72"/>
      <x v="174"/>
      <x v="12"/>
    </i>
    <i>
      <x v="73"/>
      <x v="172"/>
      <x v="54"/>
    </i>
    <i>
      <x v="74"/>
      <x v="200"/>
      <x v="32"/>
    </i>
    <i>
      <x v="75"/>
      <x v="230"/>
      <x v="52"/>
    </i>
    <i>
      <x v="76"/>
      <x v="286"/>
      <x v="52"/>
    </i>
    <i>
      <x v="77"/>
      <x v="127"/>
      <x v="27"/>
    </i>
    <i>
      <x v="78"/>
      <x v="8"/>
      <x v="11"/>
    </i>
    <i>
      <x v="79"/>
      <x v="9"/>
      <x v="11"/>
    </i>
    <i>
      <x v="80"/>
      <x v="11"/>
      <x v="11"/>
    </i>
    <i>
      <x v="81"/>
      <x v="21"/>
      <x v="11"/>
    </i>
    <i>
      <x v="82"/>
      <x v="20"/>
      <x v="24"/>
    </i>
    <i>
      <x v="83"/>
      <x v="263"/>
      <x v="34"/>
    </i>
    <i>
      <x v="84"/>
      <x v="310"/>
      <x v="34"/>
    </i>
    <i>
      <x v="85"/>
      <x v="312"/>
      <x v="34"/>
    </i>
    <i>
      <x v="86"/>
      <x v="313"/>
      <x v="34"/>
    </i>
    <i>
      <x v="87"/>
      <x v="311"/>
      <x v="34"/>
    </i>
    <i>
      <x v="88"/>
      <x v="315"/>
      <x v="34"/>
    </i>
    <i>
      <x v="89"/>
      <x v="314"/>
      <x v="34"/>
    </i>
    <i>
      <x v="90"/>
      <x v="322"/>
      <x v="34"/>
    </i>
    <i>
      <x v="91"/>
      <x v="205"/>
      <x v="34"/>
    </i>
    <i>
      <x v="92"/>
      <x v="332"/>
      <x v="27"/>
    </i>
    <i>
      <x v="93"/>
      <x v="143"/>
      <x v="29"/>
    </i>
    <i>
      <x v="94"/>
      <x v="180"/>
      <x v="33"/>
    </i>
    <i>
      <x v="95"/>
      <x v="193"/>
      <x v="33"/>
    </i>
    <i>
      <x v="96"/>
      <x v="215"/>
      <x v="33"/>
    </i>
    <i>
      <x v="97"/>
      <x v="209"/>
      <x v="33"/>
    </i>
    <i>
      <x v="98"/>
      <x v="317"/>
      <x v="29"/>
    </i>
    <i>
      <x v="99"/>
      <x v="121"/>
      <x v="29"/>
    </i>
    <i>
      <x v="100"/>
      <x v="175"/>
      <x v="29"/>
    </i>
    <i>
      <x v="101"/>
      <x v="194"/>
      <x v="29"/>
    </i>
    <i>
      <x v="102"/>
      <x v="207"/>
      <x v="29"/>
    </i>
    <i>
      <x v="103"/>
      <x v="211"/>
      <x v="29"/>
    </i>
    <i>
      <x v="104"/>
      <x v="107"/>
      <x v="29"/>
    </i>
    <i>
      <x v="105"/>
      <x v="148"/>
      <x v="29"/>
    </i>
    <i>
      <x v="106"/>
      <x v="149"/>
      <x v="29"/>
    </i>
    <i>
      <x v="107"/>
      <x v="186"/>
      <x v="29"/>
    </i>
    <i>
      <x v="108"/>
      <x v="104"/>
      <x v="29"/>
    </i>
    <i>
      <x v="109"/>
      <x v="265"/>
      <x v="33"/>
    </i>
    <i>
      <x v="110"/>
      <x v="129"/>
      <x v="27"/>
    </i>
    <i>
      <x v="111"/>
      <x v="128"/>
      <x v="27"/>
    </i>
    <i>
      <x v="112"/>
      <x v="126"/>
      <x v="27"/>
    </i>
    <i>
      <x v="113"/>
      <x v="221"/>
      <x v="33"/>
    </i>
    <i>
      <x v="114"/>
      <x v="65"/>
      <x v="43"/>
    </i>
    <i>
      <x v="115"/>
      <x v="208"/>
      <x v="33"/>
    </i>
    <i>
      <x v="116"/>
      <x v="55"/>
      <x v="6"/>
    </i>
    <i>
      <x v="117"/>
      <x v="56"/>
      <x v="6"/>
    </i>
    <i>
      <x v="118"/>
      <x v="238"/>
      <x v="38"/>
    </i>
    <i>
      <x v="119"/>
      <x v="292"/>
      <x v="9"/>
    </i>
    <i>
      <x v="120"/>
      <x v="293"/>
      <x v="9"/>
    </i>
    <i>
      <x v="121"/>
      <x v="109"/>
      <x v="9"/>
    </i>
    <i>
      <x v="122"/>
      <x v="108"/>
      <x v="9"/>
    </i>
    <i>
      <x v="123"/>
      <x v="216"/>
      <x v="31"/>
    </i>
    <i>
      <x v="124"/>
      <x v="110"/>
      <x v="9"/>
    </i>
    <i>
      <x v="125"/>
      <x v="272"/>
      <x v="29"/>
    </i>
    <i>
      <x v="126"/>
      <x v="273"/>
      <x v="29"/>
    </i>
    <i>
      <x v="127"/>
      <x v="340"/>
      <x v="29"/>
    </i>
    <i>
      <x v="128"/>
      <x v="252"/>
      <x v="29"/>
    </i>
    <i>
      <x v="129"/>
      <x v="284"/>
      <x v="29"/>
    </i>
    <i>
      <x v="130"/>
      <x v="112"/>
      <x v="29"/>
    </i>
    <i>
      <x v="131"/>
      <x v="201"/>
      <x v="29"/>
    </i>
    <i>
      <x v="132"/>
      <x v="202"/>
      <x v="29"/>
    </i>
    <i>
      <x v="133"/>
      <x v="130"/>
      <x v="29"/>
    </i>
    <i>
      <x v="134"/>
      <x v="285"/>
      <x v="29"/>
    </i>
    <i>
      <x v="135"/>
      <x v="264"/>
      <x v="29"/>
    </i>
    <i>
      <x v="136"/>
      <x v="267"/>
      <x v="29"/>
    </i>
    <i>
      <x v="137"/>
      <x v="162"/>
      <x v="29"/>
    </i>
    <i>
      <x v="138"/>
      <x v="166"/>
      <x v="29"/>
    </i>
    <i>
      <x v="139"/>
      <x v="167"/>
      <x v="29"/>
    </i>
    <i>
      <x v="140"/>
      <x v="168"/>
      <x v="29"/>
    </i>
    <i>
      <x v="141"/>
      <x v="197"/>
      <x v="29"/>
    </i>
    <i>
      <x v="142"/>
      <x v="198"/>
      <x v="29"/>
    </i>
    <i>
      <x v="143"/>
      <x v="337"/>
      <x v="29"/>
    </i>
    <i>
      <x v="144"/>
      <x v="308"/>
      <x v="37"/>
    </i>
    <i>
      <x v="145"/>
      <x v="134"/>
      <x v="27"/>
    </i>
    <i>
      <x v="146"/>
      <x v="133"/>
      <x v="27"/>
    </i>
    <i>
      <x v="147"/>
      <x v="227"/>
      <x v="33"/>
    </i>
    <i>
      <x v="148"/>
      <x v="260"/>
      <x v="29"/>
    </i>
    <i>
      <x v="149"/>
      <x v="22"/>
      <x v="47"/>
    </i>
    <i>
      <x v="150"/>
      <x v="23"/>
      <x v="47"/>
    </i>
    <i>
      <x v="151"/>
      <x v="24"/>
      <x v="47"/>
    </i>
    <i>
      <x v="152"/>
      <x v="27"/>
      <x v="30"/>
    </i>
    <i>
      <x v="153"/>
      <x v="29"/>
      <x v="30"/>
    </i>
    <i>
      <x v="154"/>
      <x v="30"/>
      <x v="30"/>
    </i>
    <i>
      <x v="155"/>
      <x v="31"/>
      <x v="30"/>
    </i>
    <i>
      <x v="156"/>
      <x v="25"/>
      <x v="47"/>
    </i>
    <i>
      <x v="157"/>
      <x v="26"/>
      <x v="47"/>
    </i>
    <i>
      <x v="158"/>
      <x v="50"/>
      <x v="47"/>
    </i>
    <i>
      <x v="159"/>
      <x v="32"/>
      <x v="47"/>
    </i>
    <i>
      <x v="160"/>
      <x v="33"/>
      <x v="47"/>
    </i>
    <i>
      <x v="161"/>
      <x v="34"/>
      <x v="47"/>
    </i>
    <i>
      <x v="162"/>
      <x v="94"/>
      <x v="47"/>
    </i>
    <i>
      <x v="163"/>
      <x v="95"/>
      <x v="47"/>
    </i>
    <i>
      <x v="164"/>
      <x v="35"/>
      <x v="47"/>
    </i>
    <i>
      <x v="165"/>
      <x v="58"/>
      <x v="26"/>
    </i>
    <i>
      <x v="166"/>
      <x v="61"/>
      <x v="49"/>
    </i>
    <i>
      <x v="167"/>
      <x v="60"/>
      <x v="26"/>
    </i>
    <i>
      <x v="168"/>
      <x v="3"/>
      <x v="28"/>
    </i>
    <i>
      <x v="169"/>
      <x v="231"/>
      <x v="34"/>
    </i>
    <i>
      <x v="170"/>
      <x v="232"/>
      <x v="34"/>
    </i>
    <i>
      <x v="171"/>
      <x v="233"/>
      <x v="34"/>
    </i>
    <i>
      <x v="172"/>
      <x v="106"/>
      <x v="34"/>
    </i>
    <i>
      <x v="173"/>
      <x v="309"/>
      <x v="34"/>
    </i>
    <i>
      <x v="174"/>
      <x v="321"/>
      <x v="34"/>
    </i>
    <i>
      <x v="175"/>
      <x v="176"/>
      <x v="29"/>
    </i>
    <i>
      <x v="176"/>
      <x v="269"/>
      <x v="29"/>
    </i>
    <i>
      <x v="177"/>
      <x v="270"/>
      <x v="29"/>
    </i>
    <i>
      <x v="178"/>
      <x v="329"/>
      <x v="29"/>
    </i>
    <i>
      <x v="179"/>
      <x v="241"/>
      <x v="29"/>
    </i>
    <i>
      <x v="180"/>
      <x v="224"/>
      <x v="29"/>
    </i>
    <i>
      <x v="181"/>
      <x v="153"/>
      <x v="29"/>
    </i>
    <i>
      <x v="182"/>
      <x v="140"/>
      <x v="29"/>
    </i>
    <i>
      <x v="183"/>
      <x v="342"/>
      <x v="29"/>
    </i>
    <i>
      <x v="184"/>
      <x v="258"/>
      <x v="29"/>
    </i>
    <i>
      <x v="185"/>
      <x v="184"/>
      <x v="29"/>
    </i>
    <i>
      <x v="186"/>
      <x v="156"/>
      <x v="29"/>
    </i>
    <i>
      <x v="187"/>
      <x v="218"/>
      <x v="29"/>
    </i>
    <i>
      <x v="188"/>
      <x v="145"/>
      <x v="29"/>
    </i>
    <i>
      <x v="189"/>
      <x v="122"/>
      <x v="29"/>
    </i>
    <i>
      <x v="190"/>
      <x v="187"/>
      <x v="29"/>
    </i>
    <i>
      <x v="191"/>
      <x v="196"/>
      <x v="29"/>
    </i>
    <i>
      <x v="192"/>
      <x v="161"/>
      <x v="29"/>
    </i>
    <i>
      <x v="193"/>
      <x v="163"/>
      <x v="29"/>
    </i>
    <i>
      <x v="194"/>
      <x v="164"/>
      <x v="29"/>
    </i>
    <i>
      <x v="195"/>
      <x v="178"/>
      <x v="29"/>
    </i>
    <i>
      <x v="196"/>
      <x v="254"/>
      <x v="29"/>
    </i>
    <i>
      <x v="197"/>
      <x v="39"/>
      <x v="15"/>
    </i>
    <i>
      <x v="198"/>
      <x v="102"/>
      <x v="4"/>
    </i>
    <i>
      <x v="199"/>
      <x v="42"/>
      <x v="36"/>
    </i>
    <i>
      <x v="200"/>
      <x v="77"/>
      <x v="18"/>
    </i>
    <i>
      <x v="201"/>
      <x v="101"/>
      <x v="2"/>
    </i>
    <i>
      <x v="202"/>
      <x v="100"/>
      <x v="45"/>
    </i>
    <i>
      <x v="203"/>
      <x v="99"/>
      <x v="15"/>
    </i>
    <i>
      <x v="204"/>
      <x v="98"/>
      <x v="35"/>
    </i>
    <i>
      <x v="205"/>
      <x v="97"/>
      <x v="45"/>
    </i>
    <i>
      <x v="206"/>
      <x v="96"/>
      <x v="39"/>
    </i>
    <i>
      <x v="207"/>
      <x v="36"/>
      <x v="18"/>
    </i>
    <i>
      <x v="208"/>
      <x v="40"/>
      <x v="15"/>
    </i>
    <i>
      <x v="209"/>
      <x v="73"/>
      <x v="25"/>
    </i>
    <i>
      <x v="210"/>
      <x v="72"/>
      <x v="25"/>
    </i>
    <i>
      <x v="211"/>
      <x v="74"/>
      <x v="25"/>
    </i>
    <i>
      <x v="212"/>
      <x v="41"/>
      <x v="24"/>
    </i>
    <i>
      <x v="213"/>
      <x v="54"/>
      <x v="18"/>
    </i>
    <i>
      <x v="214"/>
      <x v="38"/>
      <x v="44"/>
    </i>
    <i>
      <x v="215"/>
      <x v="204"/>
      <x v="29"/>
    </i>
    <i>
      <x v="216"/>
      <x v="144"/>
      <x v="29"/>
    </i>
    <i>
      <x v="217"/>
      <x v="158"/>
      <x v="29"/>
    </i>
    <i>
      <x v="218"/>
      <x v="159"/>
      <x v="29"/>
    </i>
    <i>
      <x v="219"/>
      <x v="160"/>
      <x v="29"/>
    </i>
    <i>
      <x v="220"/>
      <x v="257"/>
      <x v="29"/>
    </i>
    <i>
      <x v="221"/>
      <x v="338"/>
      <x v="29"/>
    </i>
    <i>
      <x v="222"/>
      <x v="339"/>
      <x v="29"/>
    </i>
    <i>
      <x v="223"/>
      <x v="181"/>
      <x v="29"/>
    </i>
    <i>
      <x v="224"/>
      <x v="274"/>
      <x v="29"/>
    </i>
    <i>
      <x v="225"/>
      <x v="320"/>
      <x v="29"/>
    </i>
    <i>
      <x v="226"/>
      <x v="188"/>
      <x v="29"/>
    </i>
    <i>
      <x v="227"/>
      <x v="236"/>
      <x v="29"/>
    </i>
    <i>
      <x v="228"/>
      <x v="151"/>
      <x v="29"/>
    </i>
    <i>
      <x v="229"/>
      <x v="248"/>
      <x v="29"/>
    </i>
    <i>
      <x v="230"/>
      <x v="157"/>
      <x v="29"/>
    </i>
    <i>
      <x v="231"/>
      <x v="190"/>
      <x v="29"/>
    </i>
    <i>
      <x v="232"/>
      <x v="242"/>
      <x v="29"/>
    </i>
    <i>
      <x v="233"/>
      <x v="226"/>
      <x v="29"/>
    </i>
    <i>
      <x v="234"/>
      <x v="152"/>
      <x v="29"/>
    </i>
    <i>
      <x v="235"/>
      <x v="63"/>
      <x v="29"/>
    </i>
    <i>
      <x v="236"/>
      <x v="266"/>
      <x v="29"/>
    </i>
    <i>
      <x v="237"/>
      <x v="185"/>
      <x v="29"/>
    </i>
    <i>
      <x v="238"/>
      <x v="177"/>
      <x v="29"/>
    </i>
    <i>
      <x v="239"/>
      <x v="141"/>
      <x v="29"/>
    </i>
    <i>
      <x v="240"/>
      <x v="125"/>
      <x v="27"/>
    </i>
    <i>
      <x v="241"/>
      <x v="276"/>
      <x v="29"/>
    </i>
    <i>
      <x v="242"/>
      <x v="132"/>
      <x v="29"/>
    </i>
    <i>
      <x v="243"/>
      <x v="192"/>
      <x v="29"/>
    </i>
    <i>
      <x v="244"/>
      <x v="271"/>
      <x v="33"/>
    </i>
    <i>
      <x v="245"/>
      <x v="105"/>
      <x v="29"/>
    </i>
    <i>
      <x v="246"/>
      <x v="154"/>
      <x v="29"/>
    </i>
    <i>
      <x v="247"/>
      <x v="195"/>
      <x v="29"/>
    </i>
    <i>
      <x v="248"/>
      <x v="212"/>
      <x v="29"/>
    </i>
    <i>
      <x v="249"/>
      <x v="255"/>
      <x v="29"/>
    </i>
    <i>
      <x v="250"/>
      <x v="330"/>
      <x v="27"/>
    </i>
    <i>
      <x v="251"/>
      <x v="331"/>
      <x v="27"/>
    </i>
    <i>
      <x v="252"/>
      <x v="336"/>
      <x v="27"/>
    </i>
    <i>
      <x v="253"/>
      <x v="234"/>
      <x v="29"/>
    </i>
    <i>
      <x v="254"/>
      <x v="235"/>
      <x v="46"/>
    </i>
    <i>
      <x v="255"/>
      <x v="28"/>
      <x v="30"/>
    </i>
    <i>
      <x v="256"/>
      <x v="150"/>
      <x v="42"/>
    </i>
    <i>
      <x v="257"/>
      <x v="124"/>
      <x v="42"/>
    </i>
    <i>
      <x v="258"/>
      <x v="261"/>
      <x v="42"/>
    </i>
    <i>
      <x v="259"/>
      <x v="189"/>
      <x v="33"/>
    </i>
    <i>
      <x v="260"/>
      <x v="69"/>
      <x v="13"/>
    </i>
    <i>
      <x v="261"/>
      <x v="75"/>
      <x v="43"/>
    </i>
    <i>
      <x v="262"/>
      <x v="2"/>
      <x v="29"/>
    </i>
    <i>
      <x v="263"/>
      <x v="138"/>
      <x v="7"/>
    </i>
    <i>
      <x v="264"/>
      <x v="328"/>
      <x v="27"/>
    </i>
    <i>
      <x v="265"/>
      <x v="287"/>
      <x v="29"/>
    </i>
    <i>
      <x v="266"/>
      <x v="268"/>
      <x v="29"/>
    </i>
    <i>
      <x v="267"/>
      <x v="326"/>
      <x v="27"/>
    </i>
    <i>
      <x v="268"/>
      <x v="325"/>
      <x v="27"/>
    </i>
    <i>
      <x v="269"/>
      <x v="327"/>
      <x v="27"/>
    </i>
    <i>
      <x v="270"/>
      <x v="83"/>
      <x v="18"/>
    </i>
    <i>
      <x v="271"/>
      <x v="85"/>
      <x v="20"/>
    </i>
    <i>
      <x v="272"/>
      <x v="82"/>
      <x v="11"/>
    </i>
    <i>
      <x v="273"/>
      <x v="81"/>
      <x v="21"/>
    </i>
    <i>
      <x v="274"/>
      <x v="78"/>
      <x v="41"/>
    </i>
    <i>
      <x v="275"/>
      <x v="93"/>
      <x v="41"/>
    </i>
    <i>
      <x v="276"/>
      <x v="89"/>
      <x v="21"/>
    </i>
    <i>
      <x v="277"/>
      <x v="92"/>
      <x v="2"/>
    </i>
    <i>
      <x v="278"/>
      <x v="91"/>
      <x v="45"/>
    </i>
    <i>
      <x v="279"/>
      <x v="90"/>
      <x v="2"/>
    </i>
    <i>
      <x v="280"/>
      <x v="88"/>
      <x v="14"/>
    </i>
    <i>
      <x v="281"/>
      <x v="87"/>
      <x v="53"/>
    </i>
    <i>
      <x v="282"/>
      <x v="84"/>
      <x v="25"/>
    </i>
    <i>
      <x v="283"/>
      <x v="86"/>
      <x v="18"/>
    </i>
    <i>
      <x v="284"/>
      <x v="79"/>
      <x v="17"/>
    </i>
    <i>
      <x v="285"/>
      <x v="80"/>
      <x v="18"/>
    </i>
    <i>
      <x v="286"/>
      <x v="62"/>
      <x v="16"/>
    </i>
    <i>
      <x v="287"/>
      <x/>
      <x v="51"/>
    </i>
    <i>
      <x v="288"/>
      <x v="240"/>
      <x v="34"/>
    </i>
    <i>
      <x v="289"/>
      <x v="169"/>
      <x v="34"/>
    </i>
    <i>
      <x v="290"/>
      <x v="199"/>
      <x v="1"/>
    </i>
    <i>
      <x v="291"/>
      <x v="210"/>
      <x/>
    </i>
    <i>
      <x v="292"/>
      <x v="142"/>
      <x v="29"/>
    </i>
    <i>
      <x v="293"/>
      <x v="182"/>
      <x v="29"/>
    </i>
    <i>
      <x v="294"/>
      <x v="203"/>
      <x v="29"/>
    </i>
    <i>
      <x v="295"/>
      <x v="206"/>
      <x v="29"/>
    </i>
    <i>
      <x v="296"/>
      <x v="213"/>
      <x v="29"/>
    </i>
    <i>
      <x v="297"/>
      <x v="217"/>
      <x v="29"/>
    </i>
    <i>
      <x v="298"/>
      <x v="219"/>
      <x v="29"/>
    </i>
    <i>
      <x v="299"/>
      <x v="222"/>
      <x v="29"/>
    </i>
    <i>
      <x v="300"/>
      <x v="225"/>
      <x v="29"/>
    </i>
    <i>
      <x v="301"/>
      <x v="237"/>
      <x v="29"/>
    </i>
    <i>
      <x v="302"/>
      <x v="249"/>
      <x v="29"/>
    </i>
    <i>
      <x v="303"/>
      <x v="251"/>
      <x v="29"/>
    </i>
    <i>
      <x v="304"/>
      <x v="256"/>
      <x v="29"/>
    </i>
    <i>
      <x v="305"/>
      <x v="262"/>
      <x v="29"/>
    </i>
    <i>
      <x v="306"/>
      <x v="275"/>
      <x v="29"/>
    </i>
    <i>
      <x v="307"/>
      <x v="278"/>
      <x v="29"/>
    </i>
    <i>
      <x v="308"/>
      <x v="279"/>
      <x v="29"/>
    </i>
    <i>
      <x v="309"/>
      <x v="280"/>
      <x v="29"/>
    </i>
    <i>
      <x v="310"/>
      <x v="281"/>
      <x v="29"/>
    </i>
    <i>
      <x v="311"/>
      <x v="282"/>
      <x v="29"/>
    </i>
    <i>
      <x v="312"/>
      <x v="318"/>
      <x v="29"/>
    </i>
    <i>
      <x v="313"/>
      <x v="111"/>
      <x v="29"/>
    </i>
    <i>
      <x v="314"/>
      <x v="146"/>
      <x v="29"/>
    </i>
    <i>
      <x v="315"/>
      <x v="277"/>
      <x v="29"/>
    </i>
    <i>
      <x v="316"/>
      <x v="319"/>
      <x v="29"/>
    </i>
    <i>
      <x v="317"/>
      <x v="155"/>
      <x v="29"/>
    </i>
    <i>
      <x v="318"/>
      <x v="259"/>
      <x v="29"/>
    </i>
    <i>
      <x v="319"/>
      <x v="191"/>
      <x v="29"/>
    </i>
    <i>
      <x v="320"/>
      <x v="70"/>
      <x v="27"/>
    </i>
    <i>
      <x v="321"/>
      <x v="71"/>
      <x v="27"/>
    </i>
    <i>
      <x v="322"/>
      <x v="43"/>
      <x v="27"/>
    </i>
    <i>
      <x v="323"/>
      <x v="103"/>
      <x v="27"/>
    </i>
    <i>
      <x v="324"/>
      <x v="295"/>
      <x v="27"/>
    </i>
    <i>
      <x v="325"/>
      <x v="296"/>
      <x v="27"/>
    </i>
    <i>
      <x v="326"/>
      <x v="301"/>
      <x v="27"/>
    </i>
    <i>
      <x v="327"/>
      <x v="300"/>
      <x v="27"/>
    </i>
    <i>
      <x v="328"/>
      <x v="299"/>
      <x v="27"/>
    </i>
    <i>
      <x v="329"/>
      <x v="297"/>
      <x v="27"/>
    </i>
    <i>
      <x v="330"/>
      <x v="298"/>
      <x v="27"/>
    </i>
    <i>
      <x v="331"/>
      <x v="302"/>
      <x v="27"/>
    </i>
    <i>
      <x v="332"/>
      <x v="294"/>
      <x v="27"/>
    </i>
    <i>
      <x v="333"/>
      <x v="307"/>
      <x v="27"/>
    </i>
    <i>
      <x v="334"/>
      <x v="306"/>
      <x v="27"/>
    </i>
    <i>
      <x v="335"/>
      <x v="305"/>
      <x v="27"/>
    </i>
    <i>
      <x v="336"/>
      <x v="303"/>
      <x v="27"/>
    </i>
    <i>
      <x v="337"/>
      <x v="304"/>
      <x v="27"/>
    </i>
    <i>
      <x v="338"/>
      <x v="136"/>
      <x v="8"/>
    </i>
    <i>
      <x v="339"/>
      <x v="135"/>
      <x v="8"/>
    </i>
    <i>
      <x v="340"/>
      <x v="137"/>
      <x v="8"/>
    </i>
    <i>
      <x v="341"/>
      <x v="64"/>
      <x v="40"/>
    </i>
    <i>
      <x v="342"/>
      <x v="59"/>
      <x v="40"/>
    </i>
    <i t="grand">
      <x/>
    </i>
  </rowItems>
  <colFields count="1">
    <field x="0"/>
  </colFields>
  <colItems count="3">
    <i>
      <x v="1"/>
    </i>
    <i>
      <x v="2"/>
    </i>
    <i t="grand">
      <x/>
    </i>
  </colItems>
  <dataFields count="1">
    <dataField name="Suma de Existencia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347"/>
  <sheetViews>
    <sheetView workbookViewId="0">
      <selection sqref="A1:XFD1048576"/>
    </sheetView>
  </sheetViews>
  <sheetFormatPr baseColWidth="10" defaultRowHeight="15" x14ac:dyDescent="0.25"/>
  <cols>
    <col min="1" max="1" width="16.85546875" bestFit="1" customWidth="1"/>
    <col min="2" max="2" width="79" bestFit="1" customWidth="1"/>
    <col min="3" max="3" width="19.85546875" bestFit="1" customWidth="1"/>
    <col min="4" max="5" width="12" bestFit="1" customWidth="1"/>
    <col min="6" max="7" width="12.5703125" bestFit="1" customWidth="1"/>
  </cols>
  <sheetData>
    <row r="3" spans="1:6" x14ac:dyDescent="0.25">
      <c r="A3" s="1" t="s">
        <v>815</v>
      </c>
      <c r="D3" s="1" t="s">
        <v>0</v>
      </c>
    </row>
    <row r="4" spans="1:6" x14ac:dyDescent="0.25">
      <c r="A4" s="1" t="s">
        <v>1</v>
      </c>
      <c r="B4" s="1" t="s">
        <v>2</v>
      </c>
      <c r="C4" s="1" t="s">
        <v>6</v>
      </c>
      <c r="D4" t="s">
        <v>8</v>
      </c>
      <c r="E4" t="s">
        <v>13</v>
      </c>
      <c r="F4" t="s">
        <v>814</v>
      </c>
    </row>
    <row r="5" spans="1:6" x14ac:dyDescent="0.25">
      <c r="A5" t="s">
        <v>9</v>
      </c>
      <c r="B5" t="s">
        <v>10</v>
      </c>
      <c r="C5" t="s">
        <v>12</v>
      </c>
      <c r="D5" s="2">
        <v>10</v>
      </c>
      <c r="E5" s="2">
        <v>11</v>
      </c>
      <c r="F5" s="2">
        <v>21</v>
      </c>
    </row>
    <row r="6" spans="1:6" x14ac:dyDescent="0.25">
      <c r="A6" t="s">
        <v>14</v>
      </c>
      <c r="B6" t="s">
        <v>15</v>
      </c>
      <c r="C6" t="s">
        <v>12</v>
      </c>
      <c r="D6" s="2">
        <v>5</v>
      </c>
      <c r="E6" s="2">
        <v>4</v>
      </c>
      <c r="F6" s="2">
        <v>9</v>
      </c>
    </row>
    <row r="7" spans="1:6" x14ac:dyDescent="0.25">
      <c r="A7" t="s">
        <v>16</v>
      </c>
      <c r="B7" t="s">
        <v>17</v>
      </c>
      <c r="C7" t="s">
        <v>12</v>
      </c>
      <c r="D7" s="2"/>
      <c r="E7" s="2">
        <v>1</v>
      </c>
      <c r="F7" s="2">
        <v>1</v>
      </c>
    </row>
    <row r="8" spans="1:6" x14ac:dyDescent="0.25">
      <c r="A8" t="s">
        <v>19</v>
      </c>
      <c r="B8" t="s">
        <v>20</v>
      </c>
      <c r="C8" t="s">
        <v>12</v>
      </c>
      <c r="D8" s="2">
        <v>2</v>
      </c>
      <c r="E8" s="2"/>
      <c r="F8" s="2">
        <v>2</v>
      </c>
    </row>
    <row r="9" spans="1:6" x14ac:dyDescent="0.25">
      <c r="A9" t="s">
        <v>21</v>
      </c>
      <c r="B9" t="s">
        <v>22</v>
      </c>
      <c r="C9" t="s">
        <v>24</v>
      </c>
      <c r="D9" s="2">
        <v>1</v>
      </c>
      <c r="E9" s="2">
        <v>1</v>
      </c>
      <c r="F9" s="2">
        <v>2</v>
      </c>
    </row>
    <row r="10" spans="1:6" x14ac:dyDescent="0.25">
      <c r="A10" t="s">
        <v>25</v>
      </c>
      <c r="B10" t="s">
        <v>26</v>
      </c>
      <c r="C10" t="s">
        <v>12</v>
      </c>
      <c r="D10" s="2">
        <v>3</v>
      </c>
      <c r="E10" s="2">
        <v>2</v>
      </c>
      <c r="F10" s="2">
        <v>5</v>
      </c>
    </row>
    <row r="11" spans="1:6" x14ac:dyDescent="0.25">
      <c r="A11" t="s">
        <v>27</v>
      </c>
      <c r="B11" t="s">
        <v>28</v>
      </c>
      <c r="C11" t="s">
        <v>12</v>
      </c>
      <c r="D11" s="2">
        <v>9</v>
      </c>
      <c r="E11" s="2">
        <v>5</v>
      </c>
      <c r="F11" s="2">
        <v>14</v>
      </c>
    </row>
    <row r="12" spans="1:6" x14ac:dyDescent="0.25">
      <c r="A12" t="s">
        <v>29</v>
      </c>
      <c r="B12" t="s">
        <v>30</v>
      </c>
      <c r="C12" t="s">
        <v>12</v>
      </c>
      <c r="D12" s="2">
        <v>5</v>
      </c>
      <c r="E12" s="2">
        <v>6</v>
      </c>
      <c r="F12" s="2">
        <v>11</v>
      </c>
    </row>
    <row r="13" spans="1:6" x14ac:dyDescent="0.25">
      <c r="A13" t="s">
        <v>31</v>
      </c>
      <c r="B13" t="s">
        <v>32</v>
      </c>
      <c r="C13" t="s">
        <v>12</v>
      </c>
      <c r="D13" s="2">
        <v>7</v>
      </c>
      <c r="E13" s="2"/>
      <c r="F13" s="2">
        <v>7</v>
      </c>
    </row>
    <row r="14" spans="1:6" x14ac:dyDescent="0.25">
      <c r="A14" t="s">
        <v>33</v>
      </c>
      <c r="B14" t="s">
        <v>34</v>
      </c>
      <c r="C14" t="s">
        <v>35</v>
      </c>
      <c r="D14" s="2">
        <v>2</v>
      </c>
      <c r="E14" s="2">
        <v>5</v>
      </c>
      <c r="F14" s="2">
        <v>7</v>
      </c>
    </row>
    <row r="15" spans="1:6" x14ac:dyDescent="0.25">
      <c r="A15" t="s">
        <v>36</v>
      </c>
      <c r="B15" t="s">
        <v>37</v>
      </c>
      <c r="C15" t="s">
        <v>39</v>
      </c>
      <c r="D15" s="2">
        <v>1</v>
      </c>
      <c r="E15" s="2">
        <v>3</v>
      </c>
      <c r="F15" s="2">
        <v>4</v>
      </c>
    </row>
    <row r="16" spans="1:6" x14ac:dyDescent="0.25">
      <c r="A16" t="s">
        <v>40</v>
      </c>
      <c r="B16" t="s">
        <v>41</v>
      </c>
      <c r="C16" t="s">
        <v>43</v>
      </c>
      <c r="D16" s="2">
        <v>14</v>
      </c>
      <c r="E16" s="2">
        <v>19</v>
      </c>
      <c r="F16" s="2">
        <v>33</v>
      </c>
    </row>
    <row r="17" spans="1:6" x14ac:dyDescent="0.25">
      <c r="A17" t="s">
        <v>44</v>
      </c>
      <c r="B17" t="s">
        <v>45</v>
      </c>
      <c r="C17" t="s">
        <v>43</v>
      </c>
      <c r="D17" s="2">
        <v>17</v>
      </c>
      <c r="E17" s="2">
        <v>13</v>
      </c>
      <c r="F17" s="2">
        <v>30</v>
      </c>
    </row>
    <row r="18" spans="1:6" x14ac:dyDescent="0.25">
      <c r="A18" t="s">
        <v>46</v>
      </c>
      <c r="B18" t="s">
        <v>47</v>
      </c>
      <c r="C18" t="s">
        <v>43</v>
      </c>
      <c r="D18" s="2">
        <v>6</v>
      </c>
      <c r="E18" s="2">
        <v>19</v>
      </c>
      <c r="F18" s="2">
        <v>25</v>
      </c>
    </row>
    <row r="19" spans="1:6" x14ac:dyDescent="0.25">
      <c r="A19" t="s">
        <v>48</v>
      </c>
      <c r="B19" t="s">
        <v>49</v>
      </c>
      <c r="C19" t="s">
        <v>43</v>
      </c>
      <c r="D19" s="2">
        <v>8</v>
      </c>
      <c r="E19" s="2">
        <v>20</v>
      </c>
      <c r="F19" s="2">
        <v>28</v>
      </c>
    </row>
    <row r="20" spans="1:6" x14ac:dyDescent="0.25">
      <c r="A20" t="s">
        <v>50</v>
      </c>
      <c r="B20" t="s">
        <v>51</v>
      </c>
      <c r="C20" t="s">
        <v>53</v>
      </c>
      <c r="D20" s="2">
        <v>22</v>
      </c>
      <c r="E20" s="2">
        <v>30</v>
      </c>
      <c r="F20" s="2">
        <v>52</v>
      </c>
    </row>
    <row r="21" spans="1:6" x14ac:dyDescent="0.25">
      <c r="A21" t="s">
        <v>54</v>
      </c>
      <c r="B21" t="s">
        <v>55</v>
      </c>
      <c r="C21" t="s">
        <v>53</v>
      </c>
      <c r="D21" s="2">
        <v>16</v>
      </c>
      <c r="E21" s="2">
        <v>38</v>
      </c>
      <c r="F21" s="2">
        <v>54</v>
      </c>
    </row>
    <row r="22" spans="1:6" x14ac:dyDescent="0.25">
      <c r="A22" t="s">
        <v>56</v>
      </c>
      <c r="B22" t="s">
        <v>57</v>
      </c>
      <c r="C22" t="s">
        <v>59</v>
      </c>
      <c r="D22" s="2">
        <v>10</v>
      </c>
      <c r="E22" s="2">
        <v>27</v>
      </c>
      <c r="F22" s="2">
        <v>37</v>
      </c>
    </row>
    <row r="23" spans="1:6" x14ac:dyDescent="0.25">
      <c r="A23" t="s">
        <v>60</v>
      </c>
      <c r="B23" t="s">
        <v>61</v>
      </c>
      <c r="C23" t="s">
        <v>59</v>
      </c>
      <c r="D23" s="2">
        <v>22</v>
      </c>
      <c r="E23" s="2">
        <v>23</v>
      </c>
      <c r="F23" s="2">
        <v>45</v>
      </c>
    </row>
    <row r="24" spans="1:6" x14ac:dyDescent="0.25">
      <c r="A24" t="s">
        <v>62</v>
      </c>
      <c r="B24" t="s">
        <v>63</v>
      </c>
      <c r="C24" t="s">
        <v>59</v>
      </c>
      <c r="D24" s="2">
        <v>11</v>
      </c>
      <c r="E24" s="2">
        <v>12</v>
      </c>
      <c r="F24" s="2">
        <v>23</v>
      </c>
    </row>
    <row r="25" spans="1:6" x14ac:dyDescent="0.25">
      <c r="A25" t="s">
        <v>65</v>
      </c>
      <c r="B25" t="s">
        <v>66</v>
      </c>
      <c r="C25" t="s">
        <v>59</v>
      </c>
      <c r="D25" s="2">
        <v>12</v>
      </c>
      <c r="E25" s="2">
        <v>11</v>
      </c>
      <c r="F25" s="2">
        <v>23</v>
      </c>
    </row>
    <row r="26" spans="1:6" x14ac:dyDescent="0.25">
      <c r="A26" t="s">
        <v>67</v>
      </c>
      <c r="B26" t="s">
        <v>68</v>
      </c>
      <c r="C26" t="s">
        <v>59</v>
      </c>
      <c r="D26" s="2">
        <v>21</v>
      </c>
      <c r="E26" s="2"/>
      <c r="F26" s="2">
        <v>21</v>
      </c>
    </row>
    <row r="27" spans="1:6" x14ac:dyDescent="0.25">
      <c r="A27" t="s">
        <v>69</v>
      </c>
      <c r="B27" t="s">
        <v>70</v>
      </c>
      <c r="C27" t="s">
        <v>59</v>
      </c>
      <c r="D27" s="2">
        <v>20</v>
      </c>
      <c r="E27" s="2">
        <v>2</v>
      </c>
      <c r="F27" s="2">
        <v>22</v>
      </c>
    </row>
    <row r="28" spans="1:6" x14ac:dyDescent="0.25">
      <c r="A28" t="s">
        <v>71</v>
      </c>
      <c r="B28" t="s">
        <v>72</v>
      </c>
      <c r="C28" t="s">
        <v>74</v>
      </c>
      <c r="D28" s="2">
        <v>39</v>
      </c>
      <c r="E28" s="2">
        <v>40</v>
      </c>
      <c r="F28" s="2">
        <v>79</v>
      </c>
    </row>
    <row r="29" spans="1:6" x14ac:dyDescent="0.25">
      <c r="A29" t="s">
        <v>75</v>
      </c>
      <c r="B29" t="s">
        <v>76</v>
      </c>
      <c r="C29" t="s">
        <v>77</v>
      </c>
      <c r="D29" s="2">
        <v>2</v>
      </c>
      <c r="E29" s="2"/>
      <c r="F29" s="2">
        <v>2</v>
      </c>
    </row>
    <row r="30" spans="1:6" x14ac:dyDescent="0.25">
      <c r="A30" t="s">
        <v>78</v>
      </c>
      <c r="B30" t="s">
        <v>79</v>
      </c>
      <c r="C30" t="s">
        <v>80</v>
      </c>
      <c r="D30" s="2">
        <v>7</v>
      </c>
      <c r="E30" s="2">
        <v>1</v>
      </c>
      <c r="F30" s="2">
        <v>8</v>
      </c>
    </row>
    <row r="31" spans="1:6" x14ac:dyDescent="0.25">
      <c r="A31" t="s">
        <v>81</v>
      </c>
      <c r="B31" t="s">
        <v>82</v>
      </c>
      <c r="C31" t="s">
        <v>74</v>
      </c>
      <c r="D31" s="2">
        <v>42</v>
      </c>
      <c r="E31" s="2">
        <v>39</v>
      </c>
      <c r="F31" s="2">
        <v>81</v>
      </c>
    </row>
    <row r="32" spans="1:6" x14ac:dyDescent="0.25">
      <c r="A32" t="s">
        <v>83</v>
      </c>
      <c r="B32" t="s">
        <v>84</v>
      </c>
      <c r="C32" t="s">
        <v>74</v>
      </c>
      <c r="D32" s="2">
        <v>23</v>
      </c>
      <c r="E32" s="2">
        <v>18</v>
      </c>
      <c r="F32" s="2">
        <v>41</v>
      </c>
    </row>
    <row r="33" spans="1:6" x14ac:dyDescent="0.25">
      <c r="A33" t="s">
        <v>85</v>
      </c>
      <c r="B33" t="s">
        <v>86</v>
      </c>
      <c r="C33" t="s">
        <v>39</v>
      </c>
      <c r="D33" s="2">
        <v>6</v>
      </c>
      <c r="E33" s="2"/>
      <c r="F33" s="2">
        <v>6</v>
      </c>
    </row>
    <row r="34" spans="1:6" x14ac:dyDescent="0.25">
      <c r="A34" t="s">
        <v>87</v>
      </c>
      <c r="B34" t="s">
        <v>88</v>
      </c>
      <c r="C34" t="s">
        <v>74</v>
      </c>
      <c r="D34" s="2">
        <v>1</v>
      </c>
      <c r="E34" s="2"/>
      <c r="F34" s="2">
        <v>1</v>
      </c>
    </row>
    <row r="35" spans="1:6" x14ac:dyDescent="0.25">
      <c r="A35" t="s">
        <v>90</v>
      </c>
      <c r="B35" t="s">
        <v>91</v>
      </c>
      <c r="C35" t="s">
        <v>74</v>
      </c>
      <c r="D35" s="2">
        <v>10</v>
      </c>
      <c r="E35" s="2">
        <v>10</v>
      </c>
      <c r="F35" s="2">
        <v>20</v>
      </c>
    </row>
    <row r="36" spans="1:6" x14ac:dyDescent="0.25">
      <c r="A36" t="s">
        <v>92</v>
      </c>
      <c r="B36" t="s">
        <v>93</v>
      </c>
      <c r="C36" t="s">
        <v>94</v>
      </c>
      <c r="D36" s="2">
        <v>1</v>
      </c>
      <c r="E36" s="2"/>
      <c r="F36" s="2">
        <v>1</v>
      </c>
    </row>
    <row r="37" spans="1:6" x14ac:dyDescent="0.25">
      <c r="A37" t="s">
        <v>95</v>
      </c>
      <c r="B37" t="s">
        <v>96</v>
      </c>
      <c r="C37" t="s">
        <v>77</v>
      </c>
      <c r="D37" s="2"/>
      <c r="E37" s="2">
        <v>10</v>
      </c>
      <c r="F37" s="2">
        <v>10</v>
      </c>
    </row>
    <row r="38" spans="1:6" x14ac:dyDescent="0.25">
      <c r="A38" t="s">
        <v>97</v>
      </c>
      <c r="B38" t="s">
        <v>98</v>
      </c>
      <c r="C38" t="s">
        <v>77</v>
      </c>
      <c r="D38" s="2">
        <v>2</v>
      </c>
      <c r="E38" s="2"/>
      <c r="F38" s="2">
        <v>2</v>
      </c>
    </row>
    <row r="39" spans="1:6" x14ac:dyDescent="0.25">
      <c r="A39" t="s">
        <v>99</v>
      </c>
      <c r="B39" t="s">
        <v>100</v>
      </c>
      <c r="C39" t="s">
        <v>101</v>
      </c>
      <c r="D39" s="2">
        <v>2</v>
      </c>
      <c r="E39" s="2">
        <v>3</v>
      </c>
      <c r="F39" s="2">
        <v>5</v>
      </c>
    </row>
    <row r="40" spans="1:6" x14ac:dyDescent="0.25">
      <c r="A40" t="s">
        <v>102</v>
      </c>
      <c r="B40" t="s">
        <v>103</v>
      </c>
      <c r="C40" t="s">
        <v>104</v>
      </c>
      <c r="D40" s="2"/>
      <c r="E40" s="2">
        <v>1</v>
      </c>
      <c r="F40" s="2">
        <v>1</v>
      </c>
    </row>
    <row r="41" spans="1:6" x14ac:dyDescent="0.25">
      <c r="A41" t="s">
        <v>105</v>
      </c>
      <c r="B41" t="s">
        <v>106</v>
      </c>
      <c r="C41" t="s">
        <v>104</v>
      </c>
      <c r="D41" s="2"/>
      <c r="E41" s="2">
        <v>7</v>
      </c>
      <c r="F41" s="2">
        <v>7</v>
      </c>
    </row>
    <row r="42" spans="1:6" x14ac:dyDescent="0.25">
      <c r="A42" t="s">
        <v>107</v>
      </c>
      <c r="B42" t="s">
        <v>108</v>
      </c>
      <c r="C42" t="s">
        <v>104</v>
      </c>
      <c r="D42" s="2"/>
      <c r="E42" s="2">
        <v>1</v>
      </c>
      <c r="F42" s="2">
        <v>1</v>
      </c>
    </row>
    <row r="43" spans="1:6" x14ac:dyDescent="0.25">
      <c r="A43" t="s">
        <v>109</v>
      </c>
      <c r="B43" t="s">
        <v>110</v>
      </c>
      <c r="C43" t="s">
        <v>104</v>
      </c>
      <c r="D43" s="2">
        <v>1</v>
      </c>
      <c r="E43" s="2"/>
      <c r="F43" s="2">
        <v>1</v>
      </c>
    </row>
    <row r="44" spans="1:6" x14ac:dyDescent="0.25">
      <c r="A44" t="s">
        <v>111</v>
      </c>
      <c r="B44" t="s">
        <v>112</v>
      </c>
      <c r="C44" t="s">
        <v>104</v>
      </c>
      <c r="D44" s="2">
        <v>1</v>
      </c>
      <c r="E44" s="2"/>
      <c r="F44" s="2">
        <v>1</v>
      </c>
    </row>
    <row r="45" spans="1:6" x14ac:dyDescent="0.25">
      <c r="A45" t="s">
        <v>113</v>
      </c>
      <c r="B45" t="s">
        <v>114</v>
      </c>
      <c r="C45" t="s">
        <v>104</v>
      </c>
      <c r="D45" s="2">
        <v>1</v>
      </c>
      <c r="E45" s="2"/>
      <c r="F45" s="2">
        <v>1</v>
      </c>
    </row>
    <row r="46" spans="1:6" x14ac:dyDescent="0.25">
      <c r="A46" t="s">
        <v>115</v>
      </c>
      <c r="B46" t="s">
        <v>116</v>
      </c>
      <c r="C46" t="s">
        <v>104</v>
      </c>
      <c r="D46" s="2">
        <v>4</v>
      </c>
      <c r="E46" s="2"/>
      <c r="F46" s="2">
        <v>4</v>
      </c>
    </row>
    <row r="47" spans="1:6" x14ac:dyDescent="0.25">
      <c r="A47" t="s">
        <v>117</v>
      </c>
      <c r="B47" t="s">
        <v>118</v>
      </c>
      <c r="C47" t="s">
        <v>104</v>
      </c>
      <c r="D47" s="2"/>
      <c r="E47" s="2">
        <v>3</v>
      </c>
      <c r="F47" s="2">
        <v>3</v>
      </c>
    </row>
    <row r="48" spans="1:6" x14ac:dyDescent="0.25">
      <c r="A48" t="s">
        <v>119</v>
      </c>
      <c r="B48" t="s">
        <v>120</v>
      </c>
      <c r="C48" t="s">
        <v>104</v>
      </c>
      <c r="D48" s="2">
        <v>3</v>
      </c>
      <c r="E48" s="2"/>
      <c r="F48" s="2">
        <v>3</v>
      </c>
    </row>
    <row r="49" spans="1:6" x14ac:dyDescent="0.25">
      <c r="A49" t="s">
        <v>121</v>
      </c>
      <c r="B49" t="s">
        <v>122</v>
      </c>
      <c r="C49" t="s">
        <v>104</v>
      </c>
      <c r="D49" s="2">
        <v>3</v>
      </c>
      <c r="E49" s="2">
        <v>2</v>
      </c>
      <c r="F49" s="2">
        <v>5</v>
      </c>
    </row>
    <row r="50" spans="1:6" x14ac:dyDescent="0.25">
      <c r="A50" t="s">
        <v>123</v>
      </c>
      <c r="B50" t="s">
        <v>124</v>
      </c>
      <c r="C50" t="s">
        <v>104</v>
      </c>
      <c r="D50" s="2">
        <v>2</v>
      </c>
      <c r="E50" s="2">
        <v>1</v>
      </c>
      <c r="F50" s="2">
        <v>3</v>
      </c>
    </row>
    <row r="51" spans="1:6" x14ac:dyDescent="0.25">
      <c r="A51" t="s">
        <v>125</v>
      </c>
      <c r="B51" t="s">
        <v>126</v>
      </c>
      <c r="C51" t="s">
        <v>104</v>
      </c>
      <c r="D51" s="2">
        <v>1</v>
      </c>
      <c r="E51" s="2"/>
      <c r="F51" s="2">
        <v>1</v>
      </c>
    </row>
    <row r="52" spans="1:6" x14ac:dyDescent="0.25">
      <c r="A52" t="s">
        <v>127</v>
      </c>
      <c r="B52" t="s">
        <v>128</v>
      </c>
      <c r="C52" t="s">
        <v>129</v>
      </c>
      <c r="D52" s="2">
        <v>1</v>
      </c>
      <c r="E52" s="2"/>
      <c r="F52" s="2">
        <v>1</v>
      </c>
    </row>
    <row r="53" spans="1:6" x14ac:dyDescent="0.25">
      <c r="A53" t="s">
        <v>130</v>
      </c>
      <c r="B53" t="s">
        <v>131</v>
      </c>
      <c r="C53" t="s">
        <v>129</v>
      </c>
      <c r="D53" s="2"/>
      <c r="E53" s="2">
        <v>1</v>
      </c>
      <c r="F53" s="2">
        <v>1</v>
      </c>
    </row>
    <row r="54" spans="1:6" x14ac:dyDescent="0.25">
      <c r="A54" t="s">
        <v>132</v>
      </c>
      <c r="B54" t="s">
        <v>133</v>
      </c>
      <c r="C54" t="s">
        <v>129</v>
      </c>
      <c r="D54" s="2">
        <v>1</v>
      </c>
      <c r="E54" s="2">
        <v>2</v>
      </c>
      <c r="F54" s="2">
        <v>3</v>
      </c>
    </row>
    <row r="55" spans="1:6" x14ac:dyDescent="0.25">
      <c r="A55" t="s">
        <v>134</v>
      </c>
      <c r="B55" t="s">
        <v>135</v>
      </c>
      <c r="C55" t="s">
        <v>129</v>
      </c>
      <c r="D55" s="2">
        <v>1</v>
      </c>
      <c r="E55" s="2"/>
      <c r="F55" s="2">
        <v>1</v>
      </c>
    </row>
    <row r="56" spans="1:6" x14ac:dyDescent="0.25">
      <c r="A56" t="s">
        <v>136</v>
      </c>
      <c r="B56" t="s">
        <v>137</v>
      </c>
      <c r="C56" t="s">
        <v>129</v>
      </c>
      <c r="D56" s="2">
        <v>2</v>
      </c>
      <c r="E56" s="2"/>
      <c r="F56" s="2">
        <v>2</v>
      </c>
    </row>
    <row r="57" spans="1:6" x14ac:dyDescent="0.25">
      <c r="A57" t="s">
        <v>138</v>
      </c>
      <c r="B57" t="s">
        <v>139</v>
      </c>
      <c r="C57" t="s">
        <v>129</v>
      </c>
      <c r="D57" s="2">
        <v>1</v>
      </c>
      <c r="E57" s="2">
        <v>2</v>
      </c>
      <c r="F57" s="2">
        <v>3</v>
      </c>
    </row>
    <row r="58" spans="1:6" x14ac:dyDescent="0.25">
      <c r="A58" t="s">
        <v>140</v>
      </c>
      <c r="B58" t="s">
        <v>141</v>
      </c>
      <c r="C58" t="s">
        <v>129</v>
      </c>
      <c r="D58" s="2">
        <v>1</v>
      </c>
      <c r="E58" s="2"/>
      <c r="F58" s="2">
        <v>1</v>
      </c>
    </row>
    <row r="59" spans="1:6" x14ac:dyDescent="0.25">
      <c r="A59" t="s">
        <v>142</v>
      </c>
      <c r="B59" t="s">
        <v>143</v>
      </c>
      <c r="C59" t="s">
        <v>12</v>
      </c>
      <c r="D59" s="2"/>
      <c r="E59" s="2">
        <v>1</v>
      </c>
      <c r="F59" s="2">
        <v>1</v>
      </c>
    </row>
    <row r="60" spans="1:6" x14ac:dyDescent="0.25">
      <c r="A60" t="s">
        <v>144</v>
      </c>
      <c r="B60" t="s">
        <v>145</v>
      </c>
      <c r="C60" t="s">
        <v>12</v>
      </c>
      <c r="D60" s="2">
        <v>6</v>
      </c>
      <c r="E60" s="2">
        <v>7</v>
      </c>
      <c r="F60" s="2">
        <v>13</v>
      </c>
    </row>
    <row r="61" spans="1:6" x14ac:dyDescent="0.25">
      <c r="A61" t="s">
        <v>146</v>
      </c>
      <c r="B61" t="s">
        <v>147</v>
      </c>
      <c r="C61" t="s">
        <v>12</v>
      </c>
      <c r="D61" s="2">
        <v>10</v>
      </c>
      <c r="E61" s="2"/>
      <c r="F61" s="2">
        <v>10</v>
      </c>
    </row>
    <row r="62" spans="1:6" x14ac:dyDescent="0.25">
      <c r="A62" t="s">
        <v>148</v>
      </c>
      <c r="B62" t="s">
        <v>149</v>
      </c>
      <c r="C62" t="s">
        <v>12</v>
      </c>
      <c r="D62" s="2">
        <v>3</v>
      </c>
      <c r="E62" s="2"/>
      <c r="F62" s="2">
        <v>3</v>
      </c>
    </row>
    <row r="63" spans="1:6" x14ac:dyDescent="0.25">
      <c r="A63" t="s">
        <v>150</v>
      </c>
      <c r="B63" t="s">
        <v>151</v>
      </c>
      <c r="C63" t="s">
        <v>12</v>
      </c>
      <c r="D63" s="2">
        <v>7</v>
      </c>
      <c r="E63" s="2">
        <v>3</v>
      </c>
      <c r="F63" s="2">
        <v>10</v>
      </c>
    </row>
    <row r="64" spans="1:6" x14ac:dyDescent="0.25">
      <c r="A64" t="s">
        <v>152</v>
      </c>
      <c r="B64" t="s">
        <v>153</v>
      </c>
      <c r="C64" t="s">
        <v>155</v>
      </c>
      <c r="D64" s="2"/>
      <c r="E64" s="2">
        <v>1</v>
      </c>
      <c r="F64" s="2">
        <v>1</v>
      </c>
    </row>
    <row r="65" spans="1:6" x14ac:dyDescent="0.25">
      <c r="A65" t="s">
        <v>156</v>
      </c>
      <c r="B65" t="s">
        <v>157</v>
      </c>
      <c r="C65" t="s">
        <v>53</v>
      </c>
      <c r="D65" s="2">
        <v>13</v>
      </c>
      <c r="E65" s="2">
        <v>12</v>
      </c>
      <c r="F65" s="2">
        <v>25</v>
      </c>
    </row>
    <row r="66" spans="1:6" x14ac:dyDescent="0.25">
      <c r="A66" t="s">
        <v>158</v>
      </c>
      <c r="B66" t="s">
        <v>159</v>
      </c>
      <c r="C66" t="s">
        <v>53</v>
      </c>
      <c r="D66" s="2">
        <v>18</v>
      </c>
      <c r="E66" s="2">
        <v>15</v>
      </c>
      <c r="F66" s="2">
        <v>33</v>
      </c>
    </row>
    <row r="67" spans="1:6" x14ac:dyDescent="0.25">
      <c r="A67" t="s">
        <v>160</v>
      </c>
      <c r="B67" t="s">
        <v>161</v>
      </c>
      <c r="C67" t="s">
        <v>59</v>
      </c>
      <c r="D67" s="2">
        <v>26</v>
      </c>
      <c r="E67" s="2">
        <v>24</v>
      </c>
      <c r="F67" s="2">
        <v>50</v>
      </c>
    </row>
    <row r="68" spans="1:6" x14ac:dyDescent="0.25">
      <c r="A68" t="s">
        <v>162</v>
      </c>
      <c r="B68" t="s">
        <v>163</v>
      </c>
      <c r="C68" t="s">
        <v>165</v>
      </c>
      <c r="D68" s="2">
        <v>10</v>
      </c>
      <c r="E68" s="2">
        <v>24</v>
      </c>
      <c r="F68" s="2">
        <v>34</v>
      </c>
    </row>
    <row r="69" spans="1:6" x14ac:dyDescent="0.25">
      <c r="A69" t="s">
        <v>166</v>
      </c>
      <c r="B69" t="s">
        <v>167</v>
      </c>
      <c r="C69" t="s">
        <v>165</v>
      </c>
      <c r="D69" s="2">
        <v>12</v>
      </c>
      <c r="E69" s="2">
        <v>24</v>
      </c>
      <c r="F69" s="2">
        <v>36</v>
      </c>
    </row>
    <row r="70" spans="1:6" x14ac:dyDescent="0.25">
      <c r="A70" t="s">
        <v>168</v>
      </c>
      <c r="B70" t="s">
        <v>169</v>
      </c>
      <c r="C70" t="s">
        <v>165</v>
      </c>
      <c r="D70" s="2">
        <v>12</v>
      </c>
      <c r="E70" s="2">
        <v>25</v>
      </c>
      <c r="F70" s="2">
        <v>37</v>
      </c>
    </row>
    <row r="71" spans="1:6" x14ac:dyDescent="0.25">
      <c r="A71" t="s">
        <v>170</v>
      </c>
      <c r="B71" t="s">
        <v>171</v>
      </c>
      <c r="C71" t="s">
        <v>173</v>
      </c>
      <c r="D71" s="2">
        <v>13</v>
      </c>
      <c r="E71" s="2">
        <v>12</v>
      </c>
      <c r="F71" s="2">
        <v>25</v>
      </c>
    </row>
    <row r="72" spans="1:6" x14ac:dyDescent="0.25">
      <c r="A72" t="s">
        <v>174</v>
      </c>
      <c r="B72" t="s">
        <v>175</v>
      </c>
      <c r="C72" t="s">
        <v>173</v>
      </c>
      <c r="D72" s="2">
        <v>13</v>
      </c>
      <c r="E72" s="2">
        <v>12</v>
      </c>
      <c r="F72" s="2">
        <v>25</v>
      </c>
    </row>
    <row r="73" spans="1:6" x14ac:dyDescent="0.25">
      <c r="A73" t="s">
        <v>176</v>
      </c>
      <c r="B73" t="s">
        <v>177</v>
      </c>
      <c r="C73" t="s">
        <v>173</v>
      </c>
      <c r="D73" s="2">
        <v>14</v>
      </c>
      <c r="E73" s="2">
        <v>16</v>
      </c>
      <c r="F73" s="2">
        <v>30</v>
      </c>
    </row>
    <row r="74" spans="1:6" x14ac:dyDescent="0.25">
      <c r="A74" t="s">
        <v>178</v>
      </c>
      <c r="B74" t="s">
        <v>179</v>
      </c>
      <c r="C74" t="s">
        <v>173</v>
      </c>
      <c r="D74" s="2">
        <v>18</v>
      </c>
      <c r="E74" s="2">
        <v>13</v>
      </c>
      <c r="F74" s="2">
        <v>31</v>
      </c>
    </row>
    <row r="75" spans="1:6" x14ac:dyDescent="0.25">
      <c r="A75" t="s">
        <v>180</v>
      </c>
      <c r="B75" t="s">
        <v>181</v>
      </c>
      <c r="C75" t="s">
        <v>173</v>
      </c>
      <c r="D75" s="2">
        <v>12</v>
      </c>
      <c r="E75" s="2">
        <v>12</v>
      </c>
      <c r="F75" s="2">
        <v>24</v>
      </c>
    </row>
    <row r="76" spans="1:6" x14ac:dyDescent="0.25">
      <c r="A76" t="s">
        <v>182</v>
      </c>
      <c r="B76" t="s">
        <v>183</v>
      </c>
      <c r="C76" t="s">
        <v>59</v>
      </c>
      <c r="D76" s="2">
        <v>22</v>
      </c>
      <c r="E76" s="2"/>
      <c r="F76" s="2">
        <v>22</v>
      </c>
    </row>
    <row r="77" spans="1:6" x14ac:dyDescent="0.25">
      <c r="A77" t="s">
        <v>184</v>
      </c>
      <c r="B77" t="s">
        <v>185</v>
      </c>
      <c r="C77" t="s">
        <v>813</v>
      </c>
      <c r="D77" s="2"/>
      <c r="E77" s="2"/>
      <c r="F77" s="2"/>
    </row>
    <row r="78" spans="1:6" x14ac:dyDescent="0.25">
      <c r="A78" t="s">
        <v>187</v>
      </c>
      <c r="B78" t="s">
        <v>188</v>
      </c>
      <c r="C78" t="s">
        <v>190</v>
      </c>
      <c r="D78" s="2">
        <v>12</v>
      </c>
      <c r="E78" s="2">
        <v>7</v>
      </c>
      <c r="F78" s="2">
        <v>19</v>
      </c>
    </row>
    <row r="79" spans="1:6" x14ac:dyDescent="0.25">
      <c r="A79" t="s">
        <v>191</v>
      </c>
      <c r="B79" t="s">
        <v>192</v>
      </c>
      <c r="C79" t="s">
        <v>194</v>
      </c>
      <c r="D79" s="2">
        <v>1</v>
      </c>
      <c r="E79" s="2"/>
      <c r="F79" s="2">
        <v>1</v>
      </c>
    </row>
    <row r="80" spans="1:6" x14ac:dyDescent="0.25">
      <c r="A80" t="s">
        <v>195</v>
      </c>
      <c r="B80" t="s">
        <v>196</v>
      </c>
      <c r="C80" t="s">
        <v>194</v>
      </c>
      <c r="D80" s="2">
        <v>1</v>
      </c>
      <c r="E80" s="2"/>
      <c r="F80" s="2">
        <v>1</v>
      </c>
    </row>
    <row r="81" spans="1:6" x14ac:dyDescent="0.25">
      <c r="A81" t="s">
        <v>198</v>
      </c>
      <c r="B81" t="s">
        <v>199</v>
      </c>
      <c r="C81" t="s">
        <v>201</v>
      </c>
      <c r="D81" s="2">
        <v>1</v>
      </c>
      <c r="E81" s="2">
        <v>2</v>
      </c>
      <c r="F81" s="2">
        <v>3</v>
      </c>
    </row>
    <row r="82" spans="1:6" x14ac:dyDescent="0.25">
      <c r="A82" t="s">
        <v>202</v>
      </c>
      <c r="B82" t="s">
        <v>203</v>
      </c>
      <c r="C82" t="s">
        <v>205</v>
      </c>
      <c r="D82" s="2">
        <v>15</v>
      </c>
      <c r="E82" s="2">
        <v>21</v>
      </c>
      <c r="F82" s="2">
        <v>36</v>
      </c>
    </row>
    <row r="83" spans="1:6" x14ac:dyDescent="0.25">
      <c r="A83" t="s">
        <v>206</v>
      </c>
      <c r="B83" t="s">
        <v>207</v>
      </c>
      <c r="C83" t="s">
        <v>205</v>
      </c>
      <c r="D83" s="2">
        <v>38</v>
      </c>
      <c r="E83" s="2">
        <v>34</v>
      </c>
      <c r="F83" s="2">
        <v>72</v>
      </c>
    </row>
    <row r="84" spans="1:6" x14ac:dyDescent="0.25">
      <c r="A84" t="s">
        <v>208</v>
      </c>
      <c r="B84" t="s">
        <v>209</v>
      </c>
      <c r="C84" t="s">
        <v>205</v>
      </c>
      <c r="D84" s="2">
        <v>21</v>
      </c>
      <c r="E84" s="2">
        <v>30</v>
      </c>
      <c r="F84" s="2">
        <v>51</v>
      </c>
    </row>
    <row r="85" spans="1:6" x14ac:dyDescent="0.25">
      <c r="A85" t="s">
        <v>210</v>
      </c>
      <c r="B85" t="s">
        <v>211</v>
      </c>
      <c r="C85" t="s">
        <v>205</v>
      </c>
      <c r="D85" s="2">
        <v>33</v>
      </c>
      <c r="E85" s="2">
        <v>25</v>
      </c>
      <c r="F85" s="2">
        <v>58</v>
      </c>
    </row>
    <row r="86" spans="1:6" x14ac:dyDescent="0.25">
      <c r="A86" t="s">
        <v>212</v>
      </c>
      <c r="B86" t="s">
        <v>213</v>
      </c>
      <c r="C86" t="s">
        <v>214</v>
      </c>
      <c r="D86" s="2">
        <v>12</v>
      </c>
      <c r="E86" s="2">
        <v>11</v>
      </c>
      <c r="F86" s="2">
        <v>23</v>
      </c>
    </row>
    <row r="87" spans="1:6" x14ac:dyDescent="0.25">
      <c r="A87" t="s">
        <v>215</v>
      </c>
      <c r="B87" t="s">
        <v>216</v>
      </c>
      <c r="C87" t="s">
        <v>218</v>
      </c>
      <c r="D87" s="2">
        <v>1</v>
      </c>
      <c r="E87" s="2"/>
      <c r="F87" s="2">
        <v>1</v>
      </c>
    </row>
    <row r="88" spans="1:6" x14ac:dyDescent="0.25">
      <c r="A88" t="s">
        <v>219</v>
      </c>
      <c r="B88" t="s">
        <v>220</v>
      </c>
      <c r="C88" t="s">
        <v>218</v>
      </c>
      <c r="D88" s="2">
        <v>79</v>
      </c>
      <c r="E88" s="2">
        <v>83</v>
      </c>
      <c r="F88" s="2">
        <v>162</v>
      </c>
    </row>
    <row r="89" spans="1:6" x14ac:dyDescent="0.25">
      <c r="A89" t="s">
        <v>222</v>
      </c>
      <c r="B89" t="s">
        <v>223</v>
      </c>
      <c r="C89" t="s">
        <v>218</v>
      </c>
      <c r="D89" s="2">
        <v>14</v>
      </c>
      <c r="E89" s="2">
        <v>16</v>
      </c>
      <c r="F89" s="2">
        <v>30</v>
      </c>
    </row>
    <row r="90" spans="1:6" x14ac:dyDescent="0.25">
      <c r="A90" t="s">
        <v>224</v>
      </c>
      <c r="B90" t="s">
        <v>225</v>
      </c>
      <c r="C90" t="s">
        <v>218</v>
      </c>
      <c r="D90" s="2">
        <v>12</v>
      </c>
      <c r="E90" s="2">
        <v>9</v>
      </c>
      <c r="F90" s="2">
        <v>21</v>
      </c>
    </row>
    <row r="91" spans="1:6" x14ac:dyDescent="0.25">
      <c r="A91" t="s">
        <v>226</v>
      </c>
      <c r="B91" t="s">
        <v>227</v>
      </c>
      <c r="C91" t="s">
        <v>218</v>
      </c>
      <c r="D91" s="2">
        <v>1</v>
      </c>
      <c r="E91" s="2"/>
      <c r="F91" s="2">
        <v>1</v>
      </c>
    </row>
    <row r="92" spans="1:6" x14ac:dyDescent="0.25">
      <c r="A92" t="s">
        <v>228</v>
      </c>
      <c r="B92" t="s">
        <v>229</v>
      </c>
      <c r="C92" t="s">
        <v>218</v>
      </c>
      <c r="D92" s="2">
        <v>10</v>
      </c>
      <c r="E92" s="2">
        <v>11</v>
      </c>
      <c r="F92" s="2">
        <v>21</v>
      </c>
    </row>
    <row r="93" spans="1:6" x14ac:dyDescent="0.25">
      <c r="A93" t="s">
        <v>230</v>
      </c>
      <c r="B93" t="s">
        <v>231</v>
      </c>
      <c r="C93" t="s">
        <v>218</v>
      </c>
      <c r="D93" s="2">
        <v>12</v>
      </c>
      <c r="E93" s="2">
        <v>4</v>
      </c>
      <c r="F93" s="2">
        <v>16</v>
      </c>
    </row>
    <row r="94" spans="1:6" x14ac:dyDescent="0.25">
      <c r="A94" t="s">
        <v>233</v>
      </c>
      <c r="B94" t="s">
        <v>234</v>
      </c>
      <c r="C94" t="s">
        <v>218</v>
      </c>
      <c r="D94" s="2">
        <v>11</v>
      </c>
      <c r="E94" s="2">
        <v>7</v>
      </c>
      <c r="F94" s="2">
        <v>18</v>
      </c>
    </row>
    <row r="95" spans="1:6" x14ac:dyDescent="0.25">
      <c r="A95" t="s">
        <v>236</v>
      </c>
      <c r="B95" t="s">
        <v>237</v>
      </c>
      <c r="C95" t="s">
        <v>218</v>
      </c>
      <c r="D95" s="2">
        <v>31</v>
      </c>
      <c r="E95" s="2">
        <v>28</v>
      </c>
      <c r="F95" s="2">
        <v>59</v>
      </c>
    </row>
    <row r="96" spans="1:6" x14ac:dyDescent="0.25">
      <c r="A96" t="s">
        <v>239</v>
      </c>
      <c r="B96" t="s">
        <v>240</v>
      </c>
      <c r="C96" t="s">
        <v>201</v>
      </c>
      <c r="D96" s="2">
        <v>1</v>
      </c>
      <c r="E96" s="2"/>
      <c r="F96" s="2">
        <v>1</v>
      </c>
    </row>
    <row r="97" spans="1:6" x14ac:dyDescent="0.25">
      <c r="A97" t="s">
        <v>242</v>
      </c>
      <c r="B97" t="s">
        <v>243</v>
      </c>
      <c r="C97" t="s">
        <v>129</v>
      </c>
      <c r="D97" s="2"/>
      <c r="E97" s="2">
        <v>1</v>
      </c>
      <c r="F97" s="2">
        <v>1</v>
      </c>
    </row>
    <row r="98" spans="1:6" x14ac:dyDescent="0.25">
      <c r="A98" t="s">
        <v>244</v>
      </c>
      <c r="B98" t="s">
        <v>245</v>
      </c>
      <c r="C98" t="s">
        <v>12</v>
      </c>
      <c r="D98" s="2">
        <v>3</v>
      </c>
      <c r="E98" s="2"/>
      <c r="F98" s="2">
        <v>3</v>
      </c>
    </row>
    <row r="99" spans="1:6" x14ac:dyDescent="0.25">
      <c r="A99" t="s">
        <v>246</v>
      </c>
      <c r="B99" t="s">
        <v>247</v>
      </c>
      <c r="C99" t="s">
        <v>12</v>
      </c>
      <c r="D99" s="2">
        <v>1</v>
      </c>
      <c r="E99" s="2"/>
      <c r="F99" s="2">
        <v>1</v>
      </c>
    </row>
    <row r="100" spans="1:6" x14ac:dyDescent="0.25">
      <c r="A100" t="s">
        <v>248</v>
      </c>
      <c r="B100" t="s">
        <v>249</v>
      </c>
      <c r="C100" t="s">
        <v>12</v>
      </c>
      <c r="D100" s="2">
        <v>9</v>
      </c>
      <c r="E100" s="2"/>
      <c r="F100" s="2">
        <v>9</v>
      </c>
    </row>
    <row r="101" spans="1:6" x14ac:dyDescent="0.25">
      <c r="A101" t="s">
        <v>250</v>
      </c>
      <c r="B101" t="s">
        <v>251</v>
      </c>
      <c r="C101" t="s">
        <v>12</v>
      </c>
      <c r="D101" s="2">
        <v>12</v>
      </c>
      <c r="E101" s="2"/>
      <c r="F101" s="2">
        <v>12</v>
      </c>
    </row>
    <row r="102" spans="1:6" x14ac:dyDescent="0.25">
      <c r="A102" t="s">
        <v>252</v>
      </c>
      <c r="B102" t="s">
        <v>253</v>
      </c>
      <c r="C102" t="s">
        <v>129</v>
      </c>
      <c r="D102" s="2">
        <v>3</v>
      </c>
      <c r="E102" s="2"/>
      <c r="F102" s="2">
        <v>3</v>
      </c>
    </row>
    <row r="103" spans="1:6" x14ac:dyDescent="0.25">
      <c r="A103" t="s">
        <v>254</v>
      </c>
      <c r="B103" t="s">
        <v>255</v>
      </c>
      <c r="C103" t="s">
        <v>129</v>
      </c>
      <c r="D103" s="2">
        <v>2</v>
      </c>
      <c r="E103" s="2"/>
      <c r="F103" s="2">
        <v>2</v>
      </c>
    </row>
    <row r="104" spans="1:6" x14ac:dyDescent="0.25">
      <c r="A104" t="s">
        <v>256</v>
      </c>
      <c r="B104" t="s">
        <v>257</v>
      </c>
      <c r="C104" t="s">
        <v>129</v>
      </c>
      <c r="D104" s="2"/>
      <c r="E104" s="2">
        <v>3</v>
      </c>
      <c r="F104" s="2">
        <v>3</v>
      </c>
    </row>
    <row r="105" spans="1:6" x14ac:dyDescent="0.25">
      <c r="A105" t="s">
        <v>258</v>
      </c>
      <c r="B105" t="s">
        <v>259</v>
      </c>
      <c r="C105" t="s">
        <v>129</v>
      </c>
      <c r="D105" s="2"/>
      <c r="E105" s="2">
        <v>1</v>
      </c>
      <c r="F105" s="2">
        <v>1</v>
      </c>
    </row>
    <row r="106" spans="1:6" x14ac:dyDescent="0.25">
      <c r="A106" t="s">
        <v>260</v>
      </c>
      <c r="B106" t="s">
        <v>261</v>
      </c>
      <c r="C106" t="s">
        <v>129</v>
      </c>
      <c r="D106" s="2"/>
      <c r="E106" s="2">
        <v>1</v>
      </c>
      <c r="F106" s="2">
        <v>1</v>
      </c>
    </row>
    <row r="107" spans="1:6" x14ac:dyDescent="0.25">
      <c r="A107" t="s">
        <v>262</v>
      </c>
      <c r="B107" t="s">
        <v>263</v>
      </c>
      <c r="C107" t="s">
        <v>129</v>
      </c>
      <c r="D107" s="2">
        <v>1</v>
      </c>
      <c r="E107" s="2">
        <v>1</v>
      </c>
      <c r="F107" s="2">
        <v>2</v>
      </c>
    </row>
    <row r="108" spans="1:6" x14ac:dyDescent="0.25">
      <c r="A108" t="s">
        <v>264</v>
      </c>
      <c r="B108" t="s">
        <v>265</v>
      </c>
      <c r="C108" t="s">
        <v>129</v>
      </c>
      <c r="D108" s="2">
        <v>2</v>
      </c>
      <c r="E108" s="2"/>
      <c r="F108" s="2">
        <v>2</v>
      </c>
    </row>
    <row r="109" spans="1:6" x14ac:dyDescent="0.25">
      <c r="A109" t="s">
        <v>266</v>
      </c>
      <c r="B109" t="s">
        <v>267</v>
      </c>
      <c r="C109" t="s">
        <v>129</v>
      </c>
      <c r="D109" s="2">
        <v>1</v>
      </c>
      <c r="E109" s="2"/>
      <c r="F109" s="2">
        <v>1</v>
      </c>
    </row>
    <row r="110" spans="1:6" x14ac:dyDescent="0.25">
      <c r="A110" t="s">
        <v>268</v>
      </c>
      <c r="B110" t="s">
        <v>269</v>
      </c>
      <c r="C110" t="s">
        <v>129</v>
      </c>
      <c r="D110" s="2">
        <v>1</v>
      </c>
      <c r="E110" s="2">
        <v>1</v>
      </c>
      <c r="F110" s="2">
        <v>2</v>
      </c>
    </row>
    <row r="111" spans="1:6" x14ac:dyDescent="0.25">
      <c r="A111" t="s">
        <v>270</v>
      </c>
      <c r="B111" t="s">
        <v>271</v>
      </c>
      <c r="C111" t="s">
        <v>129</v>
      </c>
      <c r="D111" s="2">
        <v>4</v>
      </c>
      <c r="E111" s="2"/>
      <c r="F111" s="2">
        <v>4</v>
      </c>
    </row>
    <row r="112" spans="1:6" x14ac:dyDescent="0.25">
      <c r="A112" t="s">
        <v>272</v>
      </c>
      <c r="B112" t="s">
        <v>273</v>
      </c>
      <c r="C112" t="s">
        <v>129</v>
      </c>
      <c r="D112" s="2">
        <v>6</v>
      </c>
      <c r="E112" s="2">
        <v>12</v>
      </c>
      <c r="F112" s="2">
        <v>18</v>
      </c>
    </row>
    <row r="113" spans="1:6" x14ac:dyDescent="0.25">
      <c r="A113" t="s">
        <v>274</v>
      </c>
      <c r="B113" t="s">
        <v>275</v>
      </c>
      <c r="C113" t="s">
        <v>12</v>
      </c>
      <c r="D113" s="2">
        <v>8</v>
      </c>
      <c r="E113" s="2">
        <v>2</v>
      </c>
      <c r="F113" s="2">
        <v>10</v>
      </c>
    </row>
    <row r="114" spans="1:6" x14ac:dyDescent="0.25">
      <c r="A114" t="s">
        <v>276</v>
      </c>
      <c r="B114" t="s">
        <v>277</v>
      </c>
      <c r="C114" t="s">
        <v>201</v>
      </c>
      <c r="D114" s="2">
        <v>1</v>
      </c>
      <c r="E114" s="2">
        <v>1</v>
      </c>
      <c r="F114" s="2">
        <v>2</v>
      </c>
    </row>
    <row r="115" spans="1:6" x14ac:dyDescent="0.25">
      <c r="A115" t="s">
        <v>278</v>
      </c>
      <c r="B115" t="s">
        <v>279</v>
      </c>
      <c r="C115" t="s">
        <v>201</v>
      </c>
      <c r="D115" s="2"/>
      <c r="E115" s="2">
        <v>2</v>
      </c>
      <c r="F115" s="2">
        <v>2</v>
      </c>
    </row>
    <row r="116" spans="1:6" x14ac:dyDescent="0.25">
      <c r="A116" t="s">
        <v>280</v>
      </c>
      <c r="B116" t="s">
        <v>281</v>
      </c>
      <c r="C116" t="s">
        <v>201</v>
      </c>
      <c r="D116" s="2">
        <v>3</v>
      </c>
      <c r="E116" s="2"/>
      <c r="F116" s="2">
        <v>3</v>
      </c>
    </row>
    <row r="117" spans="1:6" x14ac:dyDescent="0.25">
      <c r="A117" t="s">
        <v>282</v>
      </c>
      <c r="B117" t="s">
        <v>283</v>
      </c>
      <c r="C117" t="s">
        <v>12</v>
      </c>
      <c r="D117" s="2">
        <v>1</v>
      </c>
      <c r="E117" s="2"/>
      <c r="F117" s="2">
        <v>1</v>
      </c>
    </row>
    <row r="118" spans="1:6" x14ac:dyDescent="0.25">
      <c r="A118" t="s">
        <v>284</v>
      </c>
      <c r="B118" t="s">
        <v>285</v>
      </c>
      <c r="C118" t="s">
        <v>77</v>
      </c>
      <c r="D118" s="2">
        <v>10</v>
      </c>
      <c r="E118" s="2">
        <v>9</v>
      </c>
      <c r="F118" s="2">
        <v>19</v>
      </c>
    </row>
    <row r="119" spans="1:6" x14ac:dyDescent="0.25">
      <c r="A119" t="s">
        <v>286</v>
      </c>
      <c r="B119" t="s">
        <v>287</v>
      </c>
      <c r="C119" t="s">
        <v>12</v>
      </c>
      <c r="D119" s="2">
        <v>6</v>
      </c>
      <c r="E119" s="2"/>
      <c r="F119" s="2">
        <v>6</v>
      </c>
    </row>
    <row r="120" spans="1:6" x14ac:dyDescent="0.25">
      <c r="A120" t="s">
        <v>288</v>
      </c>
      <c r="B120" t="s">
        <v>289</v>
      </c>
      <c r="C120" t="s">
        <v>291</v>
      </c>
      <c r="D120" s="2">
        <v>4</v>
      </c>
      <c r="E120" s="2"/>
      <c r="F120" s="2">
        <v>4</v>
      </c>
    </row>
    <row r="121" spans="1:6" x14ac:dyDescent="0.25">
      <c r="A121" t="s">
        <v>292</v>
      </c>
      <c r="B121" t="s">
        <v>293</v>
      </c>
      <c r="C121" t="s">
        <v>291</v>
      </c>
      <c r="D121" s="2">
        <v>8</v>
      </c>
      <c r="E121" s="2"/>
      <c r="F121" s="2">
        <v>8</v>
      </c>
    </row>
    <row r="122" spans="1:6" x14ac:dyDescent="0.25">
      <c r="A122" t="s">
        <v>294</v>
      </c>
      <c r="B122" t="s">
        <v>295</v>
      </c>
      <c r="C122" t="s">
        <v>297</v>
      </c>
      <c r="D122" s="2"/>
      <c r="E122" s="2">
        <v>3</v>
      </c>
      <c r="F122" s="2">
        <v>3</v>
      </c>
    </row>
    <row r="123" spans="1:6" x14ac:dyDescent="0.25">
      <c r="A123" t="s">
        <v>298</v>
      </c>
      <c r="B123" t="s">
        <v>299</v>
      </c>
      <c r="C123" t="s">
        <v>301</v>
      </c>
      <c r="D123" s="2">
        <v>10</v>
      </c>
      <c r="E123" s="2">
        <v>10</v>
      </c>
      <c r="F123" s="2">
        <v>20</v>
      </c>
    </row>
    <row r="124" spans="1:6" x14ac:dyDescent="0.25">
      <c r="A124" t="s">
        <v>302</v>
      </c>
      <c r="B124" t="s">
        <v>303</v>
      </c>
      <c r="C124" t="s">
        <v>301</v>
      </c>
      <c r="D124" s="2">
        <v>12</v>
      </c>
      <c r="E124" s="2">
        <v>11</v>
      </c>
      <c r="F124" s="2">
        <v>23</v>
      </c>
    </row>
    <row r="125" spans="1:6" x14ac:dyDescent="0.25">
      <c r="A125" t="s">
        <v>304</v>
      </c>
      <c r="B125" t="s">
        <v>305</v>
      </c>
      <c r="C125" t="s">
        <v>301</v>
      </c>
      <c r="D125" s="2">
        <v>19</v>
      </c>
      <c r="E125" s="2">
        <v>9</v>
      </c>
      <c r="F125" s="2">
        <v>28</v>
      </c>
    </row>
    <row r="126" spans="1:6" x14ac:dyDescent="0.25">
      <c r="A126" t="s">
        <v>306</v>
      </c>
      <c r="B126" t="s">
        <v>307</v>
      </c>
      <c r="C126" t="s">
        <v>301</v>
      </c>
      <c r="D126" s="2">
        <v>13</v>
      </c>
      <c r="E126" s="2">
        <v>1</v>
      </c>
      <c r="F126" s="2">
        <v>14</v>
      </c>
    </row>
    <row r="127" spans="1:6" x14ac:dyDescent="0.25">
      <c r="A127" t="s">
        <v>308</v>
      </c>
      <c r="B127" t="s">
        <v>309</v>
      </c>
      <c r="C127" t="s">
        <v>310</v>
      </c>
      <c r="D127" s="2">
        <v>21</v>
      </c>
      <c r="E127" s="2"/>
      <c r="F127" s="2">
        <v>21</v>
      </c>
    </row>
    <row r="128" spans="1:6" x14ac:dyDescent="0.25">
      <c r="A128" t="s">
        <v>311</v>
      </c>
      <c r="B128" t="s">
        <v>312</v>
      </c>
      <c r="C128" t="s">
        <v>301</v>
      </c>
      <c r="D128" s="2">
        <v>7</v>
      </c>
      <c r="E128" s="2"/>
      <c r="F128" s="2">
        <v>7</v>
      </c>
    </row>
    <row r="129" spans="1:6" x14ac:dyDescent="0.25">
      <c r="A129" t="s">
        <v>313</v>
      </c>
      <c r="B129" t="s">
        <v>314</v>
      </c>
      <c r="C129" t="s">
        <v>129</v>
      </c>
      <c r="D129" s="2">
        <v>2</v>
      </c>
      <c r="E129" s="2"/>
      <c r="F129" s="2">
        <v>2</v>
      </c>
    </row>
    <row r="130" spans="1:6" x14ac:dyDescent="0.25">
      <c r="A130" t="s">
        <v>316</v>
      </c>
      <c r="B130" t="s">
        <v>317</v>
      </c>
      <c r="C130" t="s">
        <v>129</v>
      </c>
      <c r="D130" s="2"/>
      <c r="E130" s="2">
        <v>4</v>
      </c>
      <c r="F130" s="2">
        <v>4</v>
      </c>
    </row>
    <row r="131" spans="1:6" x14ac:dyDescent="0.25">
      <c r="A131" t="s">
        <v>318</v>
      </c>
      <c r="B131" t="s">
        <v>319</v>
      </c>
      <c r="C131" t="s">
        <v>129</v>
      </c>
      <c r="D131" s="2">
        <v>4</v>
      </c>
      <c r="E131" s="2"/>
      <c r="F131" s="2">
        <v>4</v>
      </c>
    </row>
    <row r="132" spans="1:6" x14ac:dyDescent="0.25">
      <c r="A132" t="s">
        <v>320</v>
      </c>
      <c r="B132" t="s">
        <v>321</v>
      </c>
      <c r="C132" t="s">
        <v>129</v>
      </c>
      <c r="D132" s="2"/>
      <c r="E132" s="2">
        <v>1</v>
      </c>
      <c r="F132" s="2">
        <v>1</v>
      </c>
    </row>
    <row r="133" spans="1:6" x14ac:dyDescent="0.25">
      <c r="A133" t="s">
        <v>322</v>
      </c>
      <c r="B133" t="s">
        <v>323</v>
      </c>
      <c r="C133" t="s">
        <v>129</v>
      </c>
      <c r="D133" s="2">
        <v>2</v>
      </c>
      <c r="E133" s="2"/>
      <c r="F133" s="2">
        <v>2</v>
      </c>
    </row>
    <row r="134" spans="1:6" x14ac:dyDescent="0.25">
      <c r="A134" t="s">
        <v>324</v>
      </c>
      <c r="B134" t="s">
        <v>325</v>
      </c>
      <c r="C134" t="s">
        <v>129</v>
      </c>
      <c r="D134" s="2">
        <v>1</v>
      </c>
      <c r="E134" s="2"/>
      <c r="F134" s="2">
        <v>1</v>
      </c>
    </row>
    <row r="135" spans="1:6" x14ac:dyDescent="0.25">
      <c r="A135" t="s">
        <v>326</v>
      </c>
      <c r="B135" t="s">
        <v>327</v>
      </c>
      <c r="C135" t="s">
        <v>129</v>
      </c>
      <c r="D135" s="2"/>
      <c r="E135" s="2">
        <v>1</v>
      </c>
      <c r="F135" s="2">
        <v>1</v>
      </c>
    </row>
    <row r="136" spans="1:6" x14ac:dyDescent="0.25">
      <c r="A136" t="s">
        <v>328</v>
      </c>
      <c r="B136" t="s">
        <v>329</v>
      </c>
      <c r="C136" t="s">
        <v>129</v>
      </c>
      <c r="D136" s="2"/>
      <c r="E136" s="2">
        <v>1</v>
      </c>
      <c r="F136" s="2">
        <v>1</v>
      </c>
    </row>
    <row r="137" spans="1:6" x14ac:dyDescent="0.25">
      <c r="A137" t="s">
        <v>330</v>
      </c>
      <c r="B137" t="s">
        <v>331</v>
      </c>
      <c r="C137" t="s">
        <v>129</v>
      </c>
      <c r="D137" s="2">
        <v>3</v>
      </c>
      <c r="E137" s="2">
        <v>2</v>
      </c>
      <c r="F137" s="2">
        <v>5</v>
      </c>
    </row>
    <row r="138" spans="1:6" x14ac:dyDescent="0.25">
      <c r="A138" t="s">
        <v>332</v>
      </c>
      <c r="B138" t="s">
        <v>333</v>
      </c>
      <c r="C138" t="s">
        <v>129</v>
      </c>
      <c r="D138" s="2">
        <v>3</v>
      </c>
      <c r="E138" s="2">
        <v>2</v>
      </c>
      <c r="F138" s="2">
        <v>5</v>
      </c>
    </row>
    <row r="139" spans="1:6" x14ac:dyDescent="0.25">
      <c r="A139" t="s">
        <v>334</v>
      </c>
      <c r="B139" t="s">
        <v>335</v>
      </c>
      <c r="C139" t="s">
        <v>129</v>
      </c>
      <c r="D139" s="2">
        <v>2</v>
      </c>
      <c r="E139" s="2">
        <v>2</v>
      </c>
      <c r="F139" s="2">
        <v>4</v>
      </c>
    </row>
    <row r="140" spans="1:6" x14ac:dyDescent="0.25">
      <c r="A140" t="s">
        <v>336</v>
      </c>
      <c r="B140" t="s">
        <v>337</v>
      </c>
      <c r="C140" t="s">
        <v>129</v>
      </c>
      <c r="D140" s="2">
        <v>1</v>
      </c>
      <c r="E140" s="2"/>
      <c r="F140" s="2">
        <v>1</v>
      </c>
    </row>
    <row r="141" spans="1:6" x14ac:dyDescent="0.25">
      <c r="A141" t="s">
        <v>338</v>
      </c>
      <c r="B141" t="s">
        <v>339</v>
      </c>
      <c r="C141" t="s">
        <v>129</v>
      </c>
      <c r="D141" s="2">
        <v>4</v>
      </c>
      <c r="E141" s="2"/>
      <c r="F141" s="2">
        <v>4</v>
      </c>
    </row>
    <row r="142" spans="1:6" x14ac:dyDescent="0.25">
      <c r="A142" t="s">
        <v>340</v>
      </c>
      <c r="B142" t="s">
        <v>341</v>
      </c>
      <c r="C142" t="s">
        <v>129</v>
      </c>
      <c r="D142" s="2">
        <v>1</v>
      </c>
      <c r="E142" s="2">
        <v>1</v>
      </c>
      <c r="F142" s="2">
        <v>2</v>
      </c>
    </row>
    <row r="143" spans="1:6" x14ac:dyDescent="0.25">
      <c r="A143" t="s">
        <v>342</v>
      </c>
      <c r="B143" t="s">
        <v>343</v>
      </c>
      <c r="C143" t="s">
        <v>129</v>
      </c>
      <c r="D143" s="2">
        <v>2</v>
      </c>
      <c r="E143" s="2"/>
      <c r="F143" s="2">
        <v>2</v>
      </c>
    </row>
    <row r="144" spans="1:6" x14ac:dyDescent="0.25">
      <c r="A144" t="s">
        <v>344</v>
      </c>
      <c r="B144" t="s">
        <v>345</v>
      </c>
      <c r="C144" t="s">
        <v>129</v>
      </c>
      <c r="D144" s="2">
        <v>1</v>
      </c>
      <c r="E144" s="2">
        <v>1</v>
      </c>
      <c r="F144" s="2">
        <v>2</v>
      </c>
    </row>
    <row r="145" spans="1:6" x14ac:dyDescent="0.25">
      <c r="A145" t="s">
        <v>346</v>
      </c>
      <c r="B145" t="s">
        <v>347</v>
      </c>
      <c r="C145" t="s">
        <v>129</v>
      </c>
      <c r="D145" s="2">
        <v>6</v>
      </c>
      <c r="E145" s="2">
        <v>4</v>
      </c>
      <c r="F145" s="2">
        <v>10</v>
      </c>
    </row>
    <row r="146" spans="1:6" x14ac:dyDescent="0.25">
      <c r="A146" t="s">
        <v>348</v>
      </c>
      <c r="B146" t="s">
        <v>349</v>
      </c>
      <c r="C146" t="s">
        <v>129</v>
      </c>
      <c r="D146" s="2">
        <v>1</v>
      </c>
      <c r="E146" s="2">
        <v>1</v>
      </c>
      <c r="F146" s="2">
        <v>2</v>
      </c>
    </row>
    <row r="147" spans="1:6" x14ac:dyDescent="0.25">
      <c r="A147" t="s">
        <v>350</v>
      </c>
      <c r="B147" t="s">
        <v>351</v>
      </c>
      <c r="C147" t="s">
        <v>129</v>
      </c>
      <c r="D147" s="2">
        <v>1</v>
      </c>
      <c r="E147" s="2"/>
      <c r="F147" s="2">
        <v>1</v>
      </c>
    </row>
    <row r="148" spans="1:6" x14ac:dyDescent="0.25">
      <c r="A148" t="s">
        <v>352</v>
      </c>
      <c r="B148" t="s">
        <v>353</v>
      </c>
      <c r="C148" t="s">
        <v>355</v>
      </c>
      <c r="D148" s="2">
        <v>1</v>
      </c>
      <c r="E148" s="2">
        <v>2</v>
      </c>
      <c r="F148" s="2">
        <v>3</v>
      </c>
    </row>
    <row r="149" spans="1:6" x14ac:dyDescent="0.25">
      <c r="A149" t="s">
        <v>356</v>
      </c>
      <c r="B149" t="s">
        <v>357</v>
      </c>
      <c r="C149" t="s">
        <v>201</v>
      </c>
      <c r="D149" s="2">
        <v>1</v>
      </c>
      <c r="E149" s="2"/>
      <c r="F149" s="2">
        <v>1</v>
      </c>
    </row>
    <row r="150" spans="1:6" x14ac:dyDescent="0.25">
      <c r="A150" t="s">
        <v>359</v>
      </c>
      <c r="B150" t="s">
        <v>360</v>
      </c>
      <c r="C150" t="s">
        <v>201</v>
      </c>
      <c r="D150" s="2"/>
      <c r="E150" s="2">
        <v>1</v>
      </c>
      <c r="F150" s="2">
        <v>1</v>
      </c>
    </row>
    <row r="151" spans="1:6" x14ac:dyDescent="0.25">
      <c r="A151" t="s">
        <v>361</v>
      </c>
      <c r="B151" t="s">
        <v>362</v>
      </c>
      <c r="C151" t="s">
        <v>12</v>
      </c>
      <c r="D151" s="2">
        <v>14</v>
      </c>
      <c r="E151" s="2">
        <v>4</v>
      </c>
      <c r="F151" s="2">
        <v>18</v>
      </c>
    </row>
    <row r="152" spans="1:6" x14ac:dyDescent="0.25">
      <c r="A152" t="s">
        <v>363</v>
      </c>
      <c r="B152" t="s">
        <v>364</v>
      </c>
      <c r="C152" t="s">
        <v>129</v>
      </c>
      <c r="D152" s="2">
        <v>6</v>
      </c>
      <c r="E152" s="2"/>
      <c r="F152" s="2">
        <v>6</v>
      </c>
    </row>
    <row r="153" spans="1:6" x14ac:dyDescent="0.25">
      <c r="A153" t="s">
        <v>366</v>
      </c>
      <c r="B153" t="s">
        <v>367</v>
      </c>
      <c r="C153" t="s">
        <v>369</v>
      </c>
      <c r="D153" s="2"/>
      <c r="E153" s="2">
        <v>1</v>
      </c>
      <c r="F153" s="2">
        <v>1</v>
      </c>
    </row>
    <row r="154" spans="1:6" x14ac:dyDescent="0.25">
      <c r="A154" t="s">
        <v>370</v>
      </c>
      <c r="B154" t="s">
        <v>371</v>
      </c>
      <c r="C154" t="s">
        <v>369</v>
      </c>
      <c r="D154" s="2"/>
      <c r="E154" s="2">
        <v>1</v>
      </c>
      <c r="F154" s="2">
        <v>1</v>
      </c>
    </row>
    <row r="155" spans="1:6" x14ac:dyDescent="0.25">
      <c r="A155" t="s">
        <v>372</v>
      </c>
      <c r="B155" t="s">
        <v>373</v>
      </c>
      <c r="C155" t="s">
        <v>369</v>
      </c>
      <c r="D155" s="2"/>
      <c r="E155" s="2">
        <v>1</v>
      </c>
      <c r="F155" s="2">
        <v>1</v>
      </c>
    </row>
    <row r="156" spans="1:6" x14ac:dyDescent="0.25">
      <c r="A156" t="s">
        <v>374</v>
      </c>
      <c r="B156" t="s">
        <v>375</v>
      </c>
      <c r="C156" t="s">
        <v>376</v>
      </c>
      <c r="D156" s="2">
        <v>4</v>
      </c>
      <c r="E156" s="2">
        <v>2</v>
      </c>
      <c r="F156" s="2">
        <v>6</v>
      </c>
    </row>
    <row r="157" spans="1:6" x14ac:dyDescent="0.25">
      <c r="A157" t="s">
        <v>377</v>
      </c>
      <c r="B157" t="s">
        <v>378</v>
      </c>
      <c r="C157" t="s">
        <v>376</v>
      </c>
      <c r="D157" s="2"/>
      <c r="E157" s="2">
        <v>1</v>
      </c>
      <c r="F157" s="2">
        <v>1</v>
      </c>
    </row>
    <row r="158" spans="1:6" x14ac:dyDescent="0.25">
      <c r="A158" t="s">
        <v>379</v>
      </c>
      <c r="B158" t="s">
        <v>380</v>
      </c>
      <c r="C158" t="s">
        <v>376</v>
      </c>
      <c r="D158" s="2">
        <v>4</v>
      </c>
      <c r="E158" s="2"/>
      <c r="F158" s="2">
        <v>4</v>
      </c>
    </row>
    <row r="159" spans="1:6" x14ac:dyDescent="0.25">
      <c r="A159" t="s">
        <v>381</v>
      </c>
      <c r="B159" t="s">
        <v>382</v>
      </c>
      <c r="C159" t="s">
        <v>376</v>
      </c>
      <c r="D159" s="2"/>
      <c r="E159" s="2">
        <v>1</v>
      </c>
      <c r="F159" s="2">
        <v>1</v>
      </c>
    </row>
    <row r="160" spans="1:6" x14ac:dyDescent="0.25">
      <c r="A160" t="s">
        <v>383</v>
      </c>
      <c r="B160" t="s">
        <v>384</v>
      </c>
      <c r="C160" t="s">
        <v>369</v>
      </c>
      <c r="D160" s="2">
        <v>1</v>
      </c>
      <c r="E160" s="2">
        <v>1</v>
      </c>
      <c r="F160" s="2">
        <v>2</v>
      </c>
    </row>
    <row r="161" spans="1:6" x14ac:dyDescent="0.25">
      <c r="A161" t="s">
        <v>385</v>
      </c>
      <c r="B161" t="s">
        <v>386</v>
      </c>
      <c r="C161" t="s">
        <v>369</v>
      </c>
      <c r="D161" s="2">
        <v>2</v>
      </c>
      <c r="E161" s="2"/>
      <c r="F161" s="2">
        <v>2</v>
      </c>
    </row>
    <row r="162" spans="1:6" x14ac:dyDescent="0.25">
      <c r="A162" t="s">
        <v>387</v>
      </c>
      <c r="B162" t="s">
        <v>388</v>
      </c>
      <c r="C162" t="s">
        <v>369</v>
      </c>
      <c r="D162" s="2">
        <v>3</v>
      </c>
      <c r="E162" s="2">
        <v>1</v>
      </c>
      <c r="F162" s="2">
        <v>4</v>
      </c>
    </row>
    <row r="163" spans="1:6" x14ac:dyDescent="0.25">
      <c r="A163" t="s">
        <v>389</v>
      </c>
      <c r="B163" t="s">
        <v>390</v>
      </c>
      <c r="C163" t="s">
        <v>369</v>
      </c>
      <c r="D163" s="2">
        <v>18</v>
      </c>
      <c r="E163" s="2">
        <v>17</v>
      </c>
      <c r="F163" s="2">
        <v>35</v>
      </c>
    </row>
    <row r="164" spans="1:6" x14ac:dyDescent="0.25">
      <c r="A164" t="s">
        <v>391</v>
      </c>
      <c r="B164" t="s">
        <v>392</v>
      </c>
      <c r="C164" t="s">
        <v>369</v>
      </c>
      <c r="D164" s="2">
        <v>1</v>
      </c>
      <c r="E164" s="2">
        <v>14</v>
      </c>
      <c r="F164" s="2">
        <v>15</v>
      </c>
    </row>
    <row r="165" spans="1:6" x14ac:dyDescent="0.25">
      <c r="A165" t="s">
        <v>393</v>
      </c>
      <c r="B165" t="s">
        <v>394</v>
      </c>
      <c r="C165" t="s">
        <v>369</v>
      </c>
      <c r="D165" s="2">
        <v>5</v>
      </c>
      <c r="E165" s="2">
        <v>1</v>
      </c>
      <c r="F165" s="2">
        <v>6</v>
      </c>
    </row>
    <row r="166" spans="1:6" x14ac:dyDescent="0.25">
      <c r="A166" t="s">
        <v>395</v>
      </c>
      <c r="B166" t="s">
        <v>396</v>
      </c>
      <c r="C166" t="s">
        <v>369</v>
      </c>
      <c r="D166" s="2">
        <v>1</v>
      </c>
      <c r="E166" s="2">
        <v>5</v>
      </c>
      <c r="F166" s="2">
        <v>6</v>
      </c>
    </row>
    <row r="167" spans="1:6" x14ac:dyDescent="0.25">
      <c r="A167" t="s">
        <v>397</v>
      </c>
      <c r="B167" t="s">
        <v>398</v>
      </c>
      <c r="C167" t="s">
        <v>369</v>
      </c>
      <c r="D167" s="2">
        <v>1</v>
      </c>
      <c r="E167" s="2">
        <v>2</v>
      </c>
      <c r="F167" s="2">
        <v>3</v>
      </c>
    </row>
    <row r="168" spans="1:6" x14ac:dyDescent="0.25">
      <c r="A168" t="s">
        <v>399</v>
      </c>
      <c r="B168" t="s">
        <v>400</v>
      </c>
      <c r="C168" t="s">
        <v>369</v>
      </c>
      <c r="D168" s="2">
        <v>2</v>
      </c>
      <c r="E168" s="2"/>
      <c r="F168" s="2">
        <v>2</v>
      </c>
    </row>
    <row r="169" spans="1:6" x14ac:dyDescent="0.25">
      <c r="A169" t="s">
        <v>401</v>
      </c>
      <c r="B169" t="s">
        <v>402</v>
      </c>
      <c r="C169" t="s">
        <v>403</v>
      </c>
      <c r="D169" s="2">
        <v>1</v>
      </c>
      <c r="E169" s="2">
        <v>3</v>
      </c>
      <c r="F169" s="2">
        <v>4</v>
      </c>
    </row>
    <row r="170" spans="1:6" x14ac:dyDescent="0.25">
      <c r="A170" t="s">
        <v>404</v>
      </c>
      <c r="B170" t="s">
        <v>405</v>
      </c>
      <c r="C170" t="s">
        <v>406</v>
      </c>
      <c r="D170" s="2">
        <v>3</v>
      </c>
      <c r="E170" s="2"/>
      <c r="F170" s="2">
        <v>3</v>
      </c>
    </row>
    <row r="171" spans="1:6" x14ac:dyDescent="0.25">
      <c r="A171" t="s">
        <v>407</v>
      </c>
      <c r="B171" t="s">
        <v>408</v>
      </c>
      <c r="C171" t="s">
        <v>403</v>
      </c>
      <c r="D171" s="2"/>
      <c r="E171" s="2">
        <v>2</v>
      </c>
      <c r="F171" s="2">
        <v>2</v>
      </c>
    </row>
    <row r="172" spans="1:6" x14ac:dyDescent="0.25">
      <c r="A172" t="s">
        <v>409</v>
      </c>
      <c r="B172" t="s">
        <v>410</v>
      </c>
      <c r="C172" t="s">
        <v>411</v>
      </c>
      <c r="D172" s="2">
        <v>1</v>
      </c>
      <c r="E172" s="2"/>
      <c r="F172" s="2">
        <v>1</v>
      </c>
    </row>
    <row r="173" spans="1:6" x14ac:dyDescent="0.25">
      <c r="A173" t="s">
        <v>412</v>
      </c>
      <c r="B173" t="s">
        <v>413</v>
      </c>
      <c r="C173" t="s">
        <v>218</v>
      </c>
      <c r="D173" s="2">
        <v>6</v>
      </c>
      <c r="E173" s="2">
        <v>11</v>
      </c>
      <c r="F173" s="2">
        <v>17</v>
      </c>
    </row>
    <row r="174" spans="1:6" x14ac:dyDescent="0.25">
      <c r="A174" t="s">
        <v>415</v>
      </c>
      <c r="B174" t="s">
        <v>416</v>
      </c>
      <c r="C174" t="s">
        <v>218</v>
      </c>
      <c r="D174" s="2">
        <v>15</v>
      </c>
      <c r="E174" s="2">
        <v>27</v>
      </c>
      <c r="F174" s="2">
        <v>42</v>
      </c>
    </row>
    <row r="175" spans="1:6" x14ac:dyDescent="0.25">
      <c r="A175" t="s">
        <v>417</v>
      </c>
      <c r="B175" t="s">
        <v>418</v>
      </c>
      <c r="C175" t="s">
        <v>218</v>
      </c>
      <c r="D175" s="2">
        <v>1</v>
      </c>
      <c r="E175" s="2"/>
      <c r="F175" s="2">
        <v>1</v>
      </c>
    </row>
    <row r="176" spans="1:6" x14ac:dyDescent="0.25">
      <c r="A176" t="s">
        <v>419</v>
      </c>
      <c r="B176" t="s">
        <v>420</v>
      </c>
      <c r="C176" t="s">
        <v>218</v>
      </c>
      <c r="D176" s="2">
        <v>19</v>
      </c>
      <c r="E176" s="2">
        <v>13</v>
      </c>
      <c r="F176" s="2">
        <v>32</v>
      </c>
    </row>
    <row r="177" spans="1:6" x14ac:dyDescent="0.25">
      <c r="A177" t="s">
        <v>422</v>
      </c>
      <c r="B177" t="s">
        <v>423</v>
      </c>
      <c r="C177" t="s">
        <v>218</v>
      </c>
      <c r="D177" s="2">
        <v>9</v>
      </c>
      <c r="E177" s="2">
        <v>16</v>
      </c>
      <c r="F177" s="2">
        <v>25</v>
      </c>
    </row>
    <row r="178" spans="1:6" x14ac:dyDescent="0.25">
      <c r="A178" t="s">
        <v>424</v>
      </c>
      <c r="B178" t="s">
        <v>425</v>
      </c>
      <c r="C178" t="s">
        <v>218</v>
      </c>
      <c r="D178" s="2">
        <v>10</v>
      </c>
      <c r="E178" s="2">
        <v>13</v>
      </c>
      <c r="F178" s="2">
        <v>23</v>
      </c>
    </row>
    <row r="179" spans="1:6" x14ac:dyDescent="0.25">
      <c r="A179" t="s">
        <v>427</v>
      </c>
      <c r="B179" t="s">
        <v>428</v>
      </c>
      <c r="C179" t="s">
        <v>129</v>
      </c>
      <c r="D179" s="2">
        <v>2</v>
      </c>
      <c r="E179" s="2">
        <v>3</v>
      </c>
      <c r="F179" s="2">
        <v>5</v>
      </c>
    </row>
    <row r="180" spans="1:6" x14ac:dyDescent="0.25">
      <c r="A180" t="s">
        <v>429</v>
      </c>
      <c r="B180" t="s">
        <v>430</v>
      </c>
      <c r="C180" t="s">
        <v>129</v>
      </c>
      <c r="D180" s="2">
        <v>1</v>
      </c>
      <c r="E180" s="2">
        <v>1</v>
      </c>
      <c r="F180" s="2">
        <v>2</v>
      </c>
    </row>
    <row r="181" spans="1:6" x14ac:dyDescent="0.25">
      <c r="A181" t="s">
        <v>431</v>
      </c>
      <c r="B181" t="s">
        <v>432</v>
      </c>
      <c r="C181" t="s">
        <v>129</v>
      </c>
      <c r="D181" s="2">
        <v>3</v>
      </c>
      <c r="E181" s="2">
        <v>5</v>
      </c>
      <c r="F181" s="2">
        <v>8</v>
      </c>
    </row>
    <row r="182" spans="1:6" x14ac:dyDescent="0.25">
      <c r="A182" t="s">
        <v>433</v>
      </c>
      <c r="B182" t="s">
        <v>434</v>
      </c>
      <c r="C182" t="s">
        <v>129</v>
      </c>
      <c r="D182" s="2"/>
      <c r="E182" s="2">
        <v>1</v>
      </c>
      <c r="F182" s="2">
        <v>1</v>
      </c>
    </row>
    <row r="183" spans="1:6" x14ac:dyDescent="0.25">
      <c r="A183" t="s">
        <v>435</v>
      </c>
      <c r="B183" t="s">
        <v>436</v>
      </c>
      <c r="C183" t="s">
        <v>129</v>
      </c>
      <c r="D183" s="2"/>
      <c r="E183" s="2">
        <v>1</v>
      </c>
      <c r="F183" s="2">
        <v>1</v>
      </c>
    </row>
    <row r="184" spans="1:6" x14ac:dyDescent="0.25">
      <c r="A184" t="s">
        <v>437</v>
      </c>
      <c r="B184" t="s">
        <v>438</v>
      </c>
      <c r="C184" t="s">
        <v>129</v>
      </c>
      <c r="D184" s="2"/>
      <c r="E184" s="2">
        <v>1</v>
      </c>
      <c r="F184" s="2">
        <v>1</v>
      </c>
    </row>
    <row r="185" spans="1:6" x14ac:dyDescent="0.25">
      <c r="A185" t="s">
        <v>439</v>
      </c>
      <c r="B185" t="s">
        <v>440</v>
      </c>
      <c r="C185" t="s">
        <v>129</v>
      </c>
      <c r="D185" s="2">
        <v>1</v>
      </c>
      <c r="E185" s="2">
        <v>2</v>
      </c>
      <c r="F185" s="2">
        <v>3</v>
      </c>
    </row>
    <row r="186" spans="1:6" x14ac:dyDescent="0.25">
      <c r="A186" t="s">
        <v>441</v>
      </c>
      <c r="B186" t="s">
        <v>442</v>
      </c>
      <c r="C186" t="s">
        <v>129</v>
      </c>
      <c r="D186" s="2">
        <v>1</v>
      </c>
      <c r="E186" s="2"/>
      <c r="F186" s="2">
        <v>1</v>
      </c>
    </row>
    <row r="187" spans="1:6" x14ac:dyDescent="0.25">
      <c r="A187" t="s">
        <v>443</v>
      </c>
      <c r="B187" t="s">
        <v>444</v>
      </c>
      <c r="C187" t="s">
        <v>129</v>
      </c>
      <c r="D187" s="2"/>
      <c r="E187" s="2">
        <v>1</v>
      </c>
      <c r="F187" s="2">
        <v>1</v>
      </c>
    </row>
    <row r="188" spans="1:6" x14ac:dyDescent="0.25">
      <c r="A188" t="s">
        <v>445</v>
      </c>
      <c r="B188" t="s">
        <v>446</v>
      </c>
      <c r="C188" t="s">
        <v>129</v>
      </c>
      <c r="D188" s="2">
        <v>1</v>
      </c>
      <c r="E188" s="2"/>
      <c r="F188" s="2">
        <v>1</v>
      </c>
    </row>
    <row r="189" spans="1:6" x14ac:dyDescent="0.25">
      <c r="A189" t="s">
        <v>447</v>
      </c>
      <c r="B189" t="s">
        <v>448</v>
      </c>
      <c r="C189" t="s">
        <v>129</v>
      </c>
      <c r="D189" s="2">
        <v>1</v>
      </c>
      <c r="E189" s="2">
        <v>2</v>
      </c>
      <c r="F189" s="2">
        <v>3</v>
      </c>
    </row>
    <row r="190" spans="1:6" x14ac:dyDescent="0.25">
      <c r="A190" t="s">
        <v>449</v>
      </c>
      <c r="B190" t="s">
        <v>450</v>
      </c>
      <c r="C190" t="s">
        <v>129</v>
      </c>
      <c r="D190" s="2"/>
      <c r="E190" s="2">
        <v>1</v>
      </c>
      <c r="F190" s="2">
        <v>1</v>
      </c>
    </row>
    <row r="191" spans="1:6" x14ac:dyDescent="0.25">
      <c r="A191" t="s">
        <v>451</v>
      </c>
      <c r="B191" t="s">
        <v>452</v>
      </c>
      <c r="C191" t="s">
        <v>129</v>
      </c>
      <c r="D191" s="2"/>
      <c r="E191" s="2">
        <v>1</v>
      </c>
      <c r="F191" s="2">
        <v>1</v>
      </c>
    </row>
    <row r="192" spans="1:6" x14ac:dyDescent="0.25">
      <c r="A192" t="s">
        <v>453</v>
      </c>
      <c r="B192" t="s">
        <v>454</v>
      </c>
      <c r="C192" t="s">
        <v>129</v>
      </c>
      <c r="D192" s="2"/>
      <c r="E192" s="2">
        <v>1</v>
      </c>
      <c r="F192" s="2">
        <v>1</v>
      </c>
    </row>
    <row r="193" spans="1:6" x14ac:dyDescent="0.25">
      <c r="A193" t="s">
        <v>455</v>
      </c>
      <c r="B193" t="s">
        <v>456</v>
      </c>
      <c r="C193" t="s">
        <v>129</v>
      </c>
      <c r="D193" s="2"/>
      <c r="E193" s="2">
        <v>2</v>
      </c>
      <c r="F193" s="2">
        <v>2</v>
      </c>
    </row>
    <row r="194" spans="1:6" x14ac:dyDescent="0.25">
      <c r="A194" t="s">
        <v>457</v>
      </c>
      <c r="B194" t="s">
        <v>458</v>
      </c>
      <c r="C194" t="s">
        <v>129</v>
      </c>
      <c r="D194" s="2"/>
      <c r="E194" s="2">
        <v>1</v>
      </c>
      <c r="F194" s="2">
        <v>1</v>
      </c>
    </row>
    <row r="195" spans="1:6" x14ac:dyDescent="0.25">
      <c r="A195" t="s">
        <v>459</v>
      </c>
      <c r="B195" t="s">
        <v>460</v>
      </c>
      <c r="C195" t="s">
        <v>129</v>
      </c>
      <c r="D195" s="2">
        <v>1</v>
      </c>
      <c r="E195" s="2"/>
      <c r="F195" s="2">
        <v>1</v>
      </c>
    </row>
    <row r="196" spans="1:6" x14ac:dyDescent="0.25">
      <c r="A196" t="s">
        <v>461</v>
      </c>
      <c r="B196" t="s">
        <v>462</v>
      </c>
      <c r="C196" t="s">
        <v>129</v>
      </c>
      <c r="D196" s="2">
        <v>2</v>
      </c>
      <c r="E196" s="2">
        <v>1</v>
      </c>
      <c r="F196" s="2">
        <v>3</v>
      </c>
    </row>
    <row r="197" spans="1:6" x14ac:dyDescent="0.25">
      <c r="A197" t="s">
        <v>463</v>
      </c>
      <c r="B197" t="s">
        <v>464</v>
      </c>
      <c r="C197" t="s">
        <v>129</v>
      </c>
      <c r="D197" s="2">
        <v>1</v>
      </c>
      <c r="E197" s="2">
        <v>2</v>
      </c>
      <c r="F197" s="2">
        <v>3</v>
      </c>
    </row>
    <row r="198" spans="1:6" x14ac:dyDescent="0.25">
      <c r="A198" t="s">
        <v>465</v>
      </c>
      <c r="B198" t="s">
        <v>466</v>
      </c>
      <c r="C198" t="s">
        <v>129</v>
      </c>
      <c r="D198" s="2">
        <v>1</v>
      </c>
      <c r="E198" s="2">
        <v>3</v>
      </c>
      <c r="F198" s="2">
        <v>4</v>
      </c>
    </row>
    <row r="199" spans="1:6" x14ac:dyDescent="0.25">
      <c r="A199" t="s">
        <v>467</v>
      </c>
      <c r="B199" t="s">
        <v>468</v>
      </c>
      <c r="C199" t="s">
        <v>129</v>
      </c>
      <c r="D199" s="2">
        <v>4</v>
      </c>
      <c r="E199" s="2"/>
      <c r="F199" s="2">
        <v>4</v>
      </c>
    </row>
    <row r="200" spans="1:6" x14ac:dyDescent="0.25">
      <c r="A200" t="s">
        <v>469</v>
      </c>
      <c r="B200" t="s">
        <v>470</v>
      </c>
      <c r="C200" t="s">
        <v>129</v>
      </c>
      <c r="D200" s="2">
        <v>1</v>
      </c>
      <c r="E200" s="2"/>
      <c r="F200" s="2">
        <v>1</v>
      </c>
    </row>
    <row r="201" spans="1:6" x14ac:dyDescent="0.25">
      <c r="A201" t="s">
        <v>471</v>
      </c>
      <c r="B201" t="s">
        <v>472</v>
      </c>
      <c r="C201" t="s">
        <v>474</v>
      </c>
      <c r="D201" s="2">
        <v>26</v>
      </c>
      <c r="E201" s="2">
        <v>12</v>
      </c>
      <c r="F201" s="2">
        <v>38</v>
      </c>
    </row>
    <row r="202" spans="1:6" x14ac:dyDescent="0.25">
      <c r="A202" t="s">
        <v>475</v>
      </c>
      <c r="B202" t="s">
        <v>476</v>
      </c>
      <c r="C202" t="s">
        <v>478</v>
      </c>
      <c r="D202" s="2">
        <v>18</v>
      </c>
      <c r="E202" s="2">
        <v>13</v>
      </c>
      <c r="F202" s="2">
        <v>31</v>
      </c>
    </row>
    <row r="203" spans="1:6" x14ac:dyDescent="0.25">
      <c r="A203" t="s">
        <v>479</v>
      </c>
      <c r="B203" t="s">
        <v>480</v>
      </c>
      <c r="C203" t="s">
        <v>165</v>
      </c>
      <c r="D203" s="2">
        <v>2</v>
      </c>
      <c r="E203" s="2"/>
      <c r="F203" s="2">
        <v>2</v>
      </c>
    </row>
    <row r="204" spans="1:6" x14ac:dyDescent="0.25">
      <c r="A204" t="s">
        <v>482</v>
      </c>
      <c r="B204" t="s">
        <v>483</v>
      </c>
      <c r="C204" t="s">
        <v>173</v>
      </c>
      <c r="D204" s="2">
        <v>2</v>
      </c>
      <c r="E204" s="2"/>
      <c r="F204" s="2">
        <v>2</v>
      </c>
    </row>
    <row r="205" spans="1:6" x14ac:dyDescent="0.25">
      <c r="A205" t="s">
        <v>485</v>
      </c>
      <c r="B205" t="s">
        <v>486</v>
      </c>
      <c r="C205" t="s">
        <v>488</v>
      </c>
      <c r="D205" s="2">
        <v>54</v>
      </c>
      <c r="E205" s="2">
        <v>76</v>
      </c>
      <c r="F205" s="2">
        <v>130</v>
      </c>
    </row>
    <row r="206" spans="1:6" x14ac:dyDescent="0.25">
      <c r="A206" t="s">
        <v>489</v>
      </c>
      <c r="B206" t="s">
        <v>490</v>
      </c>
      <c r="C206" t="s">
        <v>491</v>
      </c>
      <c r="D206" s="2">
        <v>38</v>
      </c>
      <c r="E206" s="2">
        <v>34</v>
      </c>
      <c r="F206" s="2">
        <v>72</v>
      </c>
    </row>
    <row r="207" spans="1:6" x14ac:dyDescent="0.25">
      <c r="A207" t="s">
        <v>492</v>
      </c>
      <c r="B207" t="s">
        <v>493</v>
      </c>
      <c r="C207" t="s">
        <v>474</v>
      </c>
      <c r="D207" s="2">
        <v>51</v>
      </c>
      <c r="E207" s="2">
        <v>39</v>
      </c>
      <c r="F207" s="2">
        <v>90</v>
      </c>
    </row>
    <row r="208" spans="1:6" x14ac:dyDescent="0.25">
      <c r="A208" t="s">
        <v>495</v>
      </c>
      <c r="B208" t="s">
        <v>496</v>
      </c>
      <c r="C208" t="s">
        <v>497</v>
      </c>
      <c r="D208" s="2">
        <v>33</v>
      </c>
      <c r="E208" s="2">
        <v>40</v>
      </c>
      <c r="F208" s="2">
        <v>73</v>
      </c>
    </row>
    <row r="209" spans="1:6" x14ac:dyDescent="0.25">
      <c r="A209" t="s">
        <v>498</v>
      </c>
      <c r="B209" t="s">
        <v>499</v>
      </c>
      <c r="C209" t="s">
        <v>491</v>
      </c>
      <c r="D209" s="2">
        <v>14</v>
      </c>
      <c r="E209" s="2">
        <v>65</v>
      </c>
      <c r="F209" s="2">
        <v>79</v>
      </c>
    </row>
    <row r="210" spans="1:6" x14ac:dyDescent="0.25">
      <c r="A210" t="s">
        <v>500</v>
      </c>
      <c r="B210" t="s">
        <v>501</v>
      </c>
      <c r="C210" t="s">
        <v>502</v>
      </c>
      <c r="D210" s="2">
        <v>1</v>
      </c>
      <c r="E210" s="2">
        <v>5</v>
      </c>
      <c r="F210" s="2">
        <v>6</v>
      </c>
    </row>
    <row r="211" spans="1:6" x14ac:dyDescent="0.25">
      <c r="A211" t="s">
        <v>503</v>
      </c>
      <c r="B211" t="s">
        <v>504</v>
      </c>
      <c r="C211" t="s">
        <v>173</v>
      </c>
      <c r="D211" s="2">
        <v>3</v>
      </c>
      <c r="E211" s="2">
        <v>1</v>
      </c>
      <c r="F211" s="2">
        <v>4</v>
      </c>
    </row>
    <row r="212" spans="1:6" x14ac:dyDescent="0.25">
      <c r="A212" t="s">
        <v>506</v>
      </c>
      <c r="B212" t="s">
        <v>507</v>
      </c>
      <c r="C212" t="s">
        <v>474</v>
      </c>
      <c r="D212" s="2">
        <v>24</v>
      </c>
      <c r="E212" s="2">
        <v>25</v>
      </c>
      <c r="F212" s="2">
        <v>49</v>
      </c>
    </row>
    <row r="213" spans="1:6" x14ac:dyDescent="0.25">
      <c r="A213" t="s">
        <v>509</v>
      </c>
      <c r="B213" t="s">
        <v>510</v>
      </c>
      <c r="C213" t="s">
        <v>512</v>
      </c>
      <c r="D213" s="2">
        <v>24</v>
      </c>
      <c r="E213" s="2">
        <v>31</v>
      </c>
      <c r="F213" s="2">
        <v>55</v>
      </c>
    </row>
    <row r="214" spans="1:6" x14ac:dyDescent="0.25">
      <c r="A214" t="s">
        <v>513</v>
      </c>
      <c r="B214" t="s">
        <v>514</v>
      </c>
      <c r="C214" t="s">
        <v>512</v>
      </c>
      <c r="D214" s="2">
        <v>5</v>
      </c>
      <c r="E214" s="2">
        <v>15</v>
      </c>
      <c r="F214" s="2">
        <v>20</v>
      </c>
    </row>
    <row r="215" spans="1:6" x14ac:dyDescent="0.25">
      <c r="A215" t="s">
        <v>515</v>
      </c>
      <c r="B215" t="s">
        <v>516</v>
      </c>
      <c r="C215" t="s">
        <v>512</v>
      </c>
      <c r="D215" s="2">
        <v>1</v>
      </c>
      <c r="E215" s="2"/>
      <c r="F215" s="2">
        <v>1</v>
      </c>
    </row>
    <row r="216" spans="1:6" x14ac:dyDescent="0.25">
      <c r="A216" t="s">
        <v>517</v>
      </c>
      <c r="B216" t="s">
        <v>518</v>
      </c>
      <c r="C216" t="s">
        <v>214</v>
      </c>
      <c r="D216" s="2">
        <v>1</v>
      </c>
      <c r="E216" s="2"/>
      <c r="F216" s="2">
        <v>1</v>
      </c>
    </row>
    <row r="217" spans="1:6" x14ac:dyDescent="0.25">
      <c r="A217" t="s">
        <v>520</v>
      </c>
      <c r="B217" t="s">
        <v>521</v>
      </c>
      <c r="C217" t="s">
        <v>173</v>
      </c>
      <c r="D217" s="2">
        <v>1</v>
      </c>
      <c r="E217" s="2">
        <v>1</v>
      </c>
      <c r="F217" s="2">
        <v>2</v>
      </c>
    </row>
    <row r="218" spans="1:6" x14ac:dyDescent="0.25">
      <c r="A218" t="s">
        <v>523</v>
      </c>
      <c r="B218" t="s">
        <v>524</v>
      </c>
      <c r="C218" t="s">
        <v>526</v>
      </c>
      <c r="D218" s="2">
        <v>1</v>
      </c>
      <c r="E218" s="2">
        <v>1</v>
      </c>
      <c r="F218" s="2">
        <v>2</v>
      </c>
    </row>
    <row r="219" spans="1:6" x14ac:dyDescent="0.25">
      <c r="A219" t="s">
        <v>527</v>
      </c>
      <c r="B219" t="s">
        <v>528</v>
      </c>
      <c r="C219" t="s">
        <v>129</v>
      </c>
      <c r="D219" s="2">
        <v>1</v>
      </c>
      <c r="E219" s="2"/>
      <c r="F219" s="2">
        <v>1</v>
      </c>
    </row>
    <row r="220" spans="1:6" x14ac:dyDescent="0.25">
      <c r="A220" t="s">
        <v>529</v>
      </c>
      <c r="B220" t="s">
        <v>530</v>
      </c>
      <c r="C220" t="s">
        <v>129</v>
      </c>
      <c r="D220" s="2">
        <v>2</v>
      </c>
      <c r="E220" s="2">
        <v>1</v>
      </c>
      <c r="F220" s="2">
        <v>3</v>
      </c>
    </row>
    <row r="221" spans="1:6" x14ac:dyDescent="0.25">
      <c r="A221" t="s">
        <v>531</v>
      </c>
      <c r="B221" t="s">
        <v>532</v>
      </c>
      <c r="C221" t="s">
        <v>129</v>
      </c>
      <c r="D221" s="2">
        <v>3</v>
      </c>
      <c r="E221" s="2">
        <v>2</v>
      </c>
      <c r="F221" s="2">
        <v>5</v>
      </c>
    </row>
    <row r="222" spans="1:6" x14ac:dyDescent="0.25">
      <c r="A222" t="s">
        <v>533</v>
      </c>
      <c r="B222" t="s">
        <v>534</v>
      </c>
      <c r="C222" t="s">
        <v>129</v>
      </c>
      <c r="D222" s="2">
        <v>1</v>
      </c>
      <c r="E222" s="2">
        <v>1</v>
      </c>
      <c r="F222" s="2">
        <v>2</v>
      </c>
    </row>
    <row r="223" spans="1:6" x14ac:dyDescent="0.25">
      <c r="A223" t="s">
        <v>535</v>
      </c>
      <c r="B223" t="s">
        <v>536</v>
      </c>
      <c r="C223" t="s">
        <v>129</v>
      </c>
      <c r="D223" s="2">
        <v>4</v>
      </c>
      <c r="E223" s="2">
        <v>1</v>
      </c>
      <c r="F223" s="2">
        <v>5</v>
      </c>
    </row>
    <row r="224" spans="1:6" x14ac:dyDescent="0.25">
      <c r="A224" t="s">
        <v>537</v>
      </c>
      <c r="B224" t="s">
        <v>538</v>
      </c>
      <c r="C224" t="s">
        <v>129</v>
      </c>
      <c r="D224" s="2">
        <v>3</v>
      </c>
      <c r="E224" s="2"/>
      <c r="F224" s="2">
        <v>3</v>
      </c>
    </row>
    <row r="225" spans="1:6" x14ac:dyDescent="0.25">
      <c r="A225" t="s">
        <v>539</v>
      </c>
      <c r="B225" t="s">
        <v>540</v>
      </c>
      <c r="C225" t="s">
        <v>129</v>
      </c>
      <c r="D225" s="2">
        <v>1</v>
      </c>
      <c r="E225" s="2">
        <v>3</v>
      </c>
      <c r="F225" s="2">
        <v>4</v>
      </c>
    </row>
    <row r="226" spans="1:6" x14ac:dyDescent="0.25">
      <c r="A226" t="s">
        <v>541</v>
      </c>
      <c r="B226" t="s">
        <v>542</v>
      </c>
      <c r="C226" t="s">
        <v>129</v>
      </c>
      <c r="D226" s="2">
        <v>2</v>
      </c>
      <c r="E226" s="2">
        <v>2</v>
      </c>
      <c r="F226" s="2">
        <v>4</v>
      </c>
    </row>
    <row r="227" spans="1:6" x14ac:dyDescent="0.25">
      <c r="A227" t="s">
        <v>543</v>
      </c>
      <c r="B227" t="s">
        <v>544</v>
      </c>
      <c r="C227" t="s">
        <v>129</v>
      </c>
      <c r="D227" s="2">
        <v>3</v>
      </c>
      <c r="E227" s="2">
        <v>2</v>
      </c>
      <c r="F227" s="2">
        <v>5</v>
      </c>
    </row>
    <row r="228" spans="1:6" x14ac:dyDescent="0.25">
      <c r="A228" t="s">
        <v>545</v>
      </c>
      <c r="B228" t="s">
        <v>546</v>
      </c>
      <c r="C228" t="s">
        <v>129</v>
      </c>
      <c r="D228" s="2">
        <v>2</v>
      </c>
      <c r="E228" s="2"/>
      <c r="F228" s="2">
        <v>2</v>
      </c>
    </row>
    <row r="229" spans="1:6" x14ac:dyDescent="0.25">
      <c r="A229" t="s">
        <v>547</v>
      </c>
      <c r="B229" t="s">
        <v>548</v>
      </c>
      <c r="C229" t="s">
        <v>129</v>
      </c>
      <c r="D229" s="2">
        <v>2</v>
      </c>
      <c r="E229" s="2">
        <v>3</v>
      </c>
      <c r="F229" s="2">
        <v>5</v>
      </c>
    </row>
    <row r="230" spans="1:6" x14ac:dyDescent="0.25">
      <c r="A230" t="s">
        <v>549</v>
      </c>
      <c r="B230" t="s">
        <v>550</v>
      </c>
      <c r="C230" t="s">
        <v>129</v>
      </c>
      <c r="D230" s="2">
        <v>2</v>
      </c>
      <c r="E230" s="2">
        <v>3</v>
      </c>
      <c r="F230" s="2">
        <v>5</v>
      </c>
    </row>
    <row r="231" spans="1:6" x14ac:dyDescent="0.25">
      <c r="A231" t="s">
        <v>551</v>
      </c>
      <c r="B231" t="s">
        <v>552</v>
      </c>
      <c r="C231" t="s">
        <v>129</v>
      </c>
      <c r="D231" s="2">
        <v>2</v>
      </c>
      <c r="E231" s="2">
        <v>3</v>
      </c>
      <c r="F231" s="2">
        <v>5</v>
      </c>
    </row>
    <row r="232" spans="1:6" x14ac:dyDescent="0.25">
      <c r="A232" t="s">
        <v>553</v>
      </c>
      <c r="B232" t="s">
        <v>554</v>
      </c>
      <c r="C232" t="s">
        <v>129</v>
      </c>
      <c r="D232" s="2">
        <v>2</v>
      </c>
      <c r="E232" s="2">
        <v>2</v>
      </c>
      <c r="F232" s="2">
        <v>4</v>
      </c>
    </row>
    <row r="233" spans="1:6" x14ac:dyDescent="0.25">
      <c r="A233" t="s">
        <v>555</v>
      </c>
      <c r="B233" t="s">
        <v>556</v>
      </c>
      <c r="C233" t="s">
        <v>129</v>
      </c>
      <c r="D233" s="2">
        <v>2</v>
      </c>
      <c r="E233" s="2">
        <v>2</v>
      </c>
      <c r="F233" s="2">
        <v>4</v>
      </c>
    </row>
    <row r="234" spans="1:6" x14ac:dyDescent="0.25">
      <c r="A234" t="s">
        <v>557</v>
      </c>
      <c r="B234" t="s">
        <v>558</v>
      </c>
      <c r="C234" t="s">
        <v>129</v>
      </c>
      <c r="D234" s="2">
        <v>2</v>
      </c>
      <c r="E234" s="2">
        <v>3</v>
      </c>
      <c r="F234" s="2">
        <v>5</v>
      </c>
    </row>
    <row r="235" spans="1:6" x14ac:dyDescent="0.25">
      <c r="A235" t="s">
        <v>559</v>
      </c>
      <c r="B235" t="s">
        <v>560</v>
      </c>
      <c r="C235" t="s">
        <v>129</v>
      </c>
      <c r="D235" s="2">
        <v>2</v>
      </c>
      <c r="E235" s="2">
        <v>4</v>
      </c>
      <c r="F235" s="2">
        <v>6</v>
      </c>
    </row>
    <row r="236" spans="1:6" x14ac:dyDescent="0.25">
      <c r="A236" t="s">
        <v>561</v>
      </c>
      <c r="B236" t="s">
        <v>562</v>
      </c>
      <c r="C236" t="s">
        <v>129</v>
      </c>
      <c r="D236" s="2">
        <v>1</v>
      </c>
      <c r="E236" s="2">
        <v>3</v>
      </c>
      <c r="F236" s="2">
        <v>4</v>
      </c>
    </row>
    <row r="237" spans="1:6" x14ac:dyDescent="0.25">
      <c r="A237" t="s">
        <v>563</v>
      </c>
      <c r="B237" t="s">
        <v>564</v>
      </c>
      <c r="C237" t="s">
        <v>129</v>
      </c>
      <c r="D237" s="2">
        <v>3</v>
      </c>
      <c r="E237" s="2">
        <v>1</v>
      </c>
      <c r="F237" s="2">
        <v>4</v>
      </c>
    </row>
    <row r="238" spans="1:6" x14ac:dyDescent="0.25">
      <c r="A238" t="s">
        <v>565</v>
      </c>
      <c r="B238" t="s">
        <v>566</v>
      </c>
      <c r="C238" t="s">
        <v>129</v>
      </c>
      <c r="D238" s="2"/>
      <c r="E238" s="2">
        <v>1</v>
      </c>
      <c r="F238" s="2">
        <v>1</v>
      </c>
    </row>
    <row r="239" spans="1:6" x14ac:dyDescent="0.25">
      <c r="A239" t="s">
        <v>567</v>
      </c>
      <c r="B239" t="s">
        <v>568</v>
      </c>
      <c r="C239" t="s">
        <v>129</v>
      </c>
      <c r="D239" s="2"/>
      <c r="E239" s="2">
        <v>1</v>
      </c>
      <c r="F239" s="2">
        <v>1</v>
      </c>
    </row>
    <row r="240" spans="1:6" x14ac:dyDescent="0.25">
      <c r="A240" t="s">
        <v>569</v>
      </c>
      <c r="B240" t="s">
        <v>570</v>
      </c>
      <c r="C240" t="s">
        <v>129</v>
      </c>
      <c r="D240" s="2">
        <v>1</v>
      </c>
      <c r="E240" s="2">
        <v>1</v>
      </c>
      <c r="F240" s="2">
        <v>2</v>
      </c>
    </row>
    <row r="241" spans="1:6" x14ac:dyDescent="0.25">
      <c r="A241" t="s">
        <v>571</v>
      </c>
      <c r="B241" t="s">
        <v>572</v>
      </c>
      <c r="C241" t="s">
        <v>129</v>
      </c>
      <c r="D241" s="2">
        <v>3</v>
      </c>
      <c r="E241" s="2"/>
      <c r="F241" s="2">
        <v>3</v>
      </c>
    </row>
    <row r="242" spans="1:6" x14ac:dyDescent="0.25">
      <c r="A242" t="s">
        <v>573</v>
      </c>
      <c r="B242" t="s">
        <v>574</v>
      </c>
      <c r="C242" t="s">
        <v>129</v>
      </c>
      <c r="D242" s="2">
        <v>1</v>
      </c>
      <c r="E242" s="2">
        <v>2</v>
      </c>
      <c r="F242" s="2">
        <v>3</v>
      </c>
    </row>
    <row r="243" spans="1:6" x14ac:dyDescent="0.25">
      <c r="A243" t="s">
        <v>575</v>
      </c>
      <c r="B243" t="s">
        <v>576</v>
      </c>
      <c r="C243" t="s">
        <v>129</v>
      </c>
      <c r="D243" s="2">
        <v>2</v>
      </c>
      <c r="E243" s="2">
        <v>2</v>
      </c>
      <c r="F243" s="2">
        <v>4</v>
      </c>
    </row>
    <row r="244" spans="1:6" x14ac:dyDescent="0.25">
      <c r="A244" t="s">
        <v>577</v>
      </c>
      <c r="B244" t="s">
        <v>578</v>
      </c>
      <c r="C244" t="s">
        <v>201</v>
      </c>
      <c r="D244" s="2">
        <v>1</v>
      </c>
      <c r="E244" s="2"/>
      <c r="F244" s="2">
        <v>1</v>
      </c>
    </row>
    <row r="245" spans="1:6" x14ac:dyDescent="0.25">
      <c r="A245" t="s">
        <v>579</v>
      </c>
      <c r="B245" t="s">
        <v>580</v>
      </c>
      <c r="C245" t="s">
        <v>129</v>
      </c>
      <c r="D245" s="2">
        <v>1</v>
      </c>
      <c r="E245" s="2">
        <v>1</v>
      </c>
      <c r="F245" s="2">
        <v>2</v>
      </c>
    </row>
    <row r="246" spans="1:6" x14ac:dyDescent="0.25">
      <c r="A246" t="s">
        <v>581</v>
      </c>
      <c r="B246" t="s">
        <v>582</v>
      </c>
      <c r="C246" t="s">
        <v>129</v>
      </c>
      <c r="D246" s="2"/>
      <c r="E246" s="2">
        <v>3</v>
      </c>
      <c r="F246" s="2">
        <v>3</v>
      </c>
    </row>
    <row r="247" spans="1:6" x14ac:dyDescent="0.25">
      <c r="A247" t="s">
        <v>583</v>
      </c>
      <c r="B247" t="s">
        <v>584</v>
      </c>
      <c r="C247" t="s">
        <v>129</v>
      </c>
      <c r="D247" s="2">
        <v>1</v>
      </c>
      <c r="E247" s="2"/>
      <c r="F247" s="2">
        <v>1</v>
      </c>
    </row>
    <row r="248" spans="1:6" x14ac:dyDescent="0.25">
      <c r="A248" t="s">
        <v>585</v>
      </c>
      <c r="B248" t="s">
        <v>586</v>
      </c>
      <c r="C248" t="s">
        <v>12</v>
      </c>
      <c r="D248" s="2">
        <v>9</v>
      </c>
      <c r="E248" s="2">
        <v>16</v>
      </c>
      <c r="F248" s="2">
        <v>25</v>
      </c>
    </row>
    <row r="249" spans="1:6" x14ac:dyDescent="0.25">
      <c r="A249" t="s">
        <v>587</v>
      </c>
      <c r="B249" t="s">
        <v>588</v>
      </c>
      <c r="C249" t="s">
        <v>129</v>
      </c>
      <c r="D249" s="2"/>
      <c r="E249" s="2">
        <v>1</v>
      </c>
      <c r="F249" s="2">
        <v>1</v>
      </c>
    </row>
    <row r="250" spans="1:6" x14ac:dyDescent="0.25">
      <c r="A250" t="s">
        <v>589</v>
      </c>
      <c r="B250" t="s">
        <v>590</v>
      </c>
      <c r="C250" t="s">
        <v>129</v>
      </c>
      <c r="D250" s="2"/>
      <c r="E250" s="2">
        <v>1</v>
      </c>
      <c r="F250" s="2">
        <v>1</v>
      </c>
    </row>
    <row r="251" spans="1:6" x14ac:dyDescent="0.25">
      <c r="A251" t="s">
        <v>591</v>
      </c>
      <c r="B251" t="s">
        <v>592</v>
      </c>
      <c r="C251" t="s">
        <v>129</v>
      </c>
      <c r="D251" s="2"/>
      <c r="E251" s="2">
        <v>1</v>
      </c>
      <c r="F251" s="2">
        <v>1</v>
      </c>
    </row>
    <row r="252" spans="1:6" x14ac:dyDescent="0.25">
      <c r="A252" t="s">
        <v>593</v>
      </c>
      <c r="B252" t="s">
        <v>594</v>
      </c>
      <c r="C252" t="s">
        <v>129</v>
      </c>
      <c r="D252" s="2"/>
      <c r="E252" s="2">
        <v>1</v>
      </c>
      <c r="F252" s="2">
        <v>1</v>
      </c>
    </row>
    <row r="253" spans="1:6" x14ac:dyDescent="0.25">
      <c r="A253" t="s">
        <v>595</v>
      </c>
      <c r="B253" t="s">
        <v>596</v>
      </c>
      <c r="C253" t="s">
        <v>129</v>
      </c>
      <c r="D253" s="2">
        <v>1</v>
      </c>
      <c r="E253" s="2">
        <v>2</v>
      </c>
      <c r="F253" s="2">
        <v>3</v>
      </c>
    </row>
    <row r="254" spans="1:6" x14ac:dyDescent="0.25">
      <c r="A254" t="s">
        <v>597</v>
      </c>
      <c r="B254" t="s">
        <v>598</v>
      </c>
      <c r="C254" t="s">
        <v>201</v>
      </c>
      <c r="D254" s="2"/>
      <c r="E254" s="2">
        <v>1</v>
      </c>
      <c r="F254" s="2">
        <v>1</v>
      </c>
    </row>
    <row r="255" spans="1:6" x14ac:dyDescent="0.25">
      <c r="A255" t="s">
        <v>599</v>
      </c>
      <c r="B255" t="s">
        <v>600</v>
      </c>
      <c r="C255" t="s">
        <v>201</v>
      </c>
      <c r="D255" s="2">
        <v>1</v>
      </c>
      <c r="E255" s="2"/>
      <c r="F255" s="2">
        <v>1</v>
      </c>
    </row>
    <row r="256" spans="1:6" x14ac:dyDescent="0.25">
      <c r="A256" t="s">
        <v>601</v>
      </c>
      <c r="B256" t="s">
        <v>602</v>
      </c>
      <c r="C256" t="s">
        <v>201</v>
      </c>
      <c r="D256" s="2">
        <v>2</v>
      </c>
      <c r="E256" s="2"/>
      <c r="F256" s="2">
        <v>2</v>
      </c>
    </row>
    <row r="257" spans="1:6" x14ac:dyDescent="0.25">
      <c r="A257" t="s">
        <v>603</v>
      </c>
      <c r="B257" t="s">
        <v>604</v>
      </c>
      <c r="C257" t="s">
        <v>129</v>
      </c>
      <c r="D257" s="2">
        <v>45</v>
      </c>
      <c r="E257" s="2">
        <v>55</v>
      </c>
      <c r="F257" s="2">
        <v>100</v>
      </c>
    </row>
    <row r="258" spans="1:6" x14ac:dyDescent="0.25">
      <c r="A258" t="s">
        <v>606</v>
      </c>
      <c r="B258" t="s">
        <v>607</v>
      </c>
      <c r="C258" t="s">
        <v>608</v>
      </c>
      <c r="D258" s="2">
        <v>415</v>
      </c>
      <c r="E258" s="2">
        <v>238</v>
      </c>
      <c r="F258" s="2">
        <v>653</v>
      </c>
    </row>
    <row r="259" spans="1:6" x14ac:dyDescent="0.25">
      <c r="A259" t="s">
        <v>609</v>
      </c>
      <c r="B259" t="s">
        <v>610</v>
      </c>
      <c r="C259" t="s">
        <v>376</v>
      </c>
      <c r="D259" s="2">
        <v>1</v>
      </c>
      <c r="E259" s="2"/>
      <c r="F259" s="2">
        <v>1</v>
      </c>
    </row>
    <row r="260" spans="1:6" x14ac:dyDescent="0.25">
      <c r="A260" t="s">
        <v>611</v>
      </c>
      <c r="B260" t="s">
        <v>612</v>
      </c>
      <c r="C260" t="s">
        <v>613</v>
      </c>
      <c r="D260" s="2">
        <v>2</v>
      </c>
      <c r="E260" s="2"/>
      <c r="F260" s="2">
        <v>2</v>
      </c>
    </row>
    <row r="261" spans="1:6" x14ac:dyDescent="0.25">
      <c r="A261" t="s">
        <v>614</v>
      </c>
      <c r="B261" t="s">
        <v>615</v>
      </c>
      <c r="C261" t="s">
        <v>613</v>
      </c>
      <c r="D261" s="2">
        <v>13</v>
      </c>
      <c r="E261" s="2">
        <v>2</v>
      </c>
      <c r="F261" s="2">
        <v>15</v>
      </c>
    </row>
    <row r="262" spans="1:6" x14ac:dyDescent="0.25">
      <c r="A262" t="s">
        <v>616</v>
      </c>
      <c r="B262" t="s">
        <v>617</v>
      </c>
      <c r="C262" t="s">
        <v>613</v>
      </c>
      <c r="D262" s="2">
        <v>2</v>
      </c>
      <c r="E262" s="2"/>
      <c r="F262" s="2">
        <v>2</v>
      </c>
    </row>
    <row r="263" spans="1:6" x14ac:dyDescent="0.25">
      <c r="A263" t="s">
        <v>618</v>
      </c>
      <c r="B263" t="s">
        <v>619</v>
      </c>
      <c r="C263" t="s">
        <v>12</v>
      </c>
      <c r="D263" s="2">
        <v>11</v>
      </c>
      <c r="E263" s="2">
        <v>4</v>
      </c>
      <c r="F263" s="2">
        <v>15</v>
      </c>
    </row>
    <row r="264" spans="1:6" x14ac:dyDescent="0.25">
      <c r="A264" t="s">
        <v>620</v>
      </c>
      <c r="B264" t="s">
        <v>621</v>
      </c>
      <c r="C264" t="s">
        <v>39</v>
      </c>
      <c r="D264" s="2">
        <v>1</v>
      </c>
      <c r="E264" s="2"/>
      <c r="F264" s="2">
        <v>1</v>
      </c>
    </row>
    <row r="265" spans="1:6" x14ac:dyDescent="0.25">
      <c r="A265" t="s">
        <v>622</v>
      </c>
      <c r="B265" t="s">
        <v>623</v>
      </c>
      <c r="C265" t="s">
        <v>77</v>
      </c>
      <c r="D265" s="2">
        <v>1</v>
      </c>
      <c r="E265" s="2"/>
      <c r="F265" s="2">
        <v>1</v>
      </c>
    </row>
    <row r="266" spans="1:6" x14ac:dyDescent="0.25">
      <c r="A266" t="s">
        <v>624</v>
      </c>
      <c r="B266" t="s">
        <v>625</v>
      </c>
      <c r="C266" t="s">
        <v>129</v>
      </c>
      <c r="D266" s="2"/>
      <c r="E266" s="2">
        <v>1</v>
      </c>
      <c r="F266" s="2">
        <v>1</v>
      </c>
    </row>
    <row r="267" spans="1:6" x14ac:dyDescent="0.25">
      <c r="A267" t="s">
        <v>626</v>
      </c>
      <c r="B267" t="s">
        <v>627</v>
      </c>
      <c r="C267" t="s">
        <v>629</v>
      </c>
      <c r="D267" s="2">
        <v>61</v>
      </c>
      <c r="E267" s="2">
        <v>95</v>
      </c>
      <c r="F267" s="2">
        <v>156</v>
      </c>
    </row>
    <row r="268" spans="1:6" x14ac:dyDescent="0.25">
      <c r="A268" t="s">
        <v>630</v>
      </c>
      <c r="B268" t="s">
        <v>631</v>
      </c>
      <c r="C268" t="s">
        <v>201</v>
      </c>
      <c r="D268" s="2">
        <v>3</v>
      </c>
      <c r="E268" s="2">
        <v>7</v>
      </c>
      <c r="F268" s="2">
        <v>10</v>
      </c>
    </row>
    <row r="269" spans="1:6" x14ac:dyDescent="0.25">
      <c r="A269" t="s">
        <v>632</v>
      </c>
      <c r="B269" t="s">
        <v>633</v>
      </c>
      <c r="C269" t="s">
        <v>129</v>
      </c>
      <c r="D269" s="2"/>
      <c r="E269" s="2">
        <v>4</v>
      </c>
      <c r="F269" s="2">
        <v>4</v>
      </c>
    </row>
    <row r="270" spans="1:6" x14ac:dyDescent="0.25">
      <c r="A270" t="s">
        <v>634</v>
      </c>
      <c r="B270" t="s">
        <v>635</v>
      </c>
      <c r="C270" t="s">
        <v>129</v>
      </c>
      <c r="D270" s="2">
        <v>11</v>
      </c>
      <c r="E270" s="2">
        <v>12</v>
      </c>
      <c r="F270" s="2">
        <v>23</v>
      </c>
    </row>
    <row r="271" spans="1:6" x14ac:dyDescent="0.25">
      <c r="A271" t="s">
        <v>636</v>
      </c>
      <c r="B271" t="s">
        <v>637</v>
      </c>
      <c r="C271" t="s">
        <v>201</v>
      </c>
      <c r="D271" s="2"/>
      <c r="E271" s="2">
        <v>3</v>
      </c>
      <c r="F271" s="2">
        <v>3</v>
      </c>
    </row>
    <row r="272" spans="1:6" x14ac:dyDescent="0.25">
      <c r="A272" t="s">
        <v>639</v>
      </c>
      <c r="B272" t="s">
        <v>640</v>
      </c>
      <c r="C272" t="s">
        <v>201</v>
      </c>
      <c r="D272" s="2"/>
      <c r="E272" s="2">
        <v>1</v>
      </c>
      <c r="F272" s="2">
        <v>1</v>
      </c>
    </row>
    <row r="273" spans="1:6" x14ac:dyDescent="0.25">
      <c r="A273" t="s">
        <v>641</v>
      </c>
      <c r="B273" t="s">
        <v>642</v>
      </c>
      <c r="C273" t="s">
        <v>201</v>
      </c>
      <c r="D273" s="2"/>
      <c r="E273" s="2">
        <v>5</v>
      </c>
      <c r="F273" s="2">
        <v>5</v>
      </c>
    </row>
    <row r="274" spans="1:6" x14ac:dyDescent="0.25">
      <c r="A274" t="s">
        <v>643</v>
      </c>
      <c r="B274" t="s">
        <v>644</v>
      </c>
      <c r="C274" t="s">
        <v>173</v>
      </c>
      <c r="D274" s="2">
        <v>63</v>
      </c>
      <c r="E274" s="2">
        <v>5</v>
      </c>
      <c r="F274" s="2">
        <v>68</v>
      </c>
    </row>
    <row r="275" spans="1:6" x14ac:dyDescent="0.25">
      <c r="A275" t="s">
        <v>646</v>
      </c>
      <c r="B275" t="s">
        <v>647</v>
      </c>
      <c r="C275" t="s">
        <v>155</v>
      </c>
      <c r="D275" s="2">
        <v>66</v>
      </c>
      <c r="E275" s="2">
        <v>28</v>
      </c>
      <c r="F275" s="2">
        <v>94</v>
      </c>
    </row>
    <row r="276" spans="1:6" x14ac:dyDescent="0.25">
      <c r="A276" t="s">
        <v>648</v>
      </c>
      <c r="B276" t="s">
        <v>649</v>
      </c>
      <c r="C276" t="s">
        <v>205</v>
      </c>
      <c r="D276" s="2">
        <v>107</v>
      </c>
      <c r="E276" s="2">
        <v>59</v>
      </c>
      <c r="F276" s="2">
        <v>166</v>
      </c>
    </row>
    <row r="277" spans="1:6" x14ac:dyDescent="0.25">
      <c r="A277" t="s">
        <v>651</v>
      </c>
      <c r="B277" t="s">
        <v>652</v>
      </c>
      <c r="C277" t="s">
        <v>654</v>
      </c>
      <c r="D277" s="2"/>
      <c r="E277" s="2">
        <v>1</v>
      </c>
      <c r="F277" s="2">
        <v>1</v>
      </c>
    </row>
    <row r="278" spans="1:6" x14ac:dyDescent="0.25">
      <c r="A278" t="s">
        <v>655</v>
      </c>
      <c r="B278" t="s">
        <v>656</v>
      </c>
      <c r="C278" t="s">
        <v>657</v>
      </c>
      <c r="D278" s="2">
        <v>36</v>
      </c>
      <c r="E278" s="2">
        <v>4</v>
      </c>
      <c r="F278" s="2">
        <v>40</v>
      </c>
    </row>
    <row r="279" spans="1:6" x14ac:dyDescent="0.25">
      <c r="A279" t="s">
        <v>658</v>
      </c>
      <c r="B279" t="s">
        <v>659</v>
      </c>
      <c r="C279" t="s">
        <v>657</v>
      </c>
      <c r="D279" s="2">
        <v>34</v>
      </c>
      <c r="E279" s="2">
        <v>1</v>
      </c>
      <c r="F279" s="2">
        <v>35</v>
      </c>
    </row>
    <row r="280" spans="1:6" x14ac:dyDescent="0.25">
      <c r="A280" t="s">
        <v>660</v>
      </c>
      <c r="B280" t="s">
        <v>661</v>
      </c>
      <c r="C280" t="s">
        <v>654</v>
      </c>
      <c r="D280" s="2">
        <v>22</v>
      </c>
      <c r="E280" s="2">
        <v>28</v>
      </c>
      <c r="F280" s="2">
        <v>50</v>
      </c>
    </row>
    <row r="281" spans="1:6" x14ac:dyDescent="0.25">
      <c r="A281" t="s">
        <v>662</v>
      </c>
      <c r="B281" t="s">
        <v>663</v>
      </c>
      <c r="C281" t="s">
        <v>488</v>
      </c>
      <c r="D281" s="2">
        <v>118</v>
      </c>
      <c r="E281" s="2">
        <v>50</v>
      </c>
      <c r="F281" s="2">
        <v>168</v>
      </c>
    </row>
    <row r="282" spans="1:6" x14ac:dyDescent="0.25">
      <c r="A282" t="s">
        <v>665</v>
      </c>
      <c r="B282" t="s">
        <v>666</v>
      </c>
      <c r="C282" t="s">
        <v>491</v>
      </c>
      <c r="D282" s="2">
        <v>41</v>
      </c>
      <c r="E282" s="2">
        <v>60</v>
      </c>
      <c r="F282" s="2">
        <v>101</v>
      </c>
    </row>
    <row r="283" spans="1:6" x14ac:dyDescent="0.25">
      <c r="A283" t="s">
        <v>667</v>
      </c>
      <c r="B283" t="s">
        <v>668</v>
      </c>
      <c r="C283" t="s">
        <v>488</v>
      </c>
      <c r="D283" s="2">
        <v>113</v>
      </c>
      <c r="E283" s="2">
        <v>89</v>
      </c>
      <c r="F283" s="2">
        <v>202</v>
      </c>
    </row>
    <row r="284" spans="1:6" x14ac:dyDescent="0.25">
      <c r="A284" t="s">
        <v>669</v>
      </c>
      <c r="B284" t="s">
        <v>670</v>
      </c>
      <c r="C284" t="s">
        <v>672</v>
      </c>
      <c r="D284" s="2">
        <v>93</v>
      </c>
      <c r="E284" s="2">
        <v>26</v>
      </c>
      <c r="F284" s="2">
        <v>119</v>
      </c>
    </row>
    <row r="285" spans="1:6" x14ac:dyDescent="0.25">
      <c r="A285" t="s">
        <v>673</v>
      </c>
      <c r="B285" t="s">
        <v>674</v>
      </c>
      <c r="C285" t="s">
        <v>53</v>
      </c>
      <c r="D285" s="2">
        <v>59</v>
      </c>
      <c r="E285" s="2">
        <v>74</v>
      </c>
      <c r="F285" s="2">
        <v>133</v>
      </c>
    </row>
    <row r="286" spans="1:6" x14ac:dyDescent="0.25">
      <c r="A286" t="s">
        <v>676</v>
      </c>
      <c r="B286" t="s">
        <v>677</v>
      </c>
      <c r="C286" t="s">
        <v>512</v>
      </c>
      <c r="D286" s="2">
        <v>71</v>
      </c>
      <c r="E286" s="2">
        <v>82</v>
      </c>
      <c r="F286" s="2">
        <v>153</v>
      </c>
    </row>
    <row r="287" spans="1:6" x14ac:dyDescent="0.25">
      <c r="A287" t="s">
        <v>678</v>
      </c>
      <c r="B287" t="s">
        <v>679</v>
      </c>
      <c r="C287" t="s">
        <v>173</v>
      </c>
      <c r="D287" s="2">
        <v>73</v>
      </c>
      <c r="E287" s="2">
        <v>75</v>
      </c>
      <c r="F287" s="2">
        <v>148</v>
      </c>
    </row>
    <row r="288" spans="1:6" x14ac:dyDescent="0.25">
      <c r="A288" t="s">
        <v>681</v>
      </c>
      <c r="B288" t="s">
        <v>682</v>
      </c>
      <c r="C288" t="s">
        <v>684</v>
      </c>
      <c r="D288" s="2">
        <v>19</v>
      </c>
      <c r="E288" s="2">
        <v>29</v>
      </c>
      <c r="F288" s="2">
        <v>48</v>
      </c>
    </row>
    <row r="289" spans="1:6" x14ac:dyDescent="0.25">
      <c r="A289" t="s">
        <v>685</v>
      </c>
      <c r="B289" t="s">
        <v>686</v>
      </c>
      <c r="C289" t="s">
        <v>173</v>
      </c>
      <c r="D289" s="2">
        <v>13</v>
      </c>
      <c r="E289" s="2">
        <v>10</v>
      </c>
      <c r="F289" s="2">
        <v>23</v>
      </c>
    </row>
    <row r="290" spans="1:6" x14ac:dyDescent="0.25">
      <c r="A290" t="s">
        <v>687</v>
      </c>
      <c r="B290" t="s">
        <v>688</v>
      </c>
      <c r="C290" t="s">
        <v>690</v>
      </c>
      <c r="D290" s="2">
        <v>19</v>
      </c>
      <c r="E290" s="2">
        <v>23</v>
      </c>
      <c r="F290" s="2">
        <v>42</v>
      </c>
    </row>
    <row r="291" spans="1:6" x14ac:dyDescent="0.25">
      <c r="A291" t="s">
        <v>691</v>
      </c>
      <c r="B291" t="s">
        <v>692</v>
      </c>
      <c r="C291" t="s">
        <v>693</v>
      </c>
      <c r="D291" s="2">
        <v>14</v>
      </c>
      <c r="E291" s="2">
        <v>14</v>
      </c>
      <c r="F291" s="2">
        <v>28</v>
      </c>
    </row>
    <row r="292" spans="1:6" x14ac:dyDescent="0.25">
      <c r="A292" t="s">
        <v>694</v>
      </c>
      <c r="B292" t="s">
        <v>695</v>
      </c>
      <c r="C292" t="s">
        <v>218</v>
      </c>
      <c r="D292" s="2">
        <v>35</v>
      </c>
      <c r="E292" s="2">
        <v>39</v>
      </c>
      <c r="F292" s="2">
        <v>74</v>
      </c>
    </row>
    <row r="293" spans="1:6" x14ac:dyDescent="0.25">
      <c r="A293" t="s">
        <v>697</v>
      </c>
      <c r="B293" t="s">
        <v>698</v>
      </c>
      <c r="C293" t="s">
        <v>218</v>
      </c>
      <c r="D293" s="2">
        <v>23</v>
      </c>
      <c r="E293" s="2">
        <v>21</v>
      </c>
      <c r="F293" s="2">
        <v>44</v>
      </c>
    </row>
    <row r="294" spans="1:6" x14ac:dyDescent="0.25">
      <c r="A294" t="s">
        <v>700</v>
      </c>
      <c r="B294" t="s">
        <v>701</v>
      </c>
      <c r="C294" t="s">
        <v>703</v>
      </c>
      <c r="D294" s="2"/>
      <c r="E294" s="2">
        <v>1</v>
      </c>
      <c r="F294" s="2">
        <v>1</v>
      </c>
    </row>
    <row r="295" spans="1:6" x14ac:dyDescent="0.25">
      <c r="A295" t="s">
        <v>704</v>
      </c>
      <c r="B295" t="s">
        <v>705</v>
      </c>
      <c r="C295">
        <v>0</v>
      </c>
      <c r="D295" s="2">
        <v>16</v>
      </c>
      <c r="E295" s="2">
        <v>14</v>
      </c>
      <c r="F295" s="2">
        <v>30</v>
      </c>
    </row>
    <row r="296" spans="1:6" x14ac:dyDescent="0.25">
      <c r="A296" t="s">
        <v>707</v>
      </c>
      <c r="B296" t="s">
        <v>708</v>
      </c>
      <c r="C296" t="s">
        <v>129</v>
      </c>
      <c r="D296" s="2"/>
      <c r="E296" s="2">
        <v>1</v>
      </c>
      <c r="F296" s="2">
        <v>1</v>
      </c>
    </row>
    <row r="297" spans="1:6" x14ac:dyDescent="0.25">
      <c r="A297" t="s">
        <v>710</v>
      </c>
      <c r="B297" t="s">
        <v>711</v>
      </c>
      <c r="C297" t="s">
        <v>129</v>
      </c>
      <c r="D297" s="2">
        <v>1</v>
      </c>
      <c r="E297" s="2"/>
      <c r="F297" s="2">
        <v>1</v>
      </c>
    </row>
    <row r="298" spans="1:6" x14ac:dyDescent="0.25">
      <c r="A298" t="s">
        <v>712</v>
      </c>
      <c r="B298" t="s">
        <v>713</v>
      </c>
      <c r="C298" t="s">
        <v>129</v>
      </c>
      <c r="D298" s="2"/>
      <c r="E298" s="2">
        <v>4</v>
      </c>
      <c r="F298" s="2">
        <v>4</v>
      </c>
    </row>
    <row r="299" spans="1:6" x14ac:dyDescent="0.25">
      <c r="A299" t="s">
        <v>714</v>
      </c>
      <c r="B299" t="s">
        <v>715</v>
      </c>
      <c r="C299" t="s">
        <v>129</v>
      </c>
      <c r="D299" s="2">
        <v>1</v>
      </c>
      <c r="E299" s="2"/>
      <c r="F299" s="2">
        <v>1</v>
      </c>
    </row>
    <row r="300" spans="1:6" x14ac:dyDescent="0.25">
      <c r="A300" t="s">
        <v>716</v>
      </c>
      <c r="B300" t="s">
        <v>717</v>
      </c>
      <c r="C300" t="s">
        <v>129</v>
      </c>
      <c r="D300" s="2">
        <v>2</v>
      </c>
      <c r="E300" s="2"/>
      <c r="F300" s="2">
        <v>2</v>
      </c>
    </row>
    <row r="301" spans="1:6" x14ac:dyDescent="0.25">
      <c r="A301" t="s">
        <v>718</v>
      </c>
      <c r="B301" t="s">
        <v>719</v>
      </c>
      <c r="C301" t="s">
        <v>129</v>
      </c>
      <c r="D301" s="2">
        <v>1</v>
      </c>
      <c r="E301" s="2"/>
      <c r="F301" s="2">
        <v>1</v>
      </c>
    </row>
    <row r="302" spans="1:6" x14ac:dyDescent="0.25">
      <c r="A302" t="s">
        <v>720</v>
      </c>
      <c r="B302" t="s">
        <v>721</v>
      </c>
      <c r="C302" t="s">
        <v>129</v>
      </c>
      <c r="D302" s="2">
        <v>2</v>
      </c>
      <c r="E302" s="2"/>
      <c r="F302" s="2">
        <v>2</v>
      </c>
    </row>
    <row r="303" spans="1:6" x14ac:dyDescent="0.25">
      <c r="A303" t="s">
        <v>722</v>
      </c>
      <c r="B303" t="s">
        <v>723</v>
      </c>
      <c r="C303" t="s">
        <v>129</v>
      </c>
      <c r="D303" s="2">
        <v>1</v>
      </c>
      <c r="E303" s="2">
        <v>1</v>
      </c>
      <c r="F303" s="2">
        <v>2</v>
      </c>
    </row>
    <row r="304" spans="1:6" x14ac:dyDescent="0.25">
      <c r="A304" t="s">
        <v>724</v>
      </c>
      <c r="B304" t="s">
        <v>725</v>
      </c>
      <c r="C304" t="s">
        <v>129</v>
      </c>
      <c r="D304" s="2"/>
      <c r="E304" s="2">
        <v>3</v>
      </c>
      <c r="F304" s="2">
        <v>3</v>
      </c>
    </row>
    <row r="305" spans="1:6" x14ac:dyDescent="0.25">
      <c r="A305" t="s">
        <v>726</v>
      </c>
      <c r="B305" t="s">
        <v>727</v>
      </c>
      <c r="C305" t="s">
        <v>129</v>
      </c>
      <c r="D305" s="2">
        <v>1</v>
      </c>
      <c r="E305" s="2"/>
      <c r="F305" s="2">
        <v>1</v>
      </c>
    </row>
    <row r="306" spans="1:6" x14ac:dyDescent="0.25">
      <c r="A306" t="s">
        <v>728</v>
      </c>
      <c r="B306" t="s">
        <v>729</v>
      </c>
      <c r="C306" t="s">
        <v>129</v>
      </c>
      <c r="D306" s="2">
        <v>2</v>
      </c>
      <c r="E306" s="2"/>
      <c r="F306" s="2">
        <v>2</v>
      </c>
    </row>
    <row r="307" spans="1:6" x14ac:dyDescent="0.25">
      <c r="A307" t="s">
        <v>730</v>
      </c>
      <c r="B307" t="s">
        <v>731</v>
      </c>
      <c r="C307" t="s">
        <v>129</v>
      </c>
      <c r="D307" s="2"/>
      <c r="E307" s="2">
        <v>2</v>
      </c>
      <c r="F307" s="2">
        <v>2</v>
      </c>
    </row>
    <row r="308" spans="1:6" x14ac:dyDescent="0.25">
      <c r="A308" t="s">
        <v>732</v>
      </c>
      <c r="B308" t="s">
        <v>733</v>
      </c>
      <c r="C308" t="s">
        <v>129</v>
      </c>
      <c r="D308" s="2">
        <v>3</v>
      </c>
      <c r="E308" s="2"/>
      <c r="F308" s="2">
        <v>3</v>
      </c>
    </row>
    <row r="309" spans="1:6" x14ac:dyDescent="0.25">
      <c r="A309" t="s">
        <v>734</v>
      </c>
      <c r="B309" t="s">
        <v>735</v>
      </c>
      <c r="C309" t="s">
        <v>129</v>
      </c>
      <c r="D309" s="2">
        <v>4</v>
      </c>
      <c r="E309" s="2"/>
      <c r="F309" s="2">
        <v>4</v>
      </c>
    </row>
    <row r="310" spans="1:6" x14ac:dyDescent="0.25">
      <c r="A310" t="s">
        <v>736</v>
      </c>
      <c r="B310" t="s">
        <v>737</v>
      </c>
      <c r="C310" t="s">
        <v>129</v>
      </c>
      <c r="D310" s="2">
        <v>1</v>
      </c>
      <c r="E310" s="2"/>
      <c r="F310" s="2">
        <v>1</v>
      </c>
    </row>
    <row r="311" spans="1:6" x14ac:dyDescent="0.25">
      <c r="A311" t="s">
        <v>738</v>
      </c>
      <c r="B311" t="s">
        <v>739</v>
      </c>
      <c r="C311" t="s">
        <v>129</v>
      </c>
      <c r="D311" s="2">
        <v>3</v>
      </c>
      <c r="E311" s="2">
        <v>1</v>
      </c>
      <c r="F311" s="2">
        <v>4</v>
      </c>
    </row>
    <row r="312" spans="1:6" x14ac:dyDescent="0.25">
      <c r="A312" t="s">
        <v>740</v>
      </c>
      <c r="B312" t="s">
        <v>741</v>
      </c>
      <c r="C312" t="s">
        <v>129</v>
      </c>
      <c r="D312" s="2">
        <v>1</v>
      </c>
      <c r="E312" s="2">
        <v>2</v>
      </c>
      <c r="F312" s="2">
        <v>3</v>
      </c>
    </row>
    <row r="313" spans="1:6" x14ac:dyDescent="0.25">
      <c r="A313" t="s">
        <v>742</v>
      </c>
      <c r="B313" t="s">
        <v>743</v>
      </c>
      <c r="C313" t="s">
        <v>129</v>
      </c>
      <c r="D313" s="2">
        <v>2</v>
      </c>
      <c r="E313" s="2"/>
      <c r="F313" s="2">
        <v>2</v>
      </c>
    </row>
    <row r="314" spans="1:6" x14ac:dyDescent="0.25">
      <c r="A314" t="s">
        <v>744</v>
      </c>
      <c r="B314" t="s">
        <v>745</v>
      </c>
      <c r="C314" t="s">
        <v>129</v>
      </c>
      <c r="D314" s="2">
        <v>2</v>
      </c>
      <c r="E314" s="2">
        <v>1</v>
      </c>
      <c r="F314" s="2">
        <v>3</v>
      </c>
    </row>
    <row r="315" spans="1:6" x14ac:dyDescent="0.25">
      <c r="A315" t="s">
        <v>746</v>
      </c>
      <c r="B315" t="s">
        <v>747</v>
      </c>
      <c r="C315" t="s">
        <v>129</v>
      </c>
      <c r="D315" s="2"/>
      <c r="E315" s="2">
        <v>3</v>
      </c>
      <c r="F315" s="2">
        <v>3</v>
      </c>
    </row>
    <row r="316" spans="1:6" x14ac:dyDescent="0.25">
      <c r="A316" t="s">
        <v>748</v>
      </c>
      <c r="B316" t="s">
        <v>749</v>
      </c>
      <c r="C316" t="s">
        <v>129</v>
      </c>
      <c r="D316" s="2">
        <v>3</v>
      </c>
      <c r="E316" s="2">
        <v>1</v>
      </c>
      <c r="F316" s="2">
        <v>4</v>
      </c>
    </row>
    <row r="317" spans="1:6" x14ac:dyDescent="0.25">
      <c r="A317" t="s">
        <v>750</v>
      </c>
      <c r="B317" t="s">
        <v>751</v>
      </c>
      <c r="C317" t="s">
        <v>129</v>
      </c>
      <c r="D317" s="2">
        <v>1</v>
      </c>
      <c r="E317" s="2">
        <v>1</v>
      </c>
      <c r="F317" s="2">
        <v>2</v>
      </c>
    </row>
    <row r="318" spans="1:6" x14ac:dyDescent="0.25">
      <c r="A318" t="s">
        <v>752</v>
      </c>
      <c r="B318" t="s">
        <v>753</v>
      </c>
      <c r="C318" t="s">
        <v>129</v>
      </c>
      <c r="D318" s="2">
        <v>1</v>
      </c>
      <c r="E318" s="2">
        <v>1</v>
      </c>
      <c r="F318" s="2">
        <v>2</v>
      </c>
    </row>
    <row r="319" spans="1:6" x14ac:dyDescent="0.25">
      <c r="A319" t="s">
        <v>754</v>
      </c>
      <c r="B319" t="s">
        <v>755</v>
      </c>
      <c r="C319" t="s">
        <v>129</v>
      </c>
      <c r="D319" s="2">
        <v>1</v>
      </c>
      <c r="E319" s="2"/>
      <c r="F319" s="2">
        <v>1</v>
      </c>
    </row>
    <row r="320" spans="1:6" x14ac:dyDescent="0.25">
      <c r="A320" t="s">
        <v>756</v>
      </c>
      <c r="B320" t="s">
        <v>757</v>
      </c>
      <c r="C320" t="s">
        <v>129</v>
      </c>
      <c r="D320" s="2"/>
      <c r="E320" s="2">
        <v>8</v>
      </c>
      <c r="F320" s="2">
        <v>8</v>
      </c>
    </row>
    <row r="321" spans="1:6" x14ac:dyDescent="0.25">
      <c r="A321" t="s">
        <v>758</v>
      </c>
      <c r="B321" t="s">
        <v>759</v>
      </c>
      <c r="C321" t="s">
        <v>129</v>
      </c>
      <c r="D321" s="2">
        <v>20</v>
      </c>
      <c r="E321" s="2">
        <v>19</v>
      </c>
      <c r="F321" s="2">
        <v>39</v>
      </c>
    </row>
    <row r="322" spans="1:6" x14ac:dyDescent="0.25">
      <c r="A322" t="s">
        <v>760</v>
      </c>
      <c r="B322" t="s">
        <v>761</v>
      </c>
      <c r="C322" t="s">
        <v>129</v>
      </c>
      <c r="D322" s="2">
        <v>24</v>
      </c>
      <c r="E322" s="2">
        <v>26</v>
      </c>
      <c r="F322" s="2">
        <v>50</v>
      </c>
    </row>
    <row r="323" spans="1:6" x14ac:dyDescent="0.25">
      <c r="A323" t="s">
        <v>762</v>
      </c>
      <c r="B323" t="s">
        <v>763</v>
      </c>
      <c r="C323" t="s">
        <v>129</v>
      </c>
      <c r="D323" s="2">
        <v>8</v>
      </c>
      <c r="E323" s="2">
        <v>7</v>
      </c>
      <c r="F323" s="2">
        <v>15</v>
      </c>
    </row>
    <row r="324" spans="1:6" x14ac:dyDescent="0.25">
      <c r="A324" t="s">
        <v>764</v>
      </c>
      <c r="B324" t="s">
        <v>765</v>
      </c>
      <c r="C324" t="s">
        <v>201</v>
      </c>
      <c r="D324" s="2">
        <v>1</v>
      </c>
      <c r="E324" s="2">
        <v>4</v>
      </c>
      <c r="F324" s="2">
        <v>5</v>
      </c>
    </row>
    <row r="325" spans="1:6" x14ac:dyDescent="0.25">
      <c r="A325" t="s">
        <v>766</v>
      </c>
      <c r="B325" t="s">
        <v>767</v>
      </c>
      <c r="C325" t="s">
        <v>201</v>
      </c>
      <c r="D325" s="2">
        <v>1</v>
      </c>
      <c r="E325" s="2">
        <v>6</v>
      </c>
      <c r="F325" s="2">
        <v>7</v>
      </c>
    </row>
    <row r="326" spans="1:6" x14ac:dyDescent="0.25">
      <c r="A326" t="s">
        <v>768</v>
      </c>
      <c r="B326" t="s">
        <v>769</v>
      </c>
      <c r="C326" t="s">
        <v>201</v>
      </c>
      <c r="D326" s="2"/>
      <c r="E326" s="2">
        <v>4</v>
      </c>
      <c r="F326" s="2">
        <v>4</v>
      </c>
    </row>
    <row r="327" spans="1:6" x14ac:dyDescent="0.25">
      <c r="A327" t="s">
        <v>770</v>
      </c>
      <c r="B327" t="s">
        <v>771</v>
      </c>
      <c r="C327" t="s">
        <v>201</v>
      </c>
      <c r="D327" s="2"/>
      <c r="E327" s="2">
        <v>1</v>
      </c>
      <c r="F327" s="2">
        <v>1</v>
      </c>
    </row>
    <row r="328" spans="1:6" x14ac:dyDescent="0.25">
      <c r="A328" t="s">
        <v>772</v>
      </c>
      <c r="B328" t="s">
        <v>773</v>
      </c>
      <c r="C328" t="s">
        <v>201</v>
      </c>
      <c r="D328" s="2">
        <v>2</v>
      </c>
      <c r="E328" s="2">
        <v>3</v>
      </c>
      <c r="F328" s="2">
        <v>5</v>
      </c>
    </row>
    <row r="329" spans="1:6" x14ac:dyDescent="0.25">
      <c r="A329" t="s">
        <v>774</v>
      </c>
      <c r="B329" t="s">
        <v>775</v>
      </c>
      <c r="C329" t="s">
        <v>201</v>
      </c>
      <c r="D329" s="2">
        <v>5</v>
      </c>
      <c r="E329" s="2"/>
      <c r="F329" s="2">
        <v>5</v>
      </c>
    </row>
    <row r="330" spans="1:6" x14ac:dyDescent="0.25">
      <c r="A330" t="s">
        <v>776</v>
      </c>
      <c r="B330" t="s">
        <v>777</v>
      </c>
      <c r="C330" t="s">
        <v>201</v>
      </c>
      <c r="D330" s="2">
        <v>4</v>
      </c>
      <c r="E330" s="2"/>
      <c r="F330" s="2">
        <v>4</v>
      </c>
    </row>
    <row r="331" spans="1:6" x14ac:dyDescent="0.25">
      <c r="A331" t="s">
        <v>778</v>
      </c>
      <c r="B331" t="s">
        <v>779</v>
      </c>
      <c r="C331" t="s">
        <v>201</v>
      </c>
      <c r="D331" s="2">
        <v>1</v>
      </c>
      <c r="E331" s="2"/>
      <c r="F331" s="2">
        <v>1</v>
      </c>
    </row>
    <row r="332" spans="1:6" x14ac:dyDescent="0.25">
      <c r="A332" t="s">
        <v>780</v>
      </c>
      <c r="B332" t="s">
        <v>781</v>
      </c>
      <c r="C332" t="s">
        <v>201</v>
      </c>
      <c r="D332" s="2">
        <v>5</v>
      </c>
      <c r="E332" s="2"/>
      <c r="F332" s="2">
        <v>5</v>
      </c>
    </row>
    <row r="333" spans="1:6" x14ac:dyDescent="0.25">
      <c r="A333" t="s">
        <v>782</v>
      </c>
      <c r="B333" t="s">
        <v>783</v>
      </c>
      <c r="C333" t="s">
        <v>201</v>
      </c>
      <c r="D333" s="2">
        <v>4</v>
      </c>
      <c r="E333" s="2">
        <v>5</v>
      </c>
      <c r="F333" s="2">
        <v>9</v>
      </c>
    </row>
    <row r="334" spans="1:6" x14ac:dyDescent="0.25">
      <c r="A334" t="s">
        <v>784</v>
      </c>
      <c r="B334" t="s">
        <v>785</v>
      </c>
      <c r="C334" t="s">
        <v>201</v>
      </c>
      <c r="D334" s="2">
        <v>3</v>
      </c>
      <c r="E334" s="2">
        <v>4</v>
      </c>
      <c r="F334" s="2">
        <v>7</v>
      </c>
    </row>
    <row r="335" spans="1:6" x14ac:dyDescent="0.25">
      <c r="A335" t="s">
        <v>786</v>
      </c>
      <c r="B335" t="s">
        <v>787</v>
      </c>
      <c r="C335" t="s">
        <v>201</v>
      </c>
      <c r="D335" s="2"/>
      <c r="E335" s="2">
        <v>2</v>
      </c>
      <c r="F335" s="2">
        <v>2</v>
      </c>
    </row>
    <row r="336" spans="1:6" x14ac:dyDescent="0.25">
      <c r="A336" t="s">
        <v>788</v>
      </c>
      <c r="B336" t="s">
        <v>789</v>
      </c>
      <c r="C336" t="s">
        <v>201</v>
      </c>
      <c r="D336" s="2">
        <v>1</v>
      </c>
      <c r="E336" s="2"/>
      <c r="F336" s="2">
        <v>1</v>
      </c>
    </row>
    <row r="337" spans="1:6" x14ac:dyDescent="0.25">
      <c r="A337" t="s">
        <v>790</v>
      </c>
      <c r="B337" t="s">
        <v>791</v>
      </c>
      <c r="C337" t="s">
        <v>201</v>
      </c>
      <c r="D337" s="2">
        <v>4</v>
      </c>
      <c r="E337" s="2"/>
      <c r="F337" s="2">
        <v>4</v>
      </c>
    </row>
    <row r="338" spans="1:6" x14ac:dyDescent="0.25">
      <c r="A338" t="s">
        <v>792</v>
      </c>
      <c r="B338" t="s">
        <v>793</v>
      </c>
      <c r="C338" t="s">
        <v>201</v>
      </c>
      <c r="D338" s="2"/>
      <c r="E338" s="2">
        <v>6</v>
      </c>
      <c r="F338" s="2">
        <v>6</v>
      </c>
    </row>
    <row r="339" spans="1:6" x14ac:dyDescent="0.25">
      <c r="A339" t="s">
        <v>794</v>
      </c>
      <c r="B339" t="s">
        <v>795</v>
      </c>
      <c r="C339" t="s">
        <v>201</v>
      </c>
      <c r="D339" s="2">
        <v>1</v>
      </c>
      <c r="E339" s="2"/>
      <c r="F339" s="2">
        <v>1</v>
      </c>
    </row>
    <row r="340" spans="1:6" x14ac:dyDescent="0.25">
      <c r="A340" t="s">
        <v>796</v>
      </c>
      <c r="B340" t="s">
        <v>797</v>
      </c>
      <c r="C340" t="s">
        <v>201</v>
      </c>
      <c r="D340" s="2">
        <v>1</v>
      </c>
      <c r="E340" s="2"/>
      <c r="F340" s="2">
        <v>1</v>
      </c>
    </row>
    <row r="341" spans="1:6" x14ac:dyDescent="0.25">
      <c r="A341" t="s">
        <v>798</v>
      </c>
      <c r="B341" t="s">
        <v>799</v>
      </c>
      <c r="C341" t="s">
        <v>201</v>
      </c>
      <c r="D341" s="2">
        <v>1</v>
      </c>
      <c r="E341" s="2"/>
      <c r="F341" s="2">
        <v>1</v>
      </c>
    </row>
    <row r="342" spans="1:6" x14ac:dyDescent="0.25">
      <c r="A342" t="s">
        <v>800</v>
      </c>
      <c r="B342" t="s">
        <v>801</v>
      </c>
      <c r="C342" t="s">
        <v>803</v>
      </c>
      <c r="D342" s="2">
        <v>1250</v>
      </c>
      <c r="E342" s="2">
        <v>2000</v>
      </c>
      <c r="F342" s="2">
        <v>3250</v>
      </c>
    </row>
    <row r="343" spans="1:6" x14ac:dyDescent="0.25">
      <c r="A343" t="s">
        <v>804</v>
      </c>
      <c r="B343" t="s">
        <v>805</v>
      </c>
      <c r="C343" t="s">
        <v>803</v>
      </c>
      <c r="D343" s="2">
        <v>1000</v>
      </c>
      <c r="E343" s="2">
        <v>1500</v>
      </c>
      <c r="F343" s="2">
        <v>2500</v>
      </c>
    </row>
    <row r="344" spans="1:6" x14ac:dyDescent="0.25">
      <c r="A344" t="s">
        <v>806</v>
      </c>
      <c r="B344" t="s">
        <v>807</v>
      </c>
      <c r="C344" t="s">
        <v>803</v>
      </c>
      <c r="D344" s="2">
        <v>1000</v>
      </c>
      <c r="E344" s="2">
        <v>2000</v>
      </c>
      <c r="F344" s="2">
        <v>3000</v>
      </c>
    </row>
    <row r="345" spans="1:6" x14ac:dyDescent="0.25">
      <c r="A345" t="s">
        <v>808</v>
      </c>
      <c r="B345" t="s">
        <v>809</v>
      </c>
      <c r="C345" t="s">
        <v>810</v>
      </c>
      <c r="D345" s="2"/>
      <c r="E345" s="2">
        <v>2</v>
      </c>
      <c r="F345" s="2">
        <v>2</v>
      </c>
    </row>
    <row r="346" spans="1:6" x14ac:dyDescent="0.25">
      <c r="A346" t="s">
        <v>811</v>
      </c>
      <c r="B346" t="s">
        <v>812</v>
      </c>
      <c r="C346" t="s">
        <v>810</v>
      </c>
      <c r="D346" s="2"/>
      <c r="E346" s="2">
        <v>2</v>
      </c>
      <c r="F346" s="2">
        <v>2</v>
      </c>
    </row>
    <row r="347" spans="1:6" x14ac:dyDescent="0.25">
      <c r="A347" t="s">
        <v>814</v>
      </c>
      <c r="D347" s="2">
        <v>6580</v>
      </c>
      <c r="E347" s="2">
        <v>8347</v>
      </c>
      <c r="F347" s="2">
        <v>14927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7"/>
  <sheetViews>
    <sheetView tabSelected="1" workbookViewId="0">
      <pane ySplit="1" topLeftCell="A2" activePane="bottomLeft" state="frozen"/>
      <selection pane="bottomLeft" activeCell="F4" sqref="F4"/>
    </sheetView>
  </sheetViews>
  <sheetFormatPr baseColWidth="10" defaultRowHeight="11.25" x14ac:dyDescent="0.2"/>
  <cols>
    <col min="1" max="1" width="14.28515625" style="4" customWidth="1"/>
    <col min="2" max="2" width="52.7109375" style="4" customWidth="1"/>
    <col min="3" max="3" width="10.140625" style="4" customWidth="1"/>
    <col min="4" max="4" width="16.28515625" style="4" customWidth="1"/>
    <col min="5" max="5" width="9.7109375" style="4" customWidth="1"/>
    <col min="6" max="8" width="11.42578125" style="4"/>
    <col min="9" max="9" width="17.85546875" style="4" customWidth="1"/>
    <col min="10" max="16384" width="11.42578125" style="4"/>
  </cols>
  <sheetData>
    <row r="1" spans="1:9" s="9" customFormat="1" x14ac:dyDescent="0.25">
      <c r="A1" s="8" t="s">
        <v>1</v>
      </c>
      <c r="B1" s="8" t="s">
        <v>2</v>
      </c>
      <c r="C1" s="8" t="s">
        <v>6</v>
      </c>
      <c r="D1" s="8" t="s">
        <v>1726</v>
      </c>
      <c r="E1" s="8" t="s">
        <v>8</v>
      </c>
      <c r="F1" s="8" t="s">
        <v>13</v>
      </c>
      <c r="G1" s="8" t="s">
        <v>814</v>
      </c>
      <c r="H1" s="8" t="s">
        <v>816</v>
      </c>
      <c r="I1" s="8" t="s">
        <v>817</v>
      </c>
    </row>
    <row r="2" spans="1:9" x14ac:dyDescent="0.2">
      <c r="A2" s="4" t="s">
        <v>242</v>
      </c>
      <c r="B2" s="4" t="s">
        <v>243</v>
      </c>
      <c r="C2" s="4" t="s">
        <v>129</v>
      </c>
      <c r="D2" s="4" t="s">
        <v>315</v>
      </c>
      <c r="F2" s="4">
        <v>1</v>
      </c>
      <c r="G2" s="4">
        <v>1</v>
      </c>
      <c r="H2" s="4">
        <f>VLOOKUP(A2,[1]Sheet1!$A:$I,9,0)</f>
        <v>16.524000000000001</v>
      </c>
      <c r="I2" s="4">
        <f>(H2*G2)</f>
        <v>16.524000000000001</v>
      </c>
    </row>
    <row r="3" spans="1:9" x14ac:dyDescent="0.2">
      <c r="A3" s="4" t="s">
        <v>252</v>
      </c>
      <c r="B3" s="4" t="s">
        <v>253</v>
      </c>
      <c r="C3" s="4" t="s">
        <v>129</v>
      </c>
      <c r="D3" s="4" t="s">
        <v>18</v>
      </c>
      <c r="E3" s="4">
        <v>3</v>
      </c>
      <c r="G3" s="4">
        <v>3</v>
      </c>
      <c r="H3" s="4">
        <f>VLOOKUP(A3,[1]Sheet1!$A:$I,9,0)</f>
        <v>16.22</v>
      </c>
      <c r="I3" s="4">
        <f t="shared" ref="I3:I13" si="0">(H3*G3)</f>
        <v>48.66</v>
      </c>
    </row>
    <row r="4" spans="1:9" x14ac:dyDescent="0.2">
      <c r="A4" s="4" t="s">
        <v>254</v>
      </c>
      <c r="B4" s="4" t="s">
        <v>255</v>
      </c>
      <c r="C4" s="4" t="s">
        <v>129</v>
      </c>
      <c r="D4" s="4" t="s">
        <v>18</v>
      </c>
      <c r="E4" s="4">
        <v>2</v>
      </c>
      <c r="G4" s="4">
        <v>2</v>
      </c>
      <c r="H4" s="4">
        <f>VLOOKUP(A4,[1]Sheet1!$A:$I,9,0)</f>
        <v>21.42</v>
      </c>
      <c r="I4" s="4">
        <f t="shared" si="0"/>
        <v>42.84</v>
      </c>
    </row>
    <row r="5" spans="1:9" x14ac:dyDescent="0.2">
      <c r="A5" s="4" t="s">
        <v>256</v>
      </c>
      <c r="B5" s="4" t="s">
        <v>257</v>
      </c>
      <c r="C5" s="4" t="s">
        <v>129</v>
      </c>
      <c r="D5" s="4" t="s">
        <v>18</v>
      </c>
      <c r="F5" s="4">
        <v>3</v>
      </c>
      <c r="G5" s="4">
        <v>3</v>
      </c>
      <c r="H5" s="4">
        <f>VLOOKUP(A5,[1]Sheet1!$A:$I,9,0)</f>
        <v>8.6029999999999998</v>
      </c>
      <c r="I5" s="4">
        <f t="shared" si="0"/>
        <v>25.808999999999997</v>
      </c>
    </row>
    <row r="6" spans="1:9" x14ac:dyDescent="0.2">
      <c r="A6" s="4" t="s">
        <v>258</v>
      </c>
      <c r="B6" s="4" t="s">
        <v>259</v>
      </c>
      <c r="C6" s="4" t="s">
        <v>129</v>
      </c>
      <c r="D6" s="4" t="s">
        <v>18</v>
      </c>
      <c r="F6" s="4">
        <v>1</v>
      </c>
      <c r="G6" s="4">
        <v>1</v>
      </c>
      <c r="H6" s="4">
        <f>VLOOKUP(A6,[1]Sheet1!$A:$I,9,0)</f>
        <v>20.77</v>
      </c>
      <c r="I6" s="4">
        <f t="shared" si="0"/>
        <v>20.77</v>
      </c>
    </row>
    <row r="7" spans="1:9" x14ac:dyDescent="0.2">
      <c r="A7" s="4" t="s">
        <v>260</v>
      </c>
      <c r="B7" s="4" t="s">
        <v>261</v>
      </c>
      <c r="C7" s="4" t="s">
        <v>129</v>
      </c>
      <c r="D7" s="4" t="s">
        <v>18</v>
      </c>
      <c r="F7" s="4">
        <v>1</v>
      </c>
      <c r="G7" s="4">
        <v>1</v>
      </c>
      <c r="H7" s="4">
        <f>VLOOKUP(A7,[1]Sheet1!$A:$I,9,0)</f>
        <v>8.6050000000000004</v>
      </c>
      <c r="I7" s="4">
        <f t="shared" si="0"/>
        <v>8.6050000000000004</v>
      </c>
    </row>
    <row r="8" spans="1:9" x14ac:dyDescent="0.2">
      <c r="A8" s="4" t="s">
        <v>262</v>
      </c>
      <c r="B8" s="4" t="s">
        <v>263</v>
      </c>
      <c r="C8" s="4" t="s">
        <v>129</v>
      </c>
      <c r="D8" s="4" t="s">
        <v>18</v>
      </c>
      <c r="E8" s="4">
        <v>1</v>
      </c>
      <c r="F8" s="4">
        <v>1</v>
      </c>
      <c r="G8" s="4">
        <v>2</v>
      </c>
      <c r="H8" s="4">
        <f>VLOOKUP(A8,[1]Sheet1!$A:$I,9,0)</f>
        <v>10.044</v>
      </c>
      <c r="I8" s="4">
        <f t="shared" si="0"/>
        <v>20.088000000000001</v>
      </c>
    </row>
    <row r="9" spans="1:9" x14ac:dyDescent="0.2">
      <c r="A9" s="4" t="s">
        <v>264</v>
      </c>
      <c r="B9" s="4" t="s">
        <v>265</v>
      </c>
      <c r="C9" s="4" t="s">
        <v>129</v>
      </c>
      <c r="D9" s="4" t="s">
        <v>18</v>
      </c>
      <c r="E9" s="4">
        <v>2</v>
      </c>
      <c r="G9" s="4">
        <v>2</v>
      </c>
      <c r="H9" s="4">
        <f>VLOOKUP(A9,[1]Sheet1!$A:$I,9,0)</f>
        <v>8.6029999999999998</v>
      </c>
      <c r="I9" s="4">
        <f t="shared" si="0"/>
        <v>17.206</v>
      </c>
    </row>
    <row r="10" spans="1:9" x14ac:dyDescent="0.2">
      <c r="A10" s="4" t="s">
        <v>266</v>
      </c>
      <c r="B10" s="4" t="s">
        <v>267</v>
      </c>
      <c r="C10" s="4" t="s">
        <v>129</v>
      </c>
      <c r="D10" s="4" t="s">
        <v>315</v>
      </c>
      <c r="E10" s="4">
        <v>1</v>
      </c>
      <c r="G10" s="4">
        <v>1</v>
      </c>
      <c r="H10" s="4">
        <f>VLOOKUP(A10,[1]Sheet1!$A:$I,9,0)</f>
        <v>11.483000000000001</v>
      </c>
      <c r="I10" s="4">
        <f t="shared" si="0"/>
        <v>11.483000000000001</v>
      </c>
    </row>
    <row r="11" spans="1:9" x14ac:dyDescent="0.2">
      <c r="A11" s="4" t="s">
        <v>268</v>
      </c>
      <c r="B11" s="4" t="s">
        <v>269</v>
      </c>
      <c r="C11" s="4" t="s">
        <v>129</v>
      </c>
      <c r="D11" s="4" t="s">
        <v>18</v>
      </c>
      <c r="E11" s="4">
        <v>1</v>
      </c>
      <c r="F11" s="4">
        <v>1</v>
      </c>
      <c r="G11" s="4">
        <v>2</v>
      </c>
      <c r="H11" s="4">
        <f>VLOOKUP(A11,[1]Sheet1!$A:$I,9,0)</f>
        <v>11.483000000000001</v>
      </c>
      <c r="I11" s="4">
        <f t="shared" si="0"/>
        <v>22.966000000000001</v>
      </c>
    </row>
    <row r="12" spans="1:9" x14ac:dyDescent="0.2">
      <c r="A12" s="4" t="s">
        <v>270</v>
      </c>
      <c r="B12" s="4" t="s">
        <v>271</v>
      </c>
      <c r="C12" s="4" t="s">
        <v>129</v>
      </c>
      <c r="D12" s="4" t="s">
        <v>18</v>
      </c>
      <c r="E12" s="4">
        <v>4</v>
      </c>
      <c r="G12" s="4">
        <v>4</v>
      </c>
      <c r="H12" s="4">
        <f>VLOOKUP(A12,[1]Sheet1!$A:$I,9,0)</f>
        <v>20.77</v>
      </c>
      <c r="I12" s="4">
        <f t="shared" si="0"/>
        <v>83.08</v>
      </c>
    </row>
    <row r="13" spans="1:9" x14ac:dyDescent="0.2">
      <c r="A13" s="4" t="s">
        <v>272</v>
      </c>
      <c r="B13" s="4" t="s">
        <v>273</v>
      </c>
      <c r="C13" s="4" t="s">
        <v>129</v>
      </c>
      <c r="D13" s="4" t="s">
        <v>18</v>
      </c>
      <c r="E13" s="4">
        <v>6</v>
      </c>
      <c r="F13" s="4">
        <v>12</v>
      </c>
      <c r="G13" s="4">
        <v>18</v>
      </c>
      <c r="H13" s="4">
        <f>VLOOKUP(A13,[1]Sheet1!$A:$I,9,0)</f>
        <v>7.96</v>
      </c>
      <c r="I13" s="4">
        <f t="shared" si="0"/>
        <v>143.28</v>
      </c>
    </row>
    <row r="14" spans="1:9" x14ac:dyDescent="0.2">
      <c r="A14" s="4" t="s">
        <v>313</v>
      </c>
      <c r="B14" s="4" t="s">
        <v>314</v>
      </c>
      <c r="C14" s="4" t="s">
        <v>129</v>
      </c>
      <c r="D14" s="4" t="s">
        <v>315</v>
      </c>
      <c r="E14" s="4">
        <v>2</v>
      </c>
      <c r="G14" s="4">
        <v>2</v>
      </c>
      <c r="H14" s="4">
        <f>VLOOKUP(A14,[1]Sheet1!$A:$I,9,0)</f>
        <v>11.484</v>
      </c>
      <c r="I14" s="4">
        <f t="shared" ref="I14:I32" si="1">(H14*G14)</f>
        <v>22.968</v>
      </c>
    </row>
    <row r="15" spans="1:9" x14ac:dyDescent="0.2">
      <c r="A15" s="4" t="s">
        <v>316</v>
      </c>
      <c r="B15" s="4" t="s">
        <v>317</v>
      </c>
      <c r="C15" s="4" t="s">
        <v>129</v>
      </c>
      <c r="D15" s="4" t="s">
        <v>315</v>
      </c>
      <c r="F15" s="4">
        <v>4</v>
      </c>
      <c r="G15" s="4">
        <v>4</v>
      </c>
      <c r="H15" s="4">
        <f>VLOOKUP(A15,[1]Sheet1!$A:$I,9,0)</f>
        <v>11.484</v>
      </c>
      <c r="I15" s="4">
        <f t="shared" si="1"/>
        <v>45.936</v>
      </c>
    </row>
    <row r="16" spans="1:9" x14ac:dyDescent="0.2">
      <c r="A16" s="4" t="s">
        <v>318</v>
      </c>
      <c r="B16" s="4" t="s">
        <v>319</v>
      </c>
      <c r="C16" s="4" t="s">
        <v>129</v>
      </c>
      <c r="D16" s="4" t="s">
        <v>315</v>
      </c>
      <c r="E16" s="4">
        <v>4</v>
      </c>
      <c r="G16" s="4">
        <v>4</v>
      </c>
      <c r="H16" s="4">
        <f>VLOOKUP(A16,[1]Sheet1!$A:$I,9,0)</f>
        <v>8.6029999999999998</v>
      </c>
      <c r="I16" s="4">
        <f t="shared" si="1"/>
        <v>34.411999999999999</v>
      </c>
    </row>
    <row r="17" spans="1:9" x14ac:dyDescent="0.2">
      <c r="A17" s="4" t="s">
        <v>320</v>
      </c>
      <c r="B17" s="4" t="s">
        <v>321</v>
      </c>
      <c r="C17" s="4" t="s">
        <v>129</v>
      </c>
      <c r="D17" s="4" t="s">
        <v>315</v>
      </c>
      <c r="F17" s="4">
        <v>1</v>
      </c>
      <c r="G17" s="4">
        <v>1</v>
      </c>
      <c r="H17" s="4">
        <f>VLOOKUP(A17,[1]Sheet1!$A:$I,9,0)</f>
        <v>4.2830000000000004</v>
      </c>
      <c r="I17" s="4">
        <f t="shared" si="1"/>
        <v>4.2830000000000004</v>
      </c>
    </row>
    <row r="18" spans="1:9" x14ac:dyDescent="0.2">
      <c r="A18" s="4" t="s">
        <v>322</v>
      </c>
      <c r="B18" s="4" t="s">
        <v>323</v>
      </c>
      <c r="C18" s="4" t="s">
        <v>129</v>
      </c>
      <c r="D18" s="4" t="s">
        <v>315</v>
      </c>
      <c r="E18" s="4">
        <v>2</v>
      </c>
      <c r="G18" s="4">
        <v>2</v>
      </c>
      <c r="H18" s="4">
        <f>VLOOKUP(A18,[1]Sheet1!$A:$I,9,0)</f>
        <v>7.883</v>
      </c>
      <c r="I18" s="4">
        <f t="shared" si="1"/>
        <v>15.766</v>
      </c>
    </row>
    <row r="19" spans="1:9" x14ac:dyDescent="0.2">
      <c r="A19" s="4" t="s">
        <v>324</v>
      </c>
      <c r="B19" s="4" t="s">
        <v>325</v>
      </c>
      <c r="C19" s="4" t="s">
        <v>129</v>
      </c>
      <c r="D19" s="4" t="s">
        <v>315</v>
      </c>
      <c r="E19" s="4">
        <v>1</v>
      </c>
      <c r="G19" s="4">
        <v>1</v>
      </c>
      <c r="H19" s="4">
        <f>VLOOKUP(A19,[1]Sheet1!$A:$I,9,0)</f>
        <v>0.97299999999999998</v>
      </c>
      <c r="I19" s="4">
        <f t="shared" si="1"/>
        <v>0.97299999999999998</v>
      </c>
    </row>
    <row r="20" spans="1:9" x14ac:dyDescent="0.2">
      <c r="A20" s="4" t="s">
        <v>326</v>
      </c>
      <c r="B20" s="4" t="s">
        <v>327</v>
      </c>
      <c r="C20" s="4" t="s">
        <v>129</v>
      </c>
      <c r="D20" s="4" t="s">
        <v>315</v>
      </c>
      <c r="F20" s="4">
        <v>1</v>
      </c>
      <c r="G20" s="4">
        <v>1</v>
      </c>
      <c r="H20" s="4">
        <f>VLOOKUP(A20,[1]Sheet1!$A:$I,9,0)</f>
        <v>0.97299999999999998</v>
      </c>
      <c r="I20" s="4">
        <f t="shared" si="1"/>
        <v>0.97299999999999998</v>
      </c>
    </row>
    <row r="21" spans="1:9" x14ac:dyDescent="0.2">
      <c r="A21" s="4" t="s">
        <v>328</v>
      </c>
      <c r="B21" s="4" t="s">
        <v>329</v>
      </c>
      <c r="C21" s="4" t="s">
        <v>129</v>
      </c>
      <c r="D21" s="4" t="s">
        <v>315</v>
      </c>
      <c r="F21" s="4">
        <v>1</v>
      </c>
      <c r="G21" s="4">
        <v>1</v>
      </c>
      <c r="H21" s="4">
        <f>VLOOKUP(A21,[1]Sheet1!$A:$I,9,0)</f>
        <v>0.97299999999999998</v>
      </c>
      <c r="I21" s="4">
        <f t="shared" si="1"/>
        <v>0.97299999999999998</v>
      </c>
    </row>
    <row r="22" spans="1:9" x14ac:dyDescent="0.2">
      <c r="A22" s="4" t="s">
        <v>330</v>
      </c>
      <c r="B22" s="4" t="s">
        <v>331</v>
      </c>
      <c r="C22" s="4" t="s">
        <v>129</v>
      </c>
      <c r="D22" s="4" t="s">
        <v>315</v>
      </c>
      <c r="E22" s="4">
        <v>3</v>
      </c>
      <c r="F22" s="4">
        <v>2</v>
      </c>
      <c r="G22" s="4">
        <v>5</v>
      </c>
      <c r="H22" s="4">
        <f>VLOOKUP(A22,[1]Sheet1!$A:$I,9,0)</f>
        <v>8.6029999999999998</v>
      </c>
      <c r="I22" s="4">
        <f t="shared" si="1"/>
        <v>43.015000000000001</v>
      </c>
    </row>
    <row r="23" spans="1:9" x14ac:dyDescent="0.2">
      <c r="A23" s="4" t="s">
        <v>332</v>
      </c>
      <c r="B23" s="4" t="s">
        <v>333</v>
      </c>
      <c r="C23" s="4" t="s">
        <v>129</v>
      </c>
      <c r="D23" s="4" t="s">
        <v>315</v>
      </c>
      <c r="E23" s="4">
        <v>3</v>
      </c>
      <c r="F23" s="4">
        <v>2</v>
      </c>
      <c r="G23" s="4">
        <v>5</v>
      </c>
      <c r="H23" s="4">
        <f>VLOOKUP(A23,[1]Sheet1!$A:$I,9,0)</f>
        <v>8.6029999999999998</v>
      </c>
      <c r="I23" s="4">
        <f t="shared" si="1"/>
        <v>43.015000000000001</v>
      </c>
    </row>
    <row r="24" spans="1:9" x14ac:dyDescent="0.2">
      <c r="A24" s="4" t="s">
        <v>334</v>
      </c>
      <c r="B24" s="4" t="s">
        <v>335</v>
      </c>
      <c r="C24" s="4" t="s">
        <v>129</v>
      </c>
      <c r="D24" s="4" t="s">
        <v>315</v>
      </c>
      <c r="E24" s="4">
        <v>2</v>
      </c>
      <c r="F24" s="4">
        <v>2</v>
      </c>
      <c r="G24" s="4">
        <v>4</v>
      </c>
      <c r="H24" s="4">
        <f>VLOOKUP(A24,[1]Sheet1!$A:$I,9,0)</f>
        <v>10.763</v>
      </c>
      <c r="I24" s="4">
        <f t="shared" si="1"/>
        <v>43.052</v>
      </c>
    </row>
    <row r="25" spans="1:9" x14ac:dyDescent="0.2">
      <c r="A25" s="4" t="s">
        <v>336</v>
      </c>
      <c r="B25" s="4" t="s">
        <v>337</v>
      </c>
      <c r="C25" s="4" t="s">
        <v>129</v>
      </c>
      <c r="D25" s="4" t="s">
        <v>315</v>
      </c>
      <c r="E25" s="4">
        <v>1</v>
      </c>
      <c r="G25" s="4">
        <v>1</v>
      </c>
      <c r="H25" s="4">
        <f>VLOOKUP(A25,[1]Sheet1!$A:$I,9,0)</f>
        <v>9.3239999999999998</v>
      </c>
      <c r="I25" s="4">
        <f t="shared" si="1"/>
        <v>9.3239999999999998</v>
      </c>
    </row>
    <row r="26" spans="1:9" x14ac:dyDescent="0.2">
      <c r="A26" s="4" t="s">
        <v>338</v>
      </c>
      <c r="B26" s="4" t="s">
        <v>339</v>
      </c>
      <c r="C26" s="4" t="s">
        <v>129</v>
      </c>
      <c r="D26" s="4" t="s">
        <v>315</v>
      </c>
      <c r="E26" s="4">
        <v>4</v>
      </c>
      <c r="G26" s="4">
        <v>4</v>
      </c>
      <c r="H26" s="4">
        <f>VLOOKUP(A26,[1]Sheet1!$A:$I,9,0)</f>
        <v>11.483000000000001</v>
      </c>
      <c r="I26" s="4">
        <f t="shared" si="1"/>
        <v>45.932000000000002</v>
      </c>
    </row>
    <row r="27" spans="1:9" x14ac:dyDescent="0.2">
      <c r="A27" s="4" t="s">
        <v>340</v>
      </c>
      <c r="B27" s="4" t="s">
        <v>341</v>
      </c>
      <c r="C27" s="4" t="s">
        <v>129</v>
      </c>
      <c r="D27" s="4" t="s">
        <v>315</v>
      </c>
      <c r="E27" s="4">
        <v>1</v>
      </c>
      <c r="F27" s="4">
        <v>1</v>
      </c>
      <c r="G27" s="4">
        <v>2</v>
      </c>
      <c r="H27" s="4">
        <f>VLOOKUP(A27,[1]Sheet1!$A:$I,9,0)</f>
        <v>20.844999999999999</v>
      </c>
      <c r="I27" s="4">
        <f t="shared" si="1"/>
        <v>41.69</v>
      </c>
    </row>
    <row r="28" spans="1:9" x14ac:dyDescent="0.2">
      <c r="A28" s="4" t="s">
        <v>342</v>
      </c>
      <c r="B28" s="4" t="s">
        <v>343</v>
      </c>
      <c r="C28" s="4" t="s">
        <v>129</v>
      </c>
      <c r="D28" s="4" t="s">
        <v>315</v>
      </c>
      <c r="E28" s="4">
        <v>2</v>
      </c>
      <c r="G28" s="4">
        <v>2</v>
      </c>
      <c r="H28" s="4">
        <f>VLOOKUP(A28,[1]Sheet1!$A:$I,9,0)</f>
        <v>20.843</v>
      </c>
      <c r="I28" s="4">
        <f t="shared" si="1"/>
        <v>41.686</v>
      </c>
    </row>
    <row r="29" spans="1:9" x14ac:dyDescent="0.2">
      <c r="A29" s="4" t="s">
        <v>344</v>
      </c>
      <c r="B29" s="4" t="s">
        <v>345</v>
      </c>
      <c r="C29" s="4" t="s">
        <v>129</v>
      </c>
      <c r="D29" s="4" t="s">
        <v>315</v>
      </c>
      <c r="E29" s="4">
        <v>1</v>
      </c>
      <c r="F29" s="4">
        <v>1</v>
      </c>
      <c r="G29" s="4">
        <v>2</v>
      </c>
      <c r="H29" s="4">
        <f>VLOOKUP(A29,[1]Sheet1!$A:$I,9,0)</f>
        <v>20.125</v>
      </c>
      <c r="I29" s="4">
        <f t="shared" si="1"/>
        <v>40.25</v>
      </c>
    </row>
    <row r="30" spans="1:9" x14ac:dyDescent="0.2">
      <c r="A30" s="4" t="s">
        <v>346</v>
      </c>
      <c r="B30" s="4" t="s">
        <v>347</v>
      </c>
      <c r="C30" s="4" t="s">
        <v>129</v>
      </c>
      <c r="D30" s="4" t="s">
        <v>315</v>
      </c>
      <c r="E30" s="4">
        <v>6</v>
      </c>
      <c r="F30" s="4">
        <v>4</v>
      </c>
      <c r="G30" s="4">
        <v>10</v>
      </c>
      <c r="H30" s="4">
        <f>VLOOKUP(A30,[1]Sheet1!$A:$I,9,0)</f>
        <v>17.96</v>
      </c>
      <c r="I30" s="4">
        <f t="shared" si="1"/>
        <v>179.60000000000002</v>
      </c>
    </row>
    <row r="31" spans="1:9" x14ac:dyDescent="0.2">
      <c r="A31" s="4" t="s">
        <v>348</v>
      </c>
      <c r="B31" s="4" t="s">
        <v>349</v>
      </c>
      <c r="C31" s="4" t="s">
        <v>129</v>
      </c>
      <c r="D31" s="4" t="s">
        <v>315</v>
      </c>
      <c r="E31" s="4">
        <v>1</v>
      </c>
      <c r="F31" s="4">
        <v>1</v>
      </c>
      <c r="G31" s="4">
        <v>2</v>
      </c>
      <c r="H31" s="4">
        <f>VLOOKUP(A31,[1]Sheet1!$A:$I,9,0)</f>
        <v>17.965</v>
      </c>
      <c r="I31" s="4">
        <f t="shared" si="1"/>
        <v>35.93</v>
      </c>
    </row>
    <row r="32" spans="1:9" x14ac:dyDescent="0.2">
      <c r="A32" s="4" t="s">
        <v>350</v>
      </c>
      <c r="B32" s="4" t="s">
        <v>351</v>
      </c>
      <c r="C32" s="4" t="s">
        <v>129</v>
      </c>
      <c r="D32" s="4" t="s">
        <v>315</v>
      </c>
      <c r="E32" s="4">
        <v>1</v>
      </c>
      <c r="G32" s="4">
        <v>1</v>
      </c>
      <c r="H32" s="4">
        <f>VLOOKUP(A32,[1]Sheet1!$A:$I,9,0)</f>
        <v>5.0030000000000001</v>
      </c>
      <c r="I32" s="4">
        <f t="shared" si="1"/>
        <v>5.0030000000000001</v>
      </c>
    </row>
    <row r="33" spans="1:9" x14ac:dyDescent="0.2">
      <c r="A33" s="4" t="s">
        <v>363</v>
      </c>
      <c r="B33" s="4" t="s">
        <v>364</v>
      </c>
      <c r="C33" s="4" t="s">
        <v>129</v>
      </c>
      <c r="D33" s="4" t="s">
        <v>1724</v>
      </c>
      <c r="E33" s="4">
        <v>6</v>
      </c>
      <c r="G33" s="4">
        <v>6</v>
      </c>
      <c r="H33" s="4">
        <f>VLOOKUP(A33,[1]Sheet1!$A:$I,9,0)</f>
        <v>20</v>
      </c>
      <c r="I33" s="4">
        <f>(H33*G33)</f>
        <v>120</v>
      </c>
    </row>
    <row r="34" spans="1:9" x14ac:dyDescent="0.2">
      <c r="A34" s="4" t="s">
        <v>427</v>
      </c>
      <c r="B34" s="4" t="s">
        <v>428</v>
      </c>
      <c r="C34" s="4" t="s">
        <v>129</v>
      </c>
      <c r="D34" s="4" t="s">
        <v>315</v>
      </c>
      <c r="E34" s="4">
        <v>2</v>
      </c>
      <c r="F34" s="4">
        <v>3</v>
      </c>
      <c r="G34" s="4">
        <v>5</v>
      </c>
      <c r="H34" s="4">
        <f>VLOOKUP(A34,[1]Sheet1!$A:$I,9,0)</f>
        <v>7.88</v>
      </c>
      <c r="I34" s="4">
        <f t="shared" ref="I34:I55" si="2">(H34*G34)</f>
        <v>39.4</v>
      </c>
    </row>
    <row r="35" spans="1:9" x14ac:dyDescent="0.2">
      <c r="A35" s="4" t="s">
        <v>429</v>
      </c>
      <c r="B35" s="4" t="s">
        <v>430</v>
      </c>
      <c r="C35" s="4" t="s">
        <v>129</v>
      </c>
      <c r="D35" s="4" t="s">
        <v>315</v>
      </c>
      <c r="E35" s="4">
        <v>1</v>
      </c>
      <c r="F35" s="4">
        <v>1</v>
      </c>
      <c r="G35" s="4">
        <v>2</v>
      </c>
      <c r="H35" s="4">
        <f>VLOOKUP(A35,[1]Sheet1!$A:$I,9,0)</f>
        <v>13.643000000000001</v>
      </c>
      <c r="I35" s="4">
        <f t="shared" si="2"/>
        <v>27.286000000000001</v>
      </c>
    </row>
    <row r="36" spans="1:9" x14ac:dyDescent="0.2">
      <c r="A36" s="4" t="s">
        <v>431</v>
      </c>
      <c r="B36" s="4" t="s">
        <v>432</v>
      </c>
      <c r="C36" s="4" t="s">
        <v>129</v>
      </c>
      <c r="D36" s="4" t="s">
        <v>315</v>
      </c>
      <c r="E36" s="4">
        <v>3</v>
      </c>
      <c r="F36" s="4">
        <v>5</v>
      </c>
      <c r="G36" s="4">
        <v>8</v>
      </c>
      <c r="H36" s="4">
        <f>VLOOKUP(A36,[1]Sheet1!$A:$I,9,0)</f>
        <v>11.484</v>
      </c>
      <c r="I36" s="4">
        <f t="shared" si="2"/>
        <v>91.872</v>
      </c>
    </row>
    <row r="37" spans="1:9" x14ac:dyDescent="0.2">
      <c r="A37" s="4" t="s">
        <v>433</v>
      </c>
      <c r="B37" s="4" t="s">
        <v>434</v>
      </c>
      <c r="C37" s="4" t="s">
        <v>129</v>
      </c>
      <c r="D37" s="4" t="s">
        <v>315</v>
      </c>
      <c r="F37" s="4">
        <v>1</v>
      </c>
      <c r="G37" s="4">
        <v>1</v>
      </c>
      <c r="H37" s="4">
        <f>VLOOKUP(A37,[1]Sheet1!$A:$I,9,0)</f>
        <v>9.3239999999999998</v>
      </c>
      <c r="I37" s="4">
        <f t="shared" si="2"/>
        <v>9.3239999999999998</v>
      </c>
    </row>
    <row r="38" spans="1:9" x14ac:dyDescent="0.2">
      <c r="A38" s="4" t="s">
        <v>435</v>
      </c>
      <c r="B38" s="4" t="s">
        <v>436</v>
      </c>
      <c r="C38" s="4" t="s">
        <v>129</v>
      </c>
      <c r="D38" s="4" t="s">
        <v>315</v>
      </c>
      <c r="F38" s="4">
        <v>1</v>
      </c>
      <c r="G38" s="4">
        <v>1</v>
      </c>
      <c r="H38" s="4">
        <f>VLOOKUP(A38,[1]Sheet1!$A:$I,9,0)</f>
        <v>12.205</v>
      </c>
      <c r="I38" s="4">
        <f t="shared" si="2"/>
        <v>12.205</v>
      </c>
    </row>
    <row r="39" spans="1:9" x14ac:dyDescent="0.2">
      <c r="A39" s="4" t="s">
        <v>437</v>
      </c>
      <c r="B39" s="4" t="s">
        <v>438</v>
      </c>
      <c r="C39" s="4" t="s">
        <v>129</v>
      </c>
      <c r="D39" s="4" t="s">
        <v>315</v>
      </c>
      <c r="F39" s="4">
        <v>1</v>
      </c>
      <c r="G39" s="4">
        <v>1</v>
      </c>
      <c r="H39" s="4">
        <f>VLOOKUP(A39,[1]Sheet1!$A:$I,9,0)</f>
        <v>16.523</v>
      </c>
      <c r="I39" s="4">
        <f t="shared" si="2"/>
        <v>16.523</v>
      </c>
    </row>
    <row r="40" spans="1:9" x14ac:dyDescent="0.2">
      <c r="A40" s="4" t="s">
        <v>439</v>
      </c>
      <c r="B40" s="4" t="s">
        <v>440</v>
      </c>
      <c r="C40" s="4" t="s">
        <v>129</v>
      </c>
      <c r="D40" s="4" t="s">
        <v>315</v>
      </c>
      <c r="E40" s="4">
        <v>1</v>
      </c>
      <c r="F40" s="4">
        <v>2</v>
      </c>
      <c r="G40" s="4">
        <v>3</v>
      </c>
      <c r="H40" s="4">
        <f>VLOOKUP(A40,[1]Sheet1!$A:$I,9,0)</f>
        <v>8.6039999999999992</v>
      </c>
      <c r="I40" s="4">
        <f t="shared" si="2"/>
        <v>25.811999999999998</v>
      </c>
    </row>
    <row r="41" spans="1:9" x14ac:dyDescent="0.2">
      <c r="A41" s="4" t="s">
        <v>441</v>
      </c>
      <c r="B41" s="4" t="s">
        <v>442</v>
      </c>
      <c r="C41" s="4" t="s">
        <v>129</v>
      </c>
      <c r="D41" s="4" t="s">
        <v>315</v>
      </c>
      <c r="E41" s="4">
        <v>1</v>
      </c>
      <c r="G41" s="4">
        <v>1</v>
      </c>
      <c r="H41" s="4">
        <f>VLOOKUP(A41,[1]Sheet1!$A:$I,9,0)</f>
        <v>7.1639999999999997</v>
      </c>
      <c r="I41" s="4">
        <f t="shared" si="2"/>
        <v>7.1639999999999997</v>
      </c>
    </row>
    <row r="42" spans="1:9" x14ac:dyDescent="0.2">
      <c r="A42" s="4" t="s">
        <v>443</v>
      </c>
      <c r="B42" s="4" t="s">
        <v>444</v>
      </c>
      <c r="C42" s="4" t="s">
        <v>129</v>
      </c>
      <c r="D42" s="4" t="s">
        <v>315</v>
      </c>
      <c r="F42" s="4">
        <v>1</v>
      </c>
      <c r="G42" s="4">
        <v>1</v>
      </c>
      <c r="H42" s="4">
        <f>VLOOKUP(A42,[1]Sheet1!$A:$I,9,0)</f>
        <v>7.1639999999999997</v>
      </c>
      <c r="I42" s="4">
        <f t="shared" si="2"/>
        <v>7.1639999999999997</v>
      </c>
    </row>
    <row r="43" spans="1:9" x14ac:dyDescent="0.2">
      <c r="A43" s="4" t="s">
        <v>445</v>
      </c>
      <c r="B43" s="4" t="s">
        <v>446</v>
      </c>
      <c r="C43" s="4" t="s">
        <v>129</v>
      </c>
      <c r="D43" s="4" t="s">
        <v>315</v>
      </c>
      <c r="E43" s="4">
        <v>1</v>
      </c>
      <c r="G43" s="4">
        <v>1</v>
      </c>
      <c r="H43" s="4">
        <f>VLOOKUP(A43,[1]Sheet1!$A:$I,9,0)</f>
        <v>7.1639999999999997</v>
      </c>
      <c r="I43" s="4">
        <f t="shared" si="2"/>
        <v>7.1639999999999997</v>
      </c>
    </row>
    <row r="44" spans="1:9" x14ac:dyDescent="0.2">
      <c r="A44" s="4" t="s">
        <v>447</v>
      </c>
      <c r="B44" s="4" t="s">
        <v>448</v>
      </c>
      <c r="C44" s="4" t="s">
        <v>129</v>
      </c>
      <c r="D44" s="4" t="s">
        <v>315</v>
      </c>
      <c r="E44" s="4">
        <v>1</v>
      </c>
      <c r="F44" s="4">
        <v>2</v>
      </c>
      <c r="G44" s="4">
        <v>3</v>
      </c>
      <c r="H44" s="4">
        <f>VLOOKUP(A44,[1]Sheet1!$A:$I,9,0)</f>
        <v>7.1639999999999997</v>
      </c>
      <c r="I44" s="4">
        <f t="shared" si="2"/>
        <v>21.491999999999997</v>
      </c>
    </row>
    <row r="45" spans="1:9" x14ac:dyDescent="0.2">
      <c r="A45" s="4" t="s">
        <v>449</v>
      </c>
      <c r="B45" s="4" t="s">
        <v>450</v>
      </c>
      <c r="C45" s="4" t="s">
        <v>129</v>
      </c>
      <c r="D45" s="4" t="s">
        <v>315</v>
      </c>
      <c r="F45" s="4">
        <v>1</v>
      </c>
      <c r="G45" s="4">
        <v>1</v>
      </c>
      <c r="H45" s="4">
        <f>VLOOKUP(A45,[1]Sheet1!$A:$I,9,0)</f>
        <v>7.1639999999999997</v>
      </c>
      <c r="I45" s="4">
        <f t="shared" si="2"/>
        <v>7.1639999999999997</v>
      </c>
    </row>
    <row r="46" spans="1:9" x14ac:dyDescent="0.2">
      <c r="A46" s="4" t="s">
        <v>451</v>
      </c>
      <c r="B46" s="4" t="s">
        <v>452</v>
      </c>
      <c r="C46" s="4" t="s">
        <v>129</v>
      </c>
      <c r="D46" s="4" t="s">
        <v>315</v>
      </c>
      <c r="F46" s="4">
        <v>1</v>
      </c>
      <c r="G46" s="4">
        <v>1</v>
      </c>
      <c r="H46" s="4">
        <f>VLOOKUP(A46,[1]Sheet1!$A:$I,9,0)</f>
        <v>7.1639999999999997</v>
      </c>
      <c r="I46" s="4">
        <f t="shared" si="2"/>
        <v>7.1639999999999997</v>
      </c>
    </row>
    <row r="47" spans="1:9" x14ac:dyDescent="0.2">
      <c r="A47" s="4" t="s">
        <v>453</v>
      </c>
      <c r="B47" s="4" t="s">
        <v>454</v>
      </c>
      <c r="C47" s="4" t="s">
        <v>129</v>
      </c>
      <c r="D47" s="4" t="s">
        <v>315</v>
      </c>
      <c r="F47" s="4">
        <v>1</v>
      </c>
      <c r="G47" s="4">
        <v>1</v>
      </c>
      <c r="H47" s="4">
        <f>VLOOKUP(A47,[1]Sheet1!$A:$I,9,0)</f>
        <v>7.1639999999999997</v>
      </c>
      <c r="I47" s="4">
        <f t="shared" si="2"/>
        <v>7.1639999999999997</v>
      </c>
    </row>
    <row r="48" spans="1:9" x14ac:dyDescent="0.2">
      <c r="A48" s="4" t="s">
        <v>455</v>
      </c>
      <c r="B48" s="4" t="s">
        <v>456</v>
      </c>
      <c r="C48" s="4" t="s">
        <v>129</v>
      </c>
      <c r="D48" s="4" t="s">
        <v>315</v>
      </c>
      <c r="F48" s="4">
        <v>2</v>
      </c>
      <c r="G48" s="4">
        <v>2</v>
      </c>
      <c r="H48" s="4">
        <f>VLOOKUP(A48,[1]Sheet1!$A:$I,9,0)</f>
        <v>25.164000000000001</v>
      </c>
      <c r="I48" s="4">
        <f t="shared" si="2"/>
        <v>50.328000000000003</v>
      </c>
    </row>
    <row r="49" spans="1:9" x14ac:dyDescent="0.2">
      <c r="A49" s="4" t="s">
        <v>457</v>
      </c>
      <c r="B49" s="4" t="s">
        <v>458</v>
      </c>
      <c r="C49" s="4" t="s">
        <v>129</v>
      </c>
      <c r="D49" s="4" t="s">
        <v>315</v>
      </c>
      <c r="F49" s="4">
        <v>1</v>
      </c>
      <c r="G49" s="4">
        <v>1</v>
      </c>
      <c r="H49" s="4">
        <f>VLOOKUP(A49,[1]Sheet1!$A:$I,9,0)</f>
        <v>10.763999999999999</v>
      </c>
      <c r="I49" s="4">
        <f t="shared" si="2"/>
        <v>10.763999999999999</v>
      </c>
    </row>
    <row r="50" spans="1:9" x14ac:dyDescent="0.2">
      <c r="A50" s="4" t="s">
        <v>459</v>
      </c>
      <c r="B50" s="4" t="s">
        <v>460</v>
      </c>
      <c r="C50" s="4" t="s">
        <v>129</v>
      </c>
      <c r="D50" s="4" t="s">
        <v>315</v>
      </c>
      <c r="E50" s="4">
        <v>1</v>
      </c>
      <c r="G50" s="4">
        <v>1</v>
      </c>
      <c r="H50" s="4">
        <f>VLOOKUP(A50,[1]Sheet1!$A:$I,9,0)</f>
        <v>13.644</v>
      </c>
      <c r="I50" s="4">
        <f t="shared" si="2"/>
        <v>13.644</v>
      </c>
    </row>
    <row r="51" spans="1:9" x14ac:dyDescent="0.2">
      <c r="A51" s="4" t="s">
        <v>461</v>
      </c>
      <c r="B51" s="4" t="s">
        <v>462</v>
      </c>
      <c r="C51" s="4" t="s">
        <v>129</v>
      </c>
      <c r="D51" s="4" t="s">
        <v>315</v>
      </c>
      <c r="E51" s="4">
        <v>2</v>
      </c>
      <c r="F51" s="4">
        <v>1</v>
      </c>
      <c r="G51" s="4">
        <v>3</v>
      </c>
      <c r="H51" s="4">
        <f>VLOOKUP(A51,[1]Sheet1!$A:$I,9,0)</f>
        <v>11.483000000000001</v>
      </c>
      <c r="I51" s="4">
        <f t="shared" si="2"/>
        <v>34.448999999999998</v>
      </c>
    </row>
    <row r="52" spans="1:9" x14ac:dyDescent="0.2">
      <c r="A52" s="4" t="s">
        <v>463</v>
      </c>
      <c r="B52" s="4" t="s">
        <v>464</v>
      </c>
      <c r="C52" s="4" t="s">
        <v>129</v>
      </c>
      <c r="D52" s="4" t="s">
        <v>315</v>
      </c>
      <c r="E52" s="4">
        <v>1</v>
      </c>
      <c r="F52" s="4">
        <v>2</v>
      </c>
      <c r="G52" s="4">
        <v>3</v>
      </c>
      <c r="H52" s="4">
        <f>VLOOKUP(A52,[1]Sheet1!$A:$I,9,0)</f>
        <v>11.483000000000001</v>
      </c>
      <c r="I52" s="4">
        <f t="shared" si="2"/>
        <v>34.448999999999998</v>
      </c>
    </row>
    <row r="53" spans="1:9" x14ac:dyDescent="0.2">
      <c r="A53" s="4" t="s">
        <v>465</v>
      </c>
      <c r="B53" s="4" t="s">
        <v>466</v>
      </c>
      <c r="C53" s="4" t="s">
        <v>129</v>
      </c>
      <c r="D53" s="4" t="s">
        <v>315</v>
      </c>
      <c r="E53" s="4">
        <v>1</v>
      </c>
      <c r="F53" s="4">
        <v>3</v>
      </c>
      <c r="G53" s="4">
        <v>4</v>
      </c>
      <c r="H53" s="4">
        <f>VLOOKUP(A53,[1]Sheet1!$A:$I,9,0)</f>
        <v>11.483000000000001</v>
      </c>
      <c r="I53" s="4">
        <f t="shared" si="2"/>
        <v>45.932000000000002</v>
      </c>
    </row>
    <row r="54" spans="1:9" x14ac:dyDescent="0.2">
      <c r="A54" s="4" t="s">
        <v>467</v>
      </c>
      <c r="B54" s="4" t="s">
        <v>468</v>
      </c>
      <c r="C54" s="4" t="s">
        <v>129</v>
      </c>
      <c r="D54" s="4" t="s">
        <v>315</v>
      </c>
      <c r="E54" s="4">
        <v>4</v>
      </c>
      <c r="G54" s="4">
        <v>4</v>
      </c>
      <c r="H54" s="4">
        <f>VLOOKUP(A54,[1]Sheet1!$A:$I,9,0)</f>
        <v>15.083</v>
      </c>
      <c r="I54" s="4">
        <f t="shared" si="2"/>
        <v>60.332000000000001</v>
      </c>
    </row>
    <row r="55" spans="1:9" x14ac:dyDescent="0.2">
      <c r="A55" s="4" t="s">
        <v>469</v>
      </c>
      <c r="B55" s="4" t="s">
        <v>470</v>
      </c>
      <c r="C55" s="4" t="s">
        <v>129</v>
      </c>
      <c r="D55" s="4" t="s">
        <v>315</v>
      </c>
      <c r="E55" s="4">
        <v>1</v>
      </c>
      <c r="G55" s="4">
        <v>1</v>
      </c>
      <c r="H55" s="4">
        <f>VLOOKUP(A55,[1]Sheet1!$A:$I,9,0)</f>
        <v>17.244</v>
      </c>
      <c r="I55" s="4">
        <f t="shared" si="2"/>
        <v>17.244</v>
      </c>
    </row>
    <row r="56" spans="1:9" x14ac:dyDescent="0.2">
      <c r="A56" s="4" t="s">
        <v>527</v>
      </c>
      <c r="B56" s="4" t="s">
        <v>528</v>
      </c>
      <c r="C56" s="4" t="s">
        <v>129</v>
      </c>
      <c r="D56" s="4" t="s">
        <v>315</v>
      </c>
      <c r="E56" s="4">
        <v>1</v>
      </c>
      <c r="G56" s="4">
        <v>1</v>
      </c>
      <c r="H56" s="4">
        <f>VLOOKUP(A56,[1]Sheet1!$A:$I,9,0)</f>
        <v>11.483000000000001</v>
      </c>
      <c r="I56" s="4">
        <f t="shared" ref="I56:I80" si="3">(H56*G56)</f>
        <v>11.483000000000001</v>
      </c>
    </row>
    <row r="57" spans="1:9" x14ac:dyDescent="0.2">
      <c r="A57" s="4" t="s">
        <v>529</v>
      </c>
      <c r="B57" s="4" t="s">
        <v>530</v>
      </c>
      <c r="C57" s="4" t="s">
        <v>129</v>
      </c>
      <c r="D57" s="4" t="s">
        <v>315</v>
      </c>
      <c r="E57" s="4">
        <v>2</v>
      </c>
      <c r="F57" s="4">
        <v>1</v>
      </c>
      <c r="G57" s="4">
        <v>3</v>
      </c>
      <c r="H57" s="4">
        <f>VLOOKUP(A57,[1]Sheet1!$A:$I,9,0)</f>
        <v>16.523</v>
      </c>
      <c r="I57" s="4">
        <f t="shared" si="3"/>
        <v>49.569000000000003</v>
      </c>
    </row>
    <row r="58" spans="1:9" x14ac:dyDescent="0.2">
      <c r="A58" s="4" t="s">
        <v>531</v>
      </c>
      <c r="B58" s="4" t="s">
        <v>532</v>
      </c>
      <c r="C58" s="4" t="s">
        <v>129</v>
      </c>
      <c r="D58" s="4" t="s">
        <v>315</v>
      </c>
      <c r="E58" s="4">
        <v>3</v>
      </c>
      <c r="F58" s="4">
        <v>2</v>
      </c>
      <c r="G58" s="4">
        <v>5</v>
      </c>
      <c r="H58" s="4">
        <f>VLOOKUP(A58,[1]Sheet1!$A:$I,9,0)</f>
        <v>14.363</v>
      </c>
      <c r="I58" s="4">
        <f t="shared" si="3"/>
        <v>71.814999999999998</v>
      </c>
    </row>
    <row r="59" spans="1:9" x14ac:dyDescent="0.2">
      <c r="A59" s="4" t="s">
        <v>533</v>
      </c>
      <c r="B59" s="4" t="s">
        <v>534</v>
      </c>
      <c r="C59" s="4" t="s">
        <v>129</v>
      </c>
      <c r="D59" s="4" t="s">
        <v>315</v>
      </c>
      <c r="E59" s="4">
        <v>1</v>
      </c>
      <c r="F59" s="4">
        <v>1</v>
      </c>
      <c r="G59" s="4">
        <v>2</v>
      </c>
      <c r="H59" s="4">
        <f>VLOOKUP(A59,[1]Sheet1!$A:$I,9,0)</f>
        <v>5.7229999999999999</v>
      </c>
      <c r="I59" s="4">
        <f t="shared" si="3"/>
        <v>11.446</v>
      </c>
    </row>
    <row r="60" spans="1:9" x14ac:dyDescent="0.2">
      <c r="A60" s="4" t="s">
        <v>535</v>
      </c>
      <c r="B60" s="4" t="s">
        <v>536</v>
      </c>
      <c r="C60" s="4" t="s">
        <v>129</v>
      </c>
      <c r="D60" s="4" t="s">
        <v>315</v>
      </c>
      <c r="E60" s="4">
        <v>4</v>
      </c>
      <c r="F60" s="4">
        <v>1</v>
      </c>
      <c r="G60" s="4">
        <v>5</v>
      </c>
      <c r="H60" s="4">
        <f>VLOOKUP(A60,[1]Sheet1!$A:$I,9,0)</f>
        <v>13.643000000000001</v>
      </c>
      <c r="I60" s="4">
        <f t="shared" si="3"/>
        <v>68.215000000000003</v>
      </c>
    </row>
    <row r="61" spans="1:9" x14ac:dyDescent="0.2">
      <c r="A61" s="4" t="s">
        <v>537</v>
      </c>
      <c r="B61" s="4" t="s">
        <v>538</v>
      </c>
      <c r="C61" s="4" t="s">
        <v>129</v>
      </c>
      <c r="D61" s="4" t="s">
        <v>315</v>
      </c>
      <c r="E61" s="4">
        <v>3</v>
      </c>
      <c r="G61" s="4">
        <v>3</v>
      </c>
      <c r="H61" s="4">
        <f>VLOOKUP(A61,[1]Sheet1!$A:$I,9,0)</f>
        <v>13.643000000000001</v>
      </c>
      <c r="I61" s="4">
        <f t="shared" si="3"/>
        <v>40.929000000000002</v>
      </c>
    </row>
    <row r="62" spans="1:9" x14ac:dyDescent="0.2">
      <c r="A62" s="4" t="s">
        <v>539</v>
      </c>
      <c r="B62" s="4" t="s">
        <v>540</v>
      </c>
      <c r="C62" s="4" t="s">
        <v>129</v>
      </c>
      <c r="D62" s="4" t="s">
        <v>315</v>
      </c>
      <c r="E62" s="4">
        <v>1</v>
      </c>
      <c r="F62" s="4">
        <v>3</v>
      </c>
      <c r="G62" s="4">
        <v>4</v>
      </c>
      <c r="H62" s="4">
        <f>VLOOKUP(A62,[1]Sheet1!$A:$I,9,0)</f>
        <v>9.3230000000000004</v>
      </c>
      <c r="I62" s="4">
        <f t="shared" si="3"/>
        <v>37.292000000000002</v>
      </c>
    </row>
    <row r="63" spans="1:9" x14ac:dyDescent="0.2">
      <c r="A63" s="4" t="s">
        <v>541</v>
      </c>
      <c r="B63" s="4" t="s">
        <v>542</v>
      </c>
      <c r="C63" s="4" t="s">
        <v>129</v>
      </c>
      <c r="D63" s="4" t="s">
        <v>315</v>
      </c>
      <c r="E63" s="4">
        <v>2</v>
      </c>
      <c r="F63" s="4">
        <v>2</v>
      </c>
      <c r="G63" s="4">
        <v>4</v>
      </c>
      <c r="H63" s="4">
        <f>VLOOKUP(A63,[1]Sheet1!$A:$I,9,0)</f>
        <v>10.763</v>
      </c>
      <c r="I63" s="4">
        <f t="shared" si="3"/>
        <v>43.052</v>
      </c>
    </row>
    <row r="64" spans="1:9" x14ac:dyDescent="0.2">
      <c r="A64" s="4" t="s">
        <v>543</v>
      </c>
      <c r="B64" s="4" t="s">
        <v>544</v>
      </c>
      <c r="C64" s="4" t="s">
        <v>129</v>
      </c>
      <c r="D64" s="4" t="s">
        <v>315</v>
      </c>
      <c r="E64" s="4">
        <v>3</v>
      </c>
      <c r="F64" s="4">
        <v>2</v>
      </c>
      <c r="G64" s="4">
        <v>5</v>
      </c>
      <c r="H64" s="4">
        <f>VLOOKUP(A64,[1]Sheet1!$A:$I,9,0)</f>
        <v>7.2</v>
      </c>
      <c r="I64" s="4">
        <f t="shared" si="3"/>
        <v>36</v>
      </c>
    </row>
    <row r="65" spans="1:9" x14ac:dyDescent="0.2">
      <c r="A65" s="4" t="s">
        <v>545</v>
      </c>
      <c r="B65" s="4" t="s">
        <v>546</v>
      </c>
      <c r="C65" s="4" t="s">
        <v>129</v>
      </c>
      <c r="D65" s="4" t="s">
        <v>315</v>
      </c>
      <c r="E65" s="4">
        <v>2</v>
      </c>
      <c r="G65" s="4">
        <v>2</v>
      </c>
      <c r="H65" s="4">
        <f>VLOOKUP(A65,[1]Sheet1!$A:$I,9,0)</f>
        <v>7.2</v>
      </c>
      <c r="I65" s="4">
        <f t="shared" si="3"/>
        <v>14.4</v>
      </c>
    </row>
    <row r="66" spans="1:9" x14ac:dyDescent="0.2">
      <c r="A66" s="4" t="s">
        <v>547</v>
      </c>
      <c r="B66" s="4" t="s">
        <v>548</v>
      </c>
      <c r="C66" s="4" t="s">
        <v>129</v>
      </c>
      <c r="D66" s="4" t="s">
        <v>315</v>
      </c>
      <c r="E66" s="4">
        <v>2</v>
      </c>
      <c r="F66" s="4">
        <v>3</v>
      </c>
      <c r="G66" s="4">
        <v>5</v>
      </c>
      <c r="H66" s="4">
        <f>VLOOKUP(A66,[1]Sheet1!$A:$I,9,0)</f>
        <v>7.2</v>
      </c>
      <c r="I66" s="4">
        <f t="shared" si="3"/>
        <v>36</v>
      </c>
    </row>
    <row r="67" spans="1:9" x14ac:dyDescent="0.2">
      <c r="A67" s="4" t="s">
        <v>549</v>
      </c>
      <c r="B67" s="4" t="s">
        <v>550</v>
      </c>
      <c r="C67" s="4" t="s">
        <v>129</v>
      </c>
      <c r="D67" s="4" t="s">
        <v>315</v>
      </c>
      <c r="E67" s="4">
        <v>2</v>
      </c>
      <c r="F67" s="4">
        <v>3</v>
      </c>
      <c r="G67" s="4">
        <v>5</v>
      </c>
      <c r="H67" s="4">
        <f>VLOOKUP(A67,[1]Sheet1!$A:$I,9,0)</f>
        <v>7.2</v>
      </c>
      <c r="I67" s="4">
        <f t="shared" si="3"/>
        <v>36</v>
      </c>
    </row>
    <row r="68" spans="1:9" x14ac:dyDescent="0.2">
      <c r="A68" s="4" t="s">
        <v>551</v>
      </c>
      <c r="B68" s="4" t="s">
        <v>552</v>
      </c>
      <c r="C68" s="4" t="s">
        <v>129</v>
      </c>
      <c r="D68" s="4" t="s">
        <v>315</v>
      </c>
      <c r="E68" s="4">
        <v>2</v>
      </c>
      <c r="F68" s="4">
        <v>3</v>
      </c>
      <c r="G68" s="4">
        <v>5</v>
      </c>
      <c r="H68" s="4">
        <f>VLOOKUP(A68,[1]Sheet1!$A:$I,9,0)</f>
        <v>7.2</v>
      </c>
      <c r="I68" s="4">
        <f t="shared" si="3"/>
        <v>36</v>
      </c>
    </row>
    <row r="69" spans="1:9" x14ac:dyDescent="0.2">
      <c r="A69" s="4" t="s">
        <v>553</v>
      </c>
      <c r="B69" s="4" t="s">
        <v>554</v>
      </c>
      <c r="C69" s="4" t="s">
        <v>129</v>
      </c>
      <c r="D69" s="4" t="s">
        <v>315</v>
      </c>
      <c r="E69" s="4">
        <v>2</v>
      </c>
      <c r="F69" s="4">
        <v>2</v>
      </c>
      <c r="G69" s="4">
        <v>4</v>
      </c>
      <c r="H69" s="4">
        <f>VLOOKUP(A69,[1]Sheet1!$A:$I,9,0)</f>
        <v>7.2</v>
      </c>
      <c r="I69" s="4">
        <f t="shared" si="3"/>
        <v>28.8</v>
      </c>
    </row>
    <row r="70" spans="1:9" x14ac:dyDescent="0.2">
      <c r="A70" s="4" t="s">
        <v>555</v>
      </c>
      <c r="B70" s="4" t="s">
        <v>556</v>
      </c>
      <c r="C70" s="4" t="s">
        <v>129</v>
      </c>
      <c r="D70" s="4" t="s">
        <v>315</v>
      </c>
      <c r="E70" s="4">
        <v>2</v>
      </c>
      <c r="F70" s="4">
        <v>2</v>
      </c>
      <c r="G70" s="4">
        <v>4</v>
      </c>
      <c r="H70" s="4">
        <f>VLOOKUP(A70,[1]Sheet1!$A:$I,9,0)</f>
        <v>7.2</v>
      </c>
      <c r="I70" s="4">
        <f t="shared" si="3"/>
        <v>28.8</v>
      </c>
    </row>
    <row r="71" spans="1:9" x14ac:dyDescent="0.2">
      <c r="A71" s="4" t="s">
        <v>557</v>
      </c>
      <c r="B71" s="4" t="s">
        <v>558</v>
      </c>
      <c r="C71" s="4" t="s">
        <v>129</v>
      </c>
      <c r="D71" s="4" t="s">
        <v>315</v>
      </c>
      <c r="E71" s="4">
        <v>2</v>
      </c>
      <c r="F71" s="4">
        <v>3</v>
      </c>
      <c r="G71" s="4">
        <v>5</v>
      </c>
      <c r="H71" s="4">
        <f>VLOOKUP(A71,[1]Sheet1!$A:$I,9,0)</f>
        <v>7.2</v>
      </c>
      <c r="I71" s="4">
        <f t="shared" si="3"/>
        <v>36</v>
      </c>
    </row>
    <row r="72" spans="1:9" x14ac:dyDescent="0.2">
      <c r="A72" s="4" t="s">
        <v>559</v>
      </c>
      <c r="B72" s="4" t="s">
        <v>560</v>
      </c>
      <c r="C72" s="4" t="s">
        <v>129</v>
      </c>
      <c r="D72" s="4" t="s">
        <v>315</v>
      </c>
      <c r="E72" s="4">
        <v>2</v>
      </c>
      <c r="F72" s="4">
        <v>4</v>
      </c>
      <c r="G72" s="4">
        <v>6</v>
      </c>
      <c r="H72" s="4">
        <f>VLOOKUP(A72,[1]Sheet1!$A:$I,9,0)</f>
        <v>7.2</v>
      </c>
      <c r="I72" s="4">
        <f t="shared" si="3"/>
        <v>43.2</v>
      </c>
    </row>
    <row r="73" spans="1:9" x14ac:dyDescent="0.2">
      <c r="A73" s="4" t="s">
        <v>561</v>
      </c>
      <c r="B73" s="4" t="s">
        <v>562</v>
      </c>
      <c r="C73" s="4" t="s">
        <v>129</v>
      </c>
      <c r="D73" s="4" t="s">
        <v>315</v>
      </c>
      <c r="E73" s="4">
        <v>1</v>
      </c>
      <c r="F73" s="4">
        <v>3</v>
      </c>
      <c r="G73" s="4">
        <v>4</v>
      </c>
      <c r="H73" s="4">
        <f>VLOOKUP(A73,[1]Sheet1!$A:$I,9,0)</f>
        <v>7.2</v>
      </c>
      <c r="I73" s="4">
        <f t="shared" si="3"/>
        <v>28.8</v>
      </c>
    </row>
    <row r="74" spans="1:9" x14ac:dyDescent="0.2">
      <c r="A74" s="4" t="s">
        <v>563</v>
      </c>
      <c r="B74" s="4" t="s">
        <v>564</v>
      </c>
      <c r="C74" s="4" t="s">
        <v>129</v>
      </c>
      <c r="D74" s="4" t="s">
        <v>315</v>
      </c>
      <c r="E74" s="4">
        <v>3</v>
      </c>
      <c r="F74" s="4">
        <v>1</v>
      </c>
      <c r="G74" s="4">
        <v>4</v>
      </c>
      <c r="H74" s="4">
        <f>VLOOKUP(A74,[1]Sheet1!$A:$I,9,0)</f>
        <v>12.202999999999999</v>
      </c>
      <c r="I74" s="4">
        <f t="shared" si="3"/>
        <v>48.811999999999998</v>
      </c>
    </row>
    <row r="75" spans="1:9" x14ac:dyDescent="0.2">
      <c r="A75" s="4" t="s">
        <v>565</v>
      </c>
      <c r="B75" s="4" t="s">
        <v>566</v>
      </c>
      <c r="C75" s="4" t="s">
        <v>129</v>
      </c>
      <c r="D75" s="4" t="s">
        <v>315</v>
      </c>
      <c r="F75" s="4">
        <v>1</v>
      </c>
      <c r="G75" s="4">
        <v>1</v>
      </c>
      <c r="H75" s="4">
        <f>VLOOKUP(A75,[1]Sheet1!$A:$I,9,0)</f>
        <v>15.083</v>
      </c>
      <c r="I75" s="4">
        <f t="shared" si="3"/>
        <v>15.083</v>
      </c>
    </row>
    <row r="76" spans="1:9" x14ac:dyDescent="0.2">
      <c r="A76" s="4" t="s">
        <v>567</v>
      </c>
      <c r="B76" s="4" t="s">
        <v>568</v>
      </c>
      <c r="C76" s="4" t="s">
        <v>129</v>
      </c>
      <c r="D76" s="4" t="s">
        <v>315</v>
      </c>
      <c r="F76" s="4">
        <v>1</v>
      </c>
      <c r="G76" s="4">
        <v>1</v>
      </c>
      <c r="H76" s="4">
        <f>VLOOKUP(A76,[1]Sheet1!$A:$I,9,0)</f>
        <v>10.042999999999999</v>
      </c>
      <c r="I76" s="4">
        <f t="shared" si="3"/>
        <v>10.042999999999999</v>
      </c>
    </row>
    <row r="77" spans="1:9" x14ac:dyDescent="0.2">
      <c r="A77" s="4" t="s">
        <v>569</v>
      </c>
      <c r="B77" s="4" t="s">
        <v>570</v>
      </c>
      <c r="C77" s="4" t="s">
        <v>129</v>
      </c>
      <c r="D77" s="4" t="s">
        <v>315</v>
      </c>
      <c r="E77" s="4">
        <v>1</v>
      </c>
      <c r="F77" s="4">
        <v>1</v>
      </c>
      <c r="G77" s="4">
        <v>2</v>
      </c>
      <c r="H77" s="4">
        <f>VLOOKUP(A77,[1]Sheet1!$A:$I,9,0)</f>
        <v>11.483000000000001</v>
      </c>
      <c r="I77" s="4">
        <f t="shared" si="3"/>
        <v>22.966000000000001</v>
      </c>
    </row>
    <row r="78" spans="1:9" x14ac:dyDescent="0.2">
      <c r="A78" s="4" t="s">
        <v>571</v>
      </c>
      <c r="B78" s="4" t="s">
        <v>572</v>
      </c>
      <c r="C78" s="4" t="s">
        <v>129</v>
      </c>
      <c r="D78" s="4" t="s">
        <v>315</v>
      </c>
      <c r="E78" s="4">
        <v>3</v>
      </c>
      <c r="G78" s="4">
        <v>3</v>
      </c>
      <c r="H78" s="4">
        <f>VLOOKUP(A78,[1]Sheet1!$A:$I,9,0)</f>
        <v>25.882999999999999</v>
      </c>
      <c r="I78" s="4">
        <f t="shared" si="3"/>
        <v>77.649000000000001</v>
      </c>
    </row>
    <row r="79" spans="1:9" x14ac:dyDescent="0.2">
      <c r="A79" s="4" t="s">
        <v>573</v>
      </c>
      <c r="B79" s="4" t="s">
        <v>574</v>
      </c>
      <c r="C79" s="4" t="s">
        <v>129</v>
      </c>
      <c r="D79" s="4" t="s">
        <v>315</v>
      </c>
      <c r="E79" s="4">
        <v>1</v>
      </c>
      <c r="F79" s="4">
        <v>2</v>
      </c>
      <c r="G79" s="4">
        <v>3</v>
      </c>
      <c r="H79" s="4">
        <f>VLOOKUP(A79,[1]Sheet1!$A:$I,9,0)</f>
        <v>11.484999999999999</v>
      </c>
      <c r="I79" s="4">
        <f t="shared" si="3"/>
        <v>34.454999999999998</v>
      </c>
    </row>
    <row r="80" spans="1:9" x14ac:dyDescent="0.2">
      <c r="A80" s="4" t="s">
        <v>575</v>
      </c>
      <c r="B80" s="4" t="s">
        <v>576</v>
      </c>
      <c r="C80" s="4" t="s">
        <v>129</v>
      </c>
      <c r="D80" s="4" t="s">
        <v>315</v>
      </c>
      <c r="E80" s="4">
        <v>2</v>
      </c>
      <c r="F80" s="4">
        <v>2</v>
      </c>
      <c r="G80" s="4">
        <v>4</v>
      </c>
      <c r="H80" s="4">
        <f>VLOOKUP(A80,[1]Sheet1!$A:$I,9,0)</f>
        <v>15.084</v>
      </c>
      <c r="I80" s="4">
        <f t="shared" si="3"/>
        <v>60.335999999999999</v>
      </c>
    </row>
    <row r="81" spans="1:9" x14ac:dyDescent="0.2">
      <c r="A81" s="4" t="s">
        <v>579</v>
      </c>
      <c r="B81" s="4" t="s">
        <v>580</v>
      </c>
      <c r="C81" s="4" t="s">
        <v>129</v>
      </c>
      <c r="D81" s="4" t="s">
        <v>315</v>
      </c>
      <c r="E81" s="4">
        <v>1</v>
      </c>
      <c r="F81" s="4">
        <v>1</v>
      </c>
      <c r="G81" s="4">
        <v>2</v>
      </c>
      <c r="H81" s="4">
        <f>VLOOKUP(A81,[1]Sheet1!$A:$I,9,0)</f>
        <v>11.484</v>
      </c>
      <c r="I81" s="4">
        <f t="shared" ref="I81:I83" si="4">(H81*G81)</f>
        <v>22.968</v>
      </c>
    </row>
    <row r="82" spans="1:9" x14ac:dyDescent="0.2">
      <c r="A82" s="4" t="s">
        <v>581</v>
      </c>
      <c r="B82" s="4" t="s">
        <v>582</v>
      </c>
      <c r="C82" s="4" t="s">
        <v>129</v>
      </c>
      <c r="D82" s="4" t="s">
        <v>315</v>
      </c>
      <c r="F82" s="4">
        <v>3</v>
      </c>
      <c r="G82" s="4">
        <v>3</v>
      </c>
      <c r="H82" s="4">
        <f>VLOOKUP(A82,[1]Sheet1!$A:$I,9,0)</f>
        <v>12.202999999999999</v>
      </c>
      <c r="I82" s="4">
        <f t="shared" si="4"/>
        <v>36.608999999999995</v>
      </c>
    </row>
    <row r="83" spans="1:9" x14ac:dyDescent="0.2">
      <c r="A83" s="4" t="s">
        <v>583</v>
      </c>
      <c r="B83" s="4" t="s">
        <v>584</v>
      </c>
      <c r="C83" s="4" t="s">
        <v>129</v>
      </c>
      <c r="D83" s="4" t="s">
        <v>315</v>
      </c>
      <c r="E83" s="4">
        <v>1</v>
      </c>
      <c r="G83" s="4">
        <v>1</v>
      </c>
      <c r="H83" s="4">
        <f>VLOOKUP(A83,[1]Sheet1!$A:$I,9,0)</f>
        <v>7.8840000000000003</v>
      </c>
      <c r="I83" s="4">
        <f t="shared" si="4"/>
        <v>7.8840000000000003</v>
      </c>
    </row>
    <row r="84" spans="1:9" x14ac:dyDescent="0.2">
      <c r="A84" s="4" t="s">
        <v>587</v>
      </c>
      <c r="B84" s="4" t="s">
        <v>588</v>
      </c>
      <c r="C84" s="4" t="s">
        <v>129</v>
      </c>
      <c r="D84" s="4" t="s">
        <v>315</v>
      </c>
      <c r="F84" s="4">
        <v>1</v>
      </c>
      <c r="G84" s="4">
        <v>1</v>
      </c>
      <c r="H84" s="4">
        <f>VLOOKUP(A84,[1]Sheet1!$A:$I,9,0)</f>
        <v>14.365</v>
      </c>
      <c r="I84" s="4">
        <f t="shared" ref="I84:I88" si="5">(H84*G84)</f>
        <v>14.365</v>
      </c>
    </row>
    <row r="85" spans="1:9" x14ac:dyDescent="0.2">
      <c r="A85" s="4" t="s">
        <v>589</v>
      </c>
      <c r="B85" s="4" t="s">
        <v>590</v>
      </c>
      <c r="C85" s="4" t="s">
        <v>129</v>
      </c>
      <c r="D85" s="4" t="s">
        <v>315</v>
      </c>
      <c r="F85" s="4">
        <v>1</v>
      </c>
      <c r="G85" s="4">
        <v>1</v>
      </c>
      <c r="H85" s="4">
        <f>VLOOKUP(A85,[1]Sheet1!$A:$I,9,0)</f>
        <v>7.8840000000000003</v>
      </c>
      <c r="I85" s="4">
        <f t="shared" si="5"/>
        <v>7.8840000000000003</v>
      </c>
    </row>
    <row r="86" spans="1:9" x14ac:dyDescent="0.2">
      <c r="A86" s="4" t="s">
        <v>591</v>
      </c>
      <c r="B86" s="4" t="s">
        <v>592</v>
      </c>
      <c r="C86" s="4" t="s">
        <v>129</v>
      </c>
      <c r="D86" s="4" t="s">
        <v>315</v>
      </c>
      <c r="F86" s="4">
        <v>1</v>
      </c>
      <c r="G86" s="4">
        <v>1</v>
      </c>
      <c r="H86" s="4">
        <f>VLOOKUP(A86,[1]Sheet1!$A:$I,9,0)</f>
        <v>10.763</v>
      </c>
      <c r="I86" s="4">
        <f t="shared" si="5"/>
        <v>10.763</v>
      </c>
    </row>
    <row r="87" spans="1:9" x14ac:dyDescent="0.2">
      <c r="A87" s="4" t="s">
        <v>593</v>
      </c>
      <c r="B87" s="4" t="s">
        <v>594</v>
      </c>
      <c r="C87" s="4" t="s">
        <v>129</v>
      </c>
      <c r="D87" s="4" t="s">
        <v>315</v>
      </c>
      <c r="F87" s="4">
        <v>1</v>
      </c>
      <c r="G87" s="4">
        <v>1</v>
      </c>
      <c r="H87" s="4">
        <f>VLOOKUP(A87,[1]Sheet1!$A:$I,9,0)</f>
        <v>10.044</v>
      </c>
      <c r="I87" s="4">
        <f t="shared" si="5"/>
        <v>10.044</v>
      </c>
    </row>
    <row r="88" spans="1:9" x14ac:dyDescent="0.2">
      <c r="A88" s="4" t="s">
        <v>595</v>
      </c>
      <c r="B88" s="4" t="s">
        <v>596</v>
      </c>
      <c r="C88" s="4" t="s">
        <v>129</v>
      </c>
      <c r="D88" s="4" t="s">
        <v>315</v>
      </c>
      <c r="E88" s="4">
        <v>1</v>
      </c>
      <c r="F88" s="4">
        <v>2</v>
      </c>
      <c r="G88" s="4">
        <v>3</v>
      </c>
      <c r="H88" s="4">
        <f>VLOOKUP(A88,[1]Sheet1!$A:$I,9,0)</f>
        <v>5.7240000000000002</v>
      </c>
      <c r="I88" s="4">
        <f t="shared" si="5"/>
        <v>17.172000000000001</v>
      </c>
    </row>
    <row r="89" spans="1:9" x14ac:dyDescent="0.2">
      <c r="A89" s="4" t="s">
        <v>603</v>
      </c>
      <c r="B89" s="4" t="s">
        <v>604</v>
      </c>
      <c r="C89" s="4" t="s">
        <v>129</v>
      </c>
      <c r="D89" s="4" t="s">
        <v>605</v>
      </c>
      <c r="E89" s="4">
        <v>45</v>
      </c>
      <c r="F89" s="4">
        <v>55</v>
      </c>
      <c r="G89" s="4">
        <v>100</v>
      </c>
      <c r="H89" s="4">
        <f>VLOOKUP(A89,[1]Sheet1!$A:$I,9,0)</f>
        <v>0.9</v>
      </c>
      <c r="I89" s="4">
        <f>(H89*G89)</f>
        <v>90</v>
      </c>
    </row>
    <row r="90" spans="1:9" x14ac:dyDescent="0.2">
      <c r="A90" s="4" t="s">
        <v>624</v>
      </c>
      <c r="B90" s="4" t="s">
        <v>625</v>
      </c>
      <c r="C90" s="4" t="s">
        <v>129</v>
      </c>
      <c r="D90" s="4" t="s">
        <v>1725</v>
      </c>
      <c r="F90" s="4">
        <v>1</v>
      </c>
      <c r="G90" s="4">
        <v>1</v>
      </c>
      <c r="H90" s="4">
        <f>VLOOKUP(A90,[1]Sheet1!$A:$I,9,0)</f>
        <v>4</v>
      </c>
      <c r="I90" s="4">
        <f>(H90*G90)</f>
        <v>4</v>
      </c>
    </row>
    <row r="91" spans="1:9" x14ac:dyDescent="0.2">
      <c r="A91" s="4" t="s">
        <v>632</v>
      </c>
      <c r="B91" s="4" t="s">
        <v>633</v>
      </c>
      <c r="C91" s="4" t="s">
        <v>129</v>
      </c>
      <c r="D91" s="4" t="s">
        <v>18</v>
      </c>
      <c r="F91" s="4">
        <v>4</v>
      </c>
      <c r="G91" s="4">
        <v>4</v>
      </c>
      <c r="H91" s="4">
        <f>VLOOKUP(A91,[1]Sheet1!$A:$I,9,0)</f>
        <v>1.28</v>
      </c>
      <c r="I91" s="4">
        <f t="shared" ref="I91:I92" si="6">(H91*G91)</f>
        <v>5.12</v>
      </c>
    </row>
    <row r="92" spans="1:9" x14ac:dyDescent="0.2">
      <c r="A92" s="4" t="s">
        <v>634</v>
      </c>
      <c r="B92" s="4" t="s">
        <v>635</v>
      </c>
      <c r="C92" s="4" t="s">
        <v>129</v>
      </c>
      <c r="D92" s="4" t="s">
        <v>18</v>
      </c>
      <c r="E92" s="4">
        <v>11</v>
      </c>
      <c r="F92" s="4">
        <v>12</v>
      </c>
      <c r="G92" s="4">
        <v>23</v>
      </c>
      <c r="H92" s="4">
        <f>VLOOKUP(A92,[1]Sheet1!$A:$I,9,0)</f>
        <v>1.04</v>
      </c>
      <c r="I92" s="4">
        <f t="shared" si="6"/>
        <v>23.92</v>
      </c>
    </row>
    <row r="93" spans="1:9" x14ac:dyDescent="0.2">
      <c r="A93" s="4" t="s">
        <v>707</v>
      </c>
      <c r="B93" s="4" t="s">
        <v>708</v>
      </c>
      <c r="C93" s="4" t="s">
        <v>129</v>
      </c>
      <c r="D93" s="4" t="s">
        <v>315</v>
      </c>
      <c r="F93" s="4">
        <v>1</v>
      </c>
      <c r="G93" s="4">
        <v>1</v>
      </c>
      <c r="H93" s="4">
        <f>VLOOKUP(A93,[1]Sheet1!$A:$I,9,0)</f>
        <v>13.95</v>
      </c>
      <c r="I93" s="4">
        <f t="shared" ref="I93:I116" si="7">(H93*G93)</f>
        <v>13.95</v>
      </c>
    </row>
    <row r="94" spans="1:9" x14ac:dyDescent="0.2">
      <c r="A94" s="4" t="s">
        <v>710</v>
      </c>
      <c r="B94" s="4" t="s">
        <v>711</v>
      </c>
      <c r="C94" s="4" t="s">
        <v>129</v>
      </c>
      <c r="D94" s="4" t="s">
        <v>315</v>
      </c>
      <c r="E94" s="4">
        <v>1</v>
      </c>
      <c r="G94" s="4">
        <v>1</v>
      </c>
      <c r="H94" s="4">
        <f>VLOOKUP(A94,[1]Sheet1!$A:$I,9,0)</f>
        <v>17.95</v>
      </c>
      <c r="I94" s="4">
        <f t="shared" si="7"/>
        <v>17.95</v>
      </c>
    </row>
    <row r="95" spans="1:9" x14ac:dyDescent="0.2">
      <c r="A95" s="4" t="s">
        <v>712</v>
      </c>
      <c r="B95" s="4" t="s">
        <v>713</v>
      </c>
      <c r="C95" s="4" t="s">
        <v>129</v>
      </c>
      <c r="D95" s="4" t="s">
        <v>315</v>
      </c>
      <c r="F95" s="4">
        <v>4</v>
      </c>
      <c r="G95" s="4">
        <v>4</v>
      </c>
      <c r="H95" s="4">
        <f>VLOOKUP(A95,[1]Sheet1!$A:$I,9,0)</f>
        <v>23.95</v>
      </c>
      <c r="I95" s="4">
        <f t="shared" si="7"/>
        <v>95.8</v>
      </c>
    </row>
    <row r="96" spans="1:9" x14ac:dyDescent="0.2">
      <c r="A96" s="4" t="s">
        <v>714</v>
      </c>
      <c r="B96" s="4" t="s">
        <v>715</v>
      </c>
      <c r="C96" s="4" t="s">
        <v>129</v>
      </c>
      <c r="D96" s="4" t="s">
        <v>315</v>
      </c>
      <c r="E96" s="4">
        <v>1</v>
      </c>
      <c r="G96" s="4">
        <v>1</v>
      </c>
      <c r="H96" s="4">
        <f>VLOOKUP(A96,[1]Sheet1!$A:$I,9,0)</f>
        <v>16.95</v>
      </c>
      <c r="I96" s="4">
        <f t="shared" si="7"/>
        <v>16.95</v>
      </c>
    </row>
    <row r="97" spans="1:9" x14ac:dyDescent="0.2">
      <c r="A97" s="4" t="s">
        <v>716</v>
      </c>
      <c r="B97" s="4" t="s">
        <v>717</v>
      </c>
      <c r="C97" s="4" t="s">
        <v>129</v>
      </c>
      <c r="D97" s="4" t="s">
        <v>315</v>
      </c>
      <c r="E97" s="4">
        <v>2</v>
      </c>
      <c r="G97" s="4">
        <v>2</v>
      </c>
      <c r="H97" s="4">
        <f>VLOOKUP(A97,[1]Sheet1!$A:$I,9,0)</f>
        <v>21.95</v>
      </c>
      <c r="I97" s="4">
        <f t="shared" si="7"/>
        <v>43.9</v>
      </c>
    </row>
    <row r="98" spans="1:9" x14ac:dyDescent="0.2">
      <c r="A98" s="4" t="s">
        <v>718</v>
      </c>
      <c r="B98" s="4" t="s">
        <v>719</v>
      </c>
      <c r="C98" s="4" t="s">
        <v>129</v>
      </c>
      <c r="D98" s="4" t="s">
        <v>315</v>
      </c>
      <c r="E98" s="4">
        <v>1</v>
      </c>
      <c r="G98" s="4">
        <v>1</v>
      </c>
      <c r="H98" s="4">
        <f>VLOOKUP(A98,[1]Sheet1!$A:$I,9,0)</f>
        <v>6.95</v>
      </c>
      <c r="I98" s="4">
        <f t="shared" si="7"/>
        <v>6.95</v>
      </c>
    </row>
    <row r="99" spans="1:9" x14ac:dyDescent="0.2">
      <c r="A99" s="4" t="s">
        <v>720</v>
      </c>
      <c r="B99" s="4" t="s">
        <v>721</v>
      </c>
      <c r="C99" s="4" t="s">
        <v>129</v>
      </c>
      <c r="D99" s="4" t="s">
        <v>315</v>
      </c>
      <c r="E99" s="4">
        <v>2</v>
      </c>
      <c r="G99" s="4">
        <v>2</v>
      </c>
      <c r="H99" s="4">
        <f>VLOOKUP(A99,[1]Sheet1!$A:$I,9,0)</f>
        <v>16.95</v>
      </c>
      <c r="I99" s="4">
        <f t="shared" si="7"/>
        <v>33.9</v>
      </c>
    </row>
    <row r="100" spans="1:9" x14ac:dyDescent="0.2">
      <c r="A100" s="4" t="s">
        <v>722</v>
      </c>
      <c r="B100" s="4" t="s">
        <v>723</v>
      </c>
      <c r="C100" s="4" t="s">
        <v>129</v>
      </c>
      <c r="D100" s="4" t="s">
        <v>315</v>
      </c>
      <c r="E100" s="4">
        <v>1</v>
      </c>
      <c r="F100" s="4">
        <v>1</v>
      </c>
      <c r="G100" s="4">
        <v>2</v>
      </c>
      <c r="H100" s="4">
        <f>VLOOKUP(A100,[1]Sheet1!$A:$I,9,0)</f>
        <v>6.95</v>
      </c>
      <c r="I100" s="4">
        <f t="shared" si="7"/>
        <v>13.9</v>
      </c>
    </row>
    <row r="101" spans="1:9" x14ac:dyDescent="0.2">
      <c r="A101" s="4" t="s">
        <v>724</v>
      </c>
      <c r="B101" s="4" t="s">
        <v>725</v>
      </c>
      <c r="C101" s="4" t="s">
        <v>129</v>
      </c>
      <c r="D101" s="4" t="s">
        <v>315</v>
      </c>
      <c r="F101" s="4">
        <v>3</v>
      </c>
      <c r="G101" s="4">
        <v>3</v>
      </c>
      <c r="H101" s="4">
        <f>VLOOKUP(A101,[1]Sheet1!$A:$I,9,0)</f>
        <v>12.95</v>
      </c>
      <c r="I101" s="4">
        <f t="shared" si="7"/>
        <v>38.849999999999994</v>
      </c>
    </row>
    <row r="102" spans="1:9" x14ac:dyDescent="0.2">
      <c r="A102" s="4" t="s">
        <v>726</v>
      </c>
      <c r="B102" s="4" t="s">
        <v>727</v>
      </c>
      <c r="C102" s="4" t="s">
        <v>129</v>
      </c>
      <c r="D102" s="4" t="s">
        <v>315</v>
      </c>
      <c r="E102" s="4">
        <v>1</v>
      </c>
      <c r="G102" s="4">
        <v>1</v>
      </c>
      <c r="H102" s="4">
        <f>VLOOKUP(A102,[1]Sheet1!$A:$I,9,0)</f>
        <v>14.95</v>
      </c>
      <c r="I102" s="4">
        <f t="shared" si="7"/>
        <v>14.95</v>
      </c>
    </row>
    <row r="103" spans="1:9" x14ac:dyDescent="0.2">
      <c r="A103" s="4" t="s">
        <v>728</v>
      </c>
      <c r="B103" s="4" t="s">
        <v>729</v>
      </c>
      <c r="C103" s="4" t="s">
        <v>129</v>
      </c>
      <c r="D103" s="4" t="s">
        <v>315</v>
      </c>
      <c r="E103" s="4">
        <v>2</v>
      </c>
      <c r="G103" s="4">
        <v>2</v>
      </c>
      <c r="H103" s="4">
        <f>VLOOKUP(A103,[1]Sheet1!$A:$I,9,0)</f>
        <v>7.95</v>
      </c>
      <c r="I103" s="4">
        <f t="shared" si="7"/>
        <v>15.9</v>
      </c>
    </row>
    <row r="104" spans="1:9" x14ac:dyDescent="0.2">
      <c r="A104" s="4" t="s">
        <v>730</v>
      </c>
      <c r="B104" s="4" t="s">
        <v>731</v>
      </c>
      <c r="C104" s="4" t="s">
        <v>129</v>
      </c>
      <c r="D104" s="4" t="s">
        <v>315</v>
      </c>
      <c r="F104" s="4">
        <v>2</v>
      </c>
      <c r="G104" s="4">
        <v>2</v>
      </c>
      <c r="H104" s="4">
        <f>VLOOKUP(A104,[1]Sheet1!$A:$I,9,0)</f>
        <v>13.95</v>
      </c>
      <c r="I104" s="4">
        <f t="shared" si="7"/>
        <v>27.9</v>
      </c>
    </row>
    <row r="105" spans="1:9" x14ac:dyDescent="0.2">
      <c r="A105" s="4" t="s">
        <v>732</v>
      </c>
      <c r="B105" s="4" t="s">
        <v>733</v>
      </c>
      <c r="C105" s="4" t="s">
        <v>129</v>
      </c>
      <c r="D105" s="4" t="s">
        <v>315</v>
      </c>
      <c r="E105" s="4">
        <v>3</v>
      </c>
      <c r="G105" s="4">
        <v>3</v>
      </c>
      <c r="H105" s="4">
        <f>VLOOKUP(A105,[1]Sheet1!$A:$I,9,0)</f>
        <v>24.95</v>
      </c>
      <c r="I105" s="4">
        <f t="shared" si="7"/>
        <v>74.849999999999994</v>
      </c>
    </row>
    <row r="106" spans="1:9" x14ac:dyDescent="0.2">
      <c r="A106" s="4" t="s">
        <v>734</v>
      </c>
      <c r="B106" s="4" t="s">
        <v>735</v>
      </c>
      <c r="C106" s="4" t="s">
        <v>129</v>
      </c>
      <c r="D106" s="4" t="s">
        <v>315</v>
      </c>
      <c r="E106" s="4">
        <v>4</v>
      </c>
      <c r="G106" s="4">
        <v>4</v>
      </c>
      <c r="H106" s="4">
        <f>VLOOKUP(A106,[1]Sheet1!$A:$I,9,0)</f>
        <v>19.95</v>
      </c>
      <c r="I106" s="4">
        <f t="shared" si="7"/>
        <v>79.8</v>
      </c>
    </row>
    <row r="107" spans="1:9" x14ac:dyDescent="0.2">
      <c r="A107" s="4" t="s">
        <v>736</v>
      </c>
      <c r="B107" s="4" t="s">
        <v>737</v>
      </c>
      <c r="C107" s="4" t="s">
        <v>129</v>
      </c>
      <c r="D107" s="4" t="s">
        <v>315</v>
      </c>
      <c r="E107" s="4">
        <v>1</v>
      </c>
      <c r="G107" s="4">
        <v>1</v>
      </c>
      <c r="H107" s="4">
        <f>VLOOKUP(A107,[1]Sheet1!$A:$I,9,0)</f>
        <v>15.95</v>
      </c>
      <c r="I107" s="4">
        <f t="shared" si="7"/>
        <v>15.95</v>
      </c>
    </row>
    <row r="108" spans="1:9" x14ac:dyDescent="0.2">
      <c r="A108" s="4" t="s">
        <v>738</v>
      </c>
      <c r="B108" s="4" t="s">
        <v>739</v>
      </c>
      <c r="C108" s="4" t="s">
        <v>129</v>
      </c>
      <c r="D108" s="4" t="s">
        <v>315</v>
      </c>
      <c r="E108" s="4">
        <v>3</v>
      </c>
      <c r="F108" s="4">
        <v>1</v>
      </c>
      <c r="G108" s="4">
        <v>4</v>
      </c>
      <c r="H108" s="4">
        <f>VLOOKUP(A108,[1]Sheet1!$A:$I,9,0)</f>
        <v>9.9499999999999993</v>
      </c>
      <c r="I108" s="4">
        <f t="shared" si="7"/>
        <v>39.799999999999997</v>
      </c>
    </row>
    <row r="109" spans="1:9" x14ac:dyDescent="0.2">
      <c r="A109" s="4" t="s">
        <v>740</v>
      </c>
      <c r="B109" s="4" t="s">
        <v>741</v>
      </c>
      <c r="C109" s="4" t="s">
        <v>129</v>
      </c>
      <c r="D109" s="4" t="s">
        <v>315</v>
      </c>
      <c r="E109" s="4">
        <v>1</v>
      </c>
      <c r="F109" s="4">
        <v>2</v>
      </c>
      <c r="G109" s="4">
        <v>3</v>
      </c>
      <c r="H109" s="4">
        <f>VLOOKUP(A109,[1]Sheet1!$A:$I,9,0)</f>
        <v>9.9499999999999993</v>
      </c>
      <c r="I109" s="4">
        <f t="shared" si="7"/>
        <v>29.849999999999998</v>
      </c>
    </row>
    <row r="110" spans="1:9" x14ac:dyDescent="0.2">
      <c r="A110" s="4" t="s">
        <v>742</v>
      </c>
      <c r="B110" s="4" t="s">
        <v>743</v>
      </c>
      <c r="C110" s="4" t="s">
        <v>129</v>
      </c>
      <c r="D110" s="4" t="s">
        <v>315</v>
      </c>
      <c r="E110" s="4">
        <v>2</v>
      </c>
      <c r="G110" s="4">
        <v>2</v>
      </c>
      <c r="H110" s="4">
        <f>VLOOKUP(A110,[1]Sheet1!$A:$I,9,0)</f>
        <v>9.9499999999999993</v>
      </c>
      <c r="I110" s="4">
        <f t="shared" si="7"/>
        <v>19.899999999999999</v>
      </c>
    </row>
    <row r="111" spans="1:9" x14ac:dyDescent="0.2">
      <c r="A111" s="4" t="s">
        <v>744</v>
      </c>
      <c r="B111" s="4" t="s">
        <v>745</v>
      </c>
      <c r="C111" s="4" t="s">
        <v>129</v>
      </c>
      <c r="D111" s="4" t="s">
        <v>315</v>
      </c>
      <c r="E111" s="4">
        <v>2</v>
      </c>
      <c r="F111" s="4">
        <v>1</v>
      </c>
      <c r="G111" s="4">
        <v>3</v>
      </c>
      <c r="H111" s="4">
        <f>VLOOKUP(A111,[1]Sheet1!$A:$I,9,0)</f>
        <v>9.9499999999999993</v>
      </c>
      <c r="I111" s="4">
        <f t="shared" si="7"/>
        <v>29.849999999999998</v>
      </c>
    </row>
    <row r="112" spans="1:9" x14ac:dyDescent="0.2">
      <c r="A112" s="4" t="s">
        <v>746</v>
      </c>
      <c r="B112" s="4" t="s">
        <v>747</v>
      </c>
      <c r="C112" s="4" t="s">
        <v>129</v>
      </c>
      <c r="D112" s="4" t="s">
        <v>315</v>
      </c>
      <c r="F112" s="4">
        <v>3</v>
      </c>
      <c r="G112" s="4">
        <v>3</v>
      </c>
      <c r="H112" s="4">
        <f>VLOOKUP(A112,[1]Sheet1!$A:$I,9,0)</f>
        <v>9.9499999999999993</v>
      </c>
      <c r="I112" s="4">
        <f t="shared" si="7"/>
        <v>29.849999999999998</v>
      </c>
    </row>
    <row r="113" spans="1:9" x14ac:dyDescent="0.2">
      <c r="A113" s="4" t="s">
        <v>748</v>
      </c>
      <c r="B113" s="4" t="s">
        <v>749</v>
      </c>
      <c r="C113" s="4" t="s">
        <v>129</v>
      </c>
      <c r="D113" s="4" t="s">
        <v>315</v>
      </c>
      <c r="E113" s="4">
        <v>3</v>
      </c>
      <c r="F113" s="4">
        <v>1</v>
      </c>
      <c r="G113" s="4">
        <v>4</v>
      </c>
      <c r="H113" s="4">
        <f>VLOOKUP(A113,[1]Sheet1!$A:$I,9,0)</f>
        <v>18.95</v>
      </c>
      <c r="I113" s="4">
        <f t="shared" si="7"/>
        <v>75.8</v>
      </c>
    </row>
    <row r="114" spans="1:9" x14ac:dyDescent="0.2">
      <c r="A114" s="4" t="s">
        <v>750</v>
      </c>
      <c r="B114" s="4" t="s">
        <v>751</v>
      </c>
      <c r="C114" s="4" t="s">
        <v>129</v>
      </c>
      <c r="D114" s="4" t="s">
        <v>709</v>
      </c>
      <c r="E114" s="4">
        <v>1</v>
      </c>
      <c r="F114" s="4">
        <v>1</v>
      </c>
      <c r="G114" s="4">
        <v>2</v>
      </c>
      <c r="H114" s="4">
        <f>VLOOKUP(A114,[1]Sheet1!$A:$I,9,0)</f>
        <v>23.95</v>
      </c>
      <c r="I114" s="4">
        <f t="shared" si="7"/>
        <v>47.9</v>
      </c>
    </row>
    <row r="115" spans="1:9" x14ac:dyDescent="0.2">
      <c r="A115" s="4" t="s">
        <v>752</v>
      </c>
      <c r="B115" s="4" t="s">
        <v>753</v>
      </c>
      <c r="C115" s="4" t="s">
        <v>129</v>
      </c>
      <c r="D115" s="4" t="s">
        <v>709</v>
      </c>
      <c r="E115" s="4">
        <v>1</v>
      </c>
      <c r="F115" s="4">
        <v>1</v>
      </c>
      <c r="G115" s="4">
        <v>2</v>
      </c>
      <c r="H115" s="4">
        <f>VLOOKUP(A115,[1]Sheet1!$A:$I,9,0)</f>
        <v>13.95</v>
      </c>
      <c r="I115" s="4">
        <f t="shared" si="7"/>
        <v>27.9</v>
      </c>
    </row>
    <row r="116" spans="1:9" x14ac:dyDescent="0.2">
      <c r="A116" s="4" t="s">
        <v>754</v>
      </c>
      <c r="B116" s="4" t="s">
        <v>755</v>
      </c>
      <c r="C116" s="4" t="s">
        <v>129</v>
      </c>
      <c r="D116" s="4" t="s">
        <v>709</v>
      </c>
      <c r="E116" s="4">
        <v>1</v>
      </c>
      <c r="G116" s="4">
        <v>1</v>
      </c>
      <c r="H116" s="4">
        <f>VLOOKUP(A116,[1]Sheet1!$A:$I,9,0)</f>
        <v>12.95</v>
      </c>
      <c r="I116" s="4">
        <f t="shared" si="7"/>
        <v>12.95</v>
      </c>
    </row>
    <row r="117" spans="1:9" x14ac:dyDescent="0.2">
      <c r="E117" s="4">
        <f>SUM(E2:E116)</f>
        <v>219</v>
      </c>
      <c r="F117" s="4">
        <f>SUM(F2:F116)</f>
        <v>215</v>
      </c>
      <c r="G117" s="7">
        <f t="shared" ref="G117:I117" si="8">SUM(G2:G116)</f>
        <v>434</v>
      </c>
      <c r="H117" s="4">
        <f>SUM(H2:H116)</f>
        <v>1338.9160000000011</v>
      </c>
      <c r="I117" s="6">
        <f t="shared" si="8"/>
        <v>3793.3059999999991</v>
      </c>
    </row>
  </sheetData>
  <autoFilter ref="A1:I120" xr:uid="{00000000-0009-0000-0000-000001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547"/>
  <sheetViews>
    <sheetView topLeftCell="AC1" workbookViewId="0">
      <pane ySplit="3" topLeftCell="A544" activePane="bottomLeft" state="frozen"/>
      <selection pane="bottomLeft" activeCell="AJ556" sqref="AJ556"/>
    </sheetView>
  </sheetViews>
  <sheetFormatPr baseColWidth="10" defaultRowHeight="11.25" x14ac:dyDescent="0.2"/>
  <cols>
    <col min="1" max="1" width="11.42578125" style="4"/>
    <col min="2" max="2" width="49.7109375" style="4" customWidth="1"/>
    <col min="3" max="3" width="11.42578125" style="4"/>
    <col min="4" max="4" width="17.85546875" style="4" customWidth="1"/>
    <col min="5" max="16384" width="11.42578125" style="4"/>
  </cols>
  <sheetData>
    <row r="1" spans="1:41" s="3" customFormat="1" x14ac:dyDescent="0.25">
      <c r="A1" s="5"/>
      <c r="B1" s="5"/>
      <c r="C1" s="5"/>
      <c r="D1" s="5"/>
      <c r="E1" s="10" t="s">
        <v>880</v>
      </c>
      <c r="F1" s="10"/>
      <c r="G1" s="10"/>
      <c r="H1" s="10"/>
      <c r="I1" s="10" t="s">
        <v>881</v>
      </c>
      <c r="J1" s="10"/>
      <c r="K1" s="10"/>
      <c r="L1" s="10"/>
      <c r="M1" s="10" t="s">
        <v>882</v>
      </c>
      <c r="N1" s="10"/>
      <c r="O1" s="10"/>
      <c r="P1" s="10"/>
      <c r="Q1" s="10" t="s">
        <v>883</v>
      </c>
      <c r="R1" s="10"/>
      <c r="S1" s="10"/>
      <c r="T1" s="10"/>
      <c r="U1" s="10" t="s">
        <v>1101</v>
      </c>
      <c r="V1" s="10"/>
      <c r="W1" s="10" t="s">
        <v>1102</v>
      </c>
      <c r="X1" s="10"/>
      <c r="Y1" s="10" t="s">
        <v>1103</v>
      </c>
      <c r="Z1" s="10"/>
      <c r="AA1" s="10" t="s">
        <v>1104</v>
      </c>
      <c r="AB1" s="10"/>
      <c r="AC1" s="10" t="s">
        <v>1105</v>
      </c>
      <c r="AD1" s="10"/>
      <c r="AE1" s="10" t="s">
        <v>1106</v>
      </c>
      <c r="AF1" s="10"/>
      <c r="AG1" s="10" t="s">
        <v>1107</v>
      </c>
      <c r="AH1" s="10"/>
      <c r="AI1" s="10" t="s">
        <v>1108</v>
      </c>
      <c r="AJ1" s="10"/>
      <c r="AK1" s="5"/>
      <c r="AL1" s="5"/>
      <c r="AM1" s="5"/>
      <c r="AN1" s="5"/>
      <c r="AO1" s="5"/>
    </row>
    <row r="2" spans="1:41" s="3" customFormat="1" x14ac:dyDescent="0.25">
      <c r="A2" s="5"/>
      <c r="B2" s="5"/>
      <c r="C2" s="5"/>
      <c r="D2" s="5"/>
      <c r="E2" s="10">
        <v>2018</v>
      </c>
      <c r="F2" s="10"/>
      <c r="G2" s="10">
        <v>2019</v>
      </c>
      <c r="H2" s="10"/>
      <c r="I2" s="10">
        <v>2018</v>
      </c>
      <c r="J2" s="10"/>
      <c r="K2" s="10">
        <v>2019</v>
      </c>
      <c r="L2" s="10"/>
      <c r="M2" s="10">
        <v>2018</v>
      </c>
      <c r="N2" s="10"/>
      <c r="O2" s="10">
        <v>2019</v>
      </c>
      <c r="P2" s="10"/>
      <c r="Q2" s="10">
        <v>2018</v>
      </c>
      <c r="R2" s="10"/>
      <c r="S2" s="10">
        <v>2019</v>
      </c>
      <c r="T2" s="10"/>
      <c r="U2" s="10">
        <v>2018</v>
      </c>
      <c r="V2" s="10"/>
      <c r="W2" s="10">
        <v>2018</v>
      </c>
      <c r="X2" s="10"/>
      <c r="Y2" s="10">
        <v>2018</v>
      </c>
      <c r="Z2" s="10"/>
      <c r="AA2" s="10">
        <v>2018</v>
      </c>
      <c r="AB2" s="10"/>
      <c r="AC2" s="10">
        <v>2018</v>
      </c>
      <c r="AD2" s="10"/>
      <c r="AE2" s="10">
        <v>2018</v>
      </c>
      <c r="AF2" s="10"/>
      <c r="AG2" s="10">
        <v>2018</v>
      </c>
      <c r="AH2" s="10"/>
      <c r="AI2" s="10">
        <v>2018</v>
      </c>
      <c r="AJ2" s="10"/>
      <c r="AK2" s="10" t="s">
        <v>1721</v>
      </c>
      <c r="AL2" s="10"/>
      <c r="AM2" s="10" t="s">
        <v>1722</v>
      </c>
      <c r="AN2" s="10"/>
      <c r="AO2" s="5"/>
    </row>
    <row r="3" spans="1:41" s="3" customFormat="1" ht="22.5" x14ac:dyDescent="0.25">
      <c r="A3" s="5" t="s">
        <v>884</v>
      </c>
      <c r="B3" s="5" t="s">
        <v>885</v>
      </c>
      <c r="C3" s="5" t="s">
        <v>6</v>
      </c>
      <c r="D3" s="5" t="s">
        <v>886</v>
      </c>
      <c r="E3" s="5" t="s">
        <v>887</v>
      </c>
      <c r="F3" s="5" t="s">
        <v>888</v>
      </c>
      <c r="G3" s="5" t="s">
        <v>887</v>
      </c>
      <c r="H3" s="5" t="s">
        <v>888</v>
      </c>
      <c r="I3" s="5" t="s">
        <v>887</v>
      </c>
      <c r="J3" s="5" t="s">
        <v>888</v>
      </c>
      <c r="K3" s="5" t="s">
        <v>887</v>
      </c>
      <c r="L3" s="5" t="s">
        <v>888</v>
      </c>
      <c r="M3" s="5" t="s">
        <v>887</v>
      </c>
      <c r="N3" s="5" t="s">
        <v>888</v>
      </c>
      <c r="O3" s="5" t="s">
        <v>887</v>
      </c>
      <c r="P3" s="5" t="s">
        <v>888</v>
      </c>
      <c r="Q3" s="5" t="s">
        <v>887</v>
      </c>
      <c r="R3" s="5" t="s">
        <v>888</v>
      </c>
      <c r="S3" s="5" t="s">
        <v>887</v>
      </c>
      <c r="T3" s="5" t="s">
        <v>888</v>
      </c>
      <c r="U3" s="5" t="s">
        <v>887</v>
      </c>
      <c r="V3" s="5" t="s">
        <v>888</v>
      </c>
      <c r="W3" s="5" t="s">
        <v>887</v>
      </c>
      <c r="X3" s="5" t="s">
        <v>888</v>
      </c>
      <c r="Y3" s="5" t="s">
        <v>887</v>
      </c>
      <c r="Z3" s="5" t="s">
        <v>888</v>
      </c>
      <c r="AA3" s="5" t="s">
        <v>887</v>
      </c>
      <c r="AB3" s="5" t="s">
        <v>888</v>
      </c>
      <c r="AC3" s="5" t="s">
        <v>887</v>
      </c>
      <c r="AD3" s="5" t="s">
        <v>888</v>
      </c>
      <c r="AE3" s="5" t="s">
        <v>887</v>
      </c>
      <c r="AF3" s="5" t="s">
        <v>888</v>
      </c>
      <c r="AG3" s="5" t="s">
        <v>887</v>
      </c>
      <c r="AH3" s="5" t="s">
        <v>888</v>
      </c>
      <c r="AI3" s="5" t="s">
        <v>887</v>
      </c>
      <c r="AJ3" s="5" t="s">
        <v>888</v>
      </c>
      <c r="AK3" s="5" t="s">
        <v>887</v>
      </c>
      <c r="AL3" s="5" t="s">
        <v>888</v>
      </c>
      <c r="AM3" s="5" t="s">
        <v>887</v>
      </c>
      <c r="AN3" s="5" t="s">
        <v>888</v>
      </c>
      <c r="AO3" s="5" t="s">
        <v>1723</v>
      </c>
    </row>
    <row r="4" spans="1:41" x14ac:dyDescent="0.2">
      <c r="A4" s="4" t="s">
        <v>818</v>
      </c>
      <c r="B4" s="4" t="s">
        <v>819</v>
      </c>
      <c r="C4" s="4" t="s">
        <v>129</v>
      </c>
      <c r="D4" s="4" t="s">
        <v>18</v>
      </c>
      <c r="E4" s="4">
        <v>0</v>
      </c>
      <c r="F4" s="4">
        <v>0</v>
      </c>
      <c r="W4" s="4">
        <v>1</v>
      </c>
      <c r="X4" s="4">
        <v>21</v>
      </c>
      <c r="AA4" s="4">
        <v>1</v>
      </c>
      <c r="AB4" s="4">
        <v>21</v>
      </c>
      <c r="AC4" s="4">
        <v>0</v>
      </c>
      <c r="AD4" s="4">
        <v>0</v>
      </c>
      <c r="AE4" s="4">
        <v>0</v>
      </c>
      <c r="AF4" s="4">
        <v>0</v>
      </c>
      <c r="AI4" s="4">
        <v>0</v>
      </c>
      <c r="AJ4" s="4">
        <v>0</v>
      </c>
      <c r="AK4" s="4">
        <f>SUM(E4,I4,M4,Q4,U4,W4,Y4,AA4,AC4,AE4,AG4,AI4)</f>
        <v>2</v>
      </c>
      <c r="AL4" s="4">
        <f>SUM(F4,J4,N4,R4,V4,X4,Z4,AB4,AD4,AF4,AH4,AJ4)</f>
        <v>42</v>
      </c>
      <c r="AM4" s="4">
        <f>SUM(G4,K4,O4,S4)</f>
        <v>0</v>
      </c>
      <c r="AN4" s="4">
        <f>SUM(H4,L4,P4,T4)</f>
        <v>0</v>
      </c>
      <c r="AO4" s="4">
        <f>AVERAGE(F4,H4,J4,L4,N4,P4,R4,T4,V4,X4,Z4,AB4,AD4,AF4,AH4,AJ4)</f>
        <v>7</v>
      </c>
    </row>
    <row r="5" spans="1:41" x14ac:dyDescent="0.2">
      <c r="A5" s="4" t="s">
        <v>868</v>
      </c>
      <c r="B5" s="4" t="s">
        <v>869</v>
      </c>
      <c r="C5" s="4" t="s">
        <v>129</v>
      </c>
      <c r="D5" s="4" t="s">
        <v>18</v>
      </c>
      <c r="I5" s="4">
        <v>1</v>
      </c>
      <c r="J5" s="4">
        <v>17</v>
      </c>
      <c r="Q5" s="4">
        <v>2</v>
      </c>
      <c r="R5" s="4">
        <v>34</v>
      </c>
      <c r="U5" s="4">
        <v>1</v>
      </c>
      <c r="V5" s="4">
        <v>17</v>
      </c>
      <c r="W5" s="4">
        <v>1</v>
      </c>
      <c r="X5" s="4">
        <v>17</v>
      </c>
      <c r="AK5" s="4">
        <f t="shared" ref="AK5:AK68" si="0">SUM(E5,I5,M5,Q5,U5,W5,Y5,AA5,AC5,AE5,AG5,AI5)</f>
        <v>5</v>
      </c>
      <c r="AL5" s="4">
        <f t="shared" ref="AL5:AL68" si="1">SUM(F5,J5,N5,R5,V5,X5,Z5,AB5,AD5,AF5,AH5,AJ5)</f>
        <v>85</v>
      </c>
      <c r="AM5" s="4">
        <f t="shared" ref="AM5:AM68" si="2">SUM(G5,K5,O5,S5)</f>
        <v>0</v>
      </c>
      <c r="AN5" s="4">
        <f t="shared" ref="AN5:AN68" si="3">SUM(H5,L5,P5,T5)</f>
        <v>0</v>
      </c>
      <c r="AO5" s="4">
        <f t="shared" ref="AO5:AO68" si="4">AVERAGE(F5,H5,J5,L5,N5,P5,R5,T5,V5,X5,Z5,AB5,AD5,AF5,AH5,AJ5)</f>
        <v>21.25</v>
      </c>
    </row>
    <row r="6" spans="1:41" x14ac:dyDescent="0.2">
      <c r="A6" s="4" t="s">
        <v>1109</v>
      </c>
      <c r="B6" s="4" t="s">
        <v>1110</v>
      </c>
      <c r="C6" s="4" t="s">
        <v>129</v>
      </c>
      <c r="D6" s="4" t="s">
        <v>315</v>
      </c>
      <c r="M6" s="4">
        <v>2</v>
      </c>
      <c r="N6" s="4">
        <v>24</v>
      </c>
      <c r="AK6" s="4">
        <f t="shared" si="0"/>
        <v>2</v>
      </c>
      <c r="AL6" s="4">
        <f t="shared" si="1"/>
        <v>24</v>
      </c>
      <c r="AM6" s="4">
        <f t="shared" si="2"/>
        <v>0</v>
      </c>
      <c r="AN6" s="4">
        <f t="shared" si="3"/>
        <v>0</v>
      </c>
      <c r="AO6" s="4">
        <f t="shared" si="4"/>
        <v>24</v>
      </c>
    </row>
    <row r="7" spans="1:41" x14ac:dyDescent="0.2">
      <c r="A7" s="4" t="s">
        <v>820</v>
      </c>
      <c r="B7" s="4" t="s">
        <v>821</v>
      </c>
      <c r="C7" s="4" t="s">
        <v>129</v>
      </c>
      <c r="D7" s="4" t="s">
        <v>18</v>
      </c>
      <c r="I7" s="4">
        <v>2</v>
      </c>
      <c r="J7" s="4">
        <v>42</v>
      </c>
      <c r="M7" s="4">
        <v>1</v>
      </c>
      <c r="N7" s="4">
        <v>21</v>
      </c>
      <c r="Q7" s="4">
        <v>1</v>
      </c>
      <c r="R7" s="4">
        <v>21</v>
      </c>
      <c r="AK7" s="4">
        <f t="shared" si="0"/>
        <v>4</v>
      </c>
      <c r="AL7" s="4">
        <f t="shared" si="1"/>
        <v>84</v>
      </c>
      <c r="AM7" s="4">
        <f t="shared" si="2"/>
        <v>0</v>
      </c>
      <c r="AN7" s="4">
        <f t="shared" si="3"/>
        <v>0</v>
      </c>
      <c r="AO7" s="4">
        <f t="shared" si="4"/>
        <v>28</v>
      </c>
    </row>
    <row r="8" spans="1:41" x14ac:dyDescent="0.2">
      <c r="A8" s="4" t="s">
        <v>822</v>
      </c>
      <c r="B8" s="4" t="s">
        <v>823</v>
      </c>
      <c r="C8" s="4" t="s">
        <v>129</v>
      </c>
      <c r="D8" s="4" t="s">
        <v>18</v>
      </c>
      <c r="E8" s="4">
        <v>1</v>
      </c>
      <c r="F8" s="4">
        <v>22</v>
      </c>
      <c r="AK8" s="4">
        <f t="shared" si="0"/>
        <v>1</v>
      </c>
      <c r="AL8" s="4">
        <f t="shared" si="1"/>
        <v>22</v>
      </c>
      <c r="AM8" s="4">
        <f t="shared" si="2"/>
        <v>0</v>
      </c>
      <c r="AN8" s="4">
        <f t="shared" si="3"/>
        <v>0</v>
      </c>
      <c r="AO8" s="4">
        <f t="shared" si="4"/>
        <v>22</v>
      </c>
    </row>
    <row r="9" spans="1:41" x14ac:dyDescent="0.2">
      <c r="A9" s="4" t="s">
        <v>127</v>
      </c>
      <c r="B9" s="4" t="s">
        <v>128</v>
      </c>
      <c r="C9" s="4" t="s">
        <v>129</v>
      </c>
      <c r="D9" s="4" t="s">
        <v>18</v>
      </c>
      <c r="AI9" s="4">
        <v>1</v>
      </c>
      <c r="AJ9" s="4">
        <v>17</v>
      </c>
      <c r="AK9" s="4">
        <f t="shared" si="0"/>
        <v>1</v>
      </c>
      <c r="AL9" s="4">
        <f t="shared" si="1"/>
        <v>17</v>
      </c>
      <c r="AM9" s="4">
        <f t="shared" si="2"/>
        <v>0</v>
      </c>
      <c r="AN9" s="4">
        <f t="shared" si="3"/>
        <v>0</v>
      </c>
      <c r="AO9" s="4">
        <f t="shared" si="4"/>
        <v>17</v>
      </c>
    </row>
    <row r="10" spans="1:41" x14ac:dyDescent="0.2">
      <c r="A10" s="4" t="s">
        <v>824</v>
      </c>
      <c r="B10" s="4" t="s">
        <v>889</v>
      </c>
      <c r="C10" s="4" t="s">
        <v>129</v>
      </c>
      <c r="D10" s="4" t="s">
        <v>18</v>
      </c>
      <c r="K10" s="4">
        <v>1</v>
      </c>
      <c r="L10" s="4">
        <v>11</v>
      </c>
      <c r="O10" s="4">
        <v>2</v>
      </c>
      <c r="P10" s="4">
        <v>22</v>
      </c>
      <c r="AC10" s="4">
        <v>1</v>
      </c>
      <c r="AD10" s="4">
        <v>11</v>
      </c>
      <c r="AE10" s="4">
        <v>4</v>
      </c>
      <c r="AF10" s="4">
        <v>44</v>
      </c>
      <c r="AK10" s="4">
        <f t="shared" si="0"/>
        <v>5</v>
      </c>
      <c r="AL10" s="4">
        <f t="shared" si="1"/>
        <v>55</v>
      </c>
      <c r="AM10" s="4">
        <f t="shared" si="2"/>
        <v>3</v>
      </c>
      <c r="AN10" s="4">
        <f t="shared" si="3"/>
        <v>33</v>
      </c>
      <c r="AO10" s="4">
        <f t="shared" si="4"/>
        <v>22</v>
      </c>
    </row>
    <row r="11" spans="1:41" x14ac:dyDescent="0.2">
      <c r="A11" s="4" t="s">
        <v>825</v>
      </c>
      <c r="B11" s="4" t="s">
        <v>826</v>
      </c>
      <c r="C11" s="4" t="s">
        <v>129</v>
      </c>
      <c r="D11" s="4" t="s">
        <v>18</v>
      </c>
      <c r="E11" s="4">
        <v>1</v>
      </c>
      <c r="F11" s="4">
        <v>24</v>
      </c>
      <c r="AK11" s="4">
        <f t="shared" si="0"/>
        <v>1</v>
      </c>
      <c r="AL11" s="4">
        <f t="shared" si="1"/>
        <v>24</v>
      </c>
      <c r="AM11" s="4">
        <f t="shared" si="2"/>
        <v>0</v>
      </c>
      <c r="AN11" s="4">
        <f t="shared" si="3"/>
        <v>0</v>
      </c>
      <c r="AO11" s="4">
        <f t="shared" si="4"/>
        <v>24</v>
      </c>
    </row>
    <row r="12" spans="1:41" x14ac:dyDescent="0.2">
      <c r="A12" s="4" t="s">
        <v>827</v>
      </c>
      <c r="B12" s="4" t="s">
        <v>828</v>
      </c>
      <c r="C12" s="4" t="s">
        <v>129</v>
      </c>
      <c r="D12" s="4" t="s">
        <v>18</v>
      </c>
      <c r="W12" s="4">
        <v>5</v>
      </c>
      <c r="X12" s="4">
        <v>130</v>
      </c>
      <c r="AK12" s="4">
        <f t="shared" si="0"/>
        <v>5</v>
      </c>
      <c r="AL12" s="4">
        <f t="shared" si="1"/>
        <v>130</v>
      </c>
      <c r="AM12" s="4">
        <f t="shared" si="2"/>
        <v>0</v>
      </c>
      <c r="AN12" s="4">
        <f t="shared" si="3"/>
        <v>0</v>
      </c>
      <c r="AO12" s="4">
        <f t="shared" si="4"/>
        <v>130</v>
      </c>
    </row>
    <row r="13" spans="1:41" x14ac:dyDescent="0.2">
      <c r="A13" s="4" t="s">
        <v>132</v>
      </c>
      <c r="B13" s="4" t="s">
        <v>133</v>
      </c>
      <c r="C13" s="4" t="s">
        <v>129</v>
      </c>
      <c r="D13" s="4" t="s">
        <v>18</v>
      </c>
      <c r="M13" s="4">
        <v>2</v>
      </c>
      <c r="N13" s="4">
        <v>36</v>
      </c>
      <c r="Q13" s="4">
        <v>1</v>
      </c>
      <c r="R13" s="4">
        <v>18</v>
      </c>
      <c r="W13" s="4">
        <v>1</v>
      </c>
      <c r="X13" s="4">
        <v>18</v>
      </c>
      <c r="AA13" s="4">
        <v>1</v>
      </c>
      <c r="AB13" s="4">
        <v>18</v>
      </c>
      <c r="AE13" s="4">
        <v>2</v>
      </c>
      <c r="AF13" s="4">
        <v>36</v>
      </c>
      <c r="AG13" s="4">
        <v>1</v>
      </c>
      <c r="AH13" s="4">
        <v>18</v>
      </c>
      <c r="AK13" s="4">
        <f t="shared" si="0"/>
        <v>8</v>
      </c>
      <c r="AL13" s="4">
        <f t="shared" si="1"/>
        <v>144</v>
      </c>
      <c r="AM13" s="4">
        <f t="shared" si="2"/>
        <v>0</v>
      </c>
      <c r="AN13" s="4">
        <f t="shared" si="3"/>
        <v>0</v>
      </c>
      <c r="AO13" s="4">
        <f t="shared" si="4"/>
        <v>24</v>
      </c>
    </row>
    <row r="14" spans="1:41" x14ac:dyDescent="0.2">
      <c r="A14" s="4" t="s">
        <v>829</v>
      </c>
      <c r="B14" s="4" t="s">
        <v>830</v>
      </c>
      <c r="C14" s="4" t="s">
        <v>129</v>
      </c>
      <c r="D14" s="4" t="s">
        <v>18</v>
      </c>
      <c r="I14" s="4">
        <v>2</v>
      </c>
      <c r="J14" s="4">
        <v>28</v>
      </c>
      <c r="U14" s="4">
        <v>2</v>
      </c>
      <c r="V14" s="4">
        <v>28</v>
      </c>
      <c r="W14" s="4">
        <v>1</v>
      </c>
      <c r="X14" s="4">
        <v>14</v>
      </c>
      <c r="AK14" s="4">
        <f t="shared" si="0"/>
        <v>5</v>
      </c>
      <c r="AL14" s="4">
        <f t="shared" si="1"/>
        <v>70</v>
      </c>
      <c r="AM14" s="4">
        <f t="shared" si="2"/>
        <v>0</v>
      </c>
      <c r="AN14" s="4">
        <f t="shared" si="3"/>
        <v>0</v>
      </c>
      <c r="AO14" s="4">
        <f t="shared" si="4"/>
        <v>23.333333333333332</v>
      </c>
    </row>
    <row r="15" spans="1:41" x14ac:dyDescent="0.2">
      <c r="A15" s="4" t="s">
        <v>831</v>
      </c>
      <c r="B15" s="4" t="s">
        <v>832</v>
      </c>
      <c r="C15" s="4" t="s">
        <v>129</v>
      </c>
      <c r="D15" s="4" t="s">
        <v>18</v>
      </c>
      <c r="E15" s="4">
        <v>1</v>
      </c>
      <c r="F15" s="4">
        <v>27</v>
      </c>
      <c r="AG15" s="4">
        <v>1</v>
      </c>
      <c r="AH15" s="4">
        <v>27</v>
      </c>
      <c r="AK15" s="4">
        <f t="shared" si="0"/>
        <v>2</v>
      </c>
      <c r="AL15" s="4">
        <f t="shared" si="1"/>
        <v>54</v>
      </c>
      <c r="AM15" s="4">
        <f t="shared" si="2"/>
        <v>0</v>
      </c>
      <c r="AN15" s="4">
        <f t="shared" si="3"/>
        <v>0</v>
      </c>
      <c r="AO15" s="4">
        <f t="shared" si="4"/>
        <v>27</v>
      </c>
    </row>
    <row r="16" spans="1:41" x14ac:dyDescent="0.2">
      <c r="A16" s="4" t="s">
        <v>134</v>
      </c>
      <c r="B16" s="4" t="s">
        <v>135</v>
      </c>
      <c r="C16" s="4" t="s">
        <v>129</v>
      </c>
      <c r="D16" s="4" t="s">
        <v>18</v>
      </c>
      <c r="E16" s="4">
        <v>1</v>
      </c>
      <c r="F16" s="4">
        <v>44</v>
      </c>
      <c r="M16" s="4">
        <v>1</v>
      </c>
      <c r="N16" s="4">
        <v>44</v>
      </c>
      <c r="Q16" s="4">
        <v>1</v>
      </c>
      <c r="R16" s="4">
        <v>44</v>
      </c>
      <c r="S16" s="4">
        <v>1</v>
      </c>
      <c r="T16" s="4">
        <v>44</v>
      </c>
      <c r="Y16" s="4">
        <v>1</v>
      </c>
      <c r="Z16" s="4">
        <v>44</v>
      </c>
      <c r="AC16" s="4">
        <v>1</v>
      </c>
      <c r="AD16" s="4">
        <v>30.8</v>
      </c>
      <c r="AK16" s="4">
        <f t="shared" si="0"/>
        <v>5</v>
      </c>
      <c r="AL16" s="4">
        <f t="shared" si="1"/>
        <v>206.8</v>
      </c>
      <c r="AM16" s="4">
        <f t="shared" si="2"/>
        <v>1</v>
      </c>
      <c r="AN16" s="4">
        <f t="shared" si="3"/>
        <v>44</v>
      </c>
      <c r="AO16" s="4">
        <f t="shared" si="4"/>
        <v>41.800000000000004</v>
      </c>
    </row>
    <row r="17" spans="1:41" x14ac:dyDescent="0.2">
      <c r="A17" s="4" t="s">
        <v>136</v>
      </c>
      <c r="B17" s="4" t="s">
        <v>137</v>
      </c>
      <c r="C17" s="4" t="s">
        <v>129</v>
      </c>
      <c r="D17" s="4" t="s">
        <v>18</v>
      </c>
      <c r="AE17" s="4">
        <v>1</v>
      </c>
      <c r="AF17" s="4">
        <v>22</v>
      </c>
      <c r="AG17" s="4">
        <v>3</v>
      </c>
      <c r="AH17" s="4">
        <v>66</v>
      </c>
      <c r="AK17" s="4">
        <f t="shared" si="0"/>
        <v>4</v>
      </c>
      <c r="AL17" s="4">
        <f t="shared" si="1"/>
        <v>88</v>
      </c>
      <c r="AM17" s="4">
        <f t="shared" si="2"/>
        <v>0</v>
      </c>
      <c r="AN17" s="4">
        <f t="shared" si="3"/>
        <v>0</v>
      </c>
      <c r="AO17" s="4">
        <f t="shared" si="4"/>
        <v>44</v>
      </c>
    </row>
    <row r="18" spans="1:41" x14ac:dyDescent="0.2">
      <c r="A18" s="4" t="s">
        <v>833</v>
      </c>
      <c r="B18" s="4" t="s">
        <v>834</v>
      </c>
      <c r="C18" s="4" t="s">
        <v>129</v>
      </c>
      <c r="D18" s="4" t="s">
        <v>18</v>
      </c>
      <c r="G18" s="4">
        <v>1</v>
      </c>
      <c r="H18" s="4">
        <v>33</v>
      </c>
      <c r="K18" s="4">
        <v>1</v>
      </c>
      <c r="L18" s="4">
        <v>33</v>
      </c>
      <c r="M18" s="4">
        <v>1</v>
      </c>
      <c r="N18" s="4">
        <v>33</v>
      </c>
      <c r="Q18" s="4">
        <v>1</v>
      </c>
      <c r="R18" s="4">
        <v>33</v>
      </c>
      <c r="S18" s="4">
        <v>1</v>
      </c>
      <c r="T18" s="4">
        <v>33</v>
      </c>
      <c r="AK18" s="4">
        <f t="shared" si="0"/>
        <v>2</v>
      </c>
      <c r="AL18" s="4">
        <f t="shared" si="1"/>
        <v>66</v>
      </c>
      <c r="AM18" s="4">
        <f t="shared" si="2"/>
        <v>3</v>
      </c>
      <c r="AN18" s="4">
        <f t="shared" si="3"/>
        <v>99</v>
      </c>
      <c r="AO18" s="4">
        <f t="shared" si="4"/>
        <v>33</v>
      </c>
    </row>
    <row r="19" spans="1:41" x14ac:dyDescent="0.2">
      <c r="A19" s="4" t="s">
        <v>835</v>
      </c>
      <c r="B19" s="4" t="s">
        <v>836</v>
      </c>
      <c r="C19" s="4" t="s">
        <v>129</v>
      </c>
      <c r="D19" s="4" t="s">
        <v>18</v>
      </c>
      <c r="I19" s="4">
        <v>2</v>
      </c>
      <c r="J19" s="4">
        <v>30</v>
      </c>
      <c r="M19" s="4">
        <v>2</v>
      </c>
      <c r="N19" s="4">
        <v>30</v>
      </c>
      <c r="Q19" s="4">
        <v>1</v>
      </c>
      <c r="R19" s="4">
        <v>15</v>
      </c>
      <c r="AK19" s="4">
        <f t="shared" si="0"/>
        <v>5</v>
      </c>
      <c r="AL19" s="4">
        <f t="shared" si="1"/>
        <v>75</v>
      </c>
      <c r="AM19" s="4">
        <f t="shared" si="2"/>
        <v>0</v>
      </c>
      <c r="AN19" s="4">
        <f t="shared" si="3"/>
        <v>0</v>
      </c>
      <c r="AO19" s="4">
        <f t="shared" si="4"/>
        <v>25</v>
      </c>
    </row>
    <row r="20" spans="1:41" x14ac:dyDescent="0.2">
      <c r="A20" s="4" t="s">
        <v>242</v>
      </c>
      <c r="B20" s="4" t="s">
        <v>243</v>
      </c>
      <c r="C20" s="4" t="s">
        <v>129</v>
      </c>
      <c r="D20" s="4" t="s">
        <v>18</v>
      </c>
      <c r="I20" s="4">
        <v>1</v>
      </c>
      <c r="J20" s="4">
        <v>36</v>
      </c>
      <c r="M20" s="4">
        <v>2</v>
      </c>
      <c r="N20" s="4">
        <v>72</v>
      </c>
      <c r="O20" s="4">
        <v>1</v>
      </c>
      <c r="P20" s="4">
        <v>36</v>
      </c>
      <c r="Q20" s="4">
        <v>1</v>
      </c>
      <c r="R20" s="4">
        <v>36</v>
      </c>
      <c r="AC20" s="4">
        <v>1</v>
      </c>
      <c r="AD20" s="4">
        <v>36</v>
      </c>
      <c r="AE20" s="4">
        <v>1</v>
      </c>
      <c r="AF20" s="4">
        <v>36</v>
      </c>
      <c r="AG20" s="4">
        <v>1</v>
      </c>
      <c r="AH20" s="4">
        <v>36</v>
      </c>
      <c r="AI20" s="4">
        <v>1</v>
      </c>
      <c r="AJ20" s="4">
        <v>36</v>
      </c>
      <c r="AK20" s="4">
        <f t="shared" si="0"/>
        <v>8</v>
      </c>
      <c r="AL20" s="4">
        <f t="shared" si="1"/>
        <v>288</v>
      </c>
      <c r="AM20" s="4">
        <f t="shared" si="2"/>
        <v>1</v>
      </c>
      <c r="AN20" s="4">
        <f t="shared" si="3"/>
        <v>36</v>
      </c>
      <c r="AO20" s="4">
        <f t="shared" si="4"/>
        <v>40.5</v>
      </c>
    </row>
    <row r="21" spans="1:41" x14ac:dyDescent="0.2">
      <c r="A21" s="4" t="s">
        <v>837</v>
      </c>
      <c r="B21" s="4" t="s">
        <v>838</v>
      </c>
      <c r="C21" s="4" t="s">
        <v>129</v>
      </c>
      <c r="D21" s="4" t="s">
        <v>18</v>
      </c>
      <c r="I21" s="4">
        <v>1</v>
      </c>
      <c r="J21" s="4">
        <v>24</v>
      </c>
      <c r="K21" s="4">
        <v>1</v>
      </c>
      <c r="L21" s="4">
        <v>24</v>
      </c>
      <c r="M21" s="4">
        <v>1</v>
      </c>
      <c r="N21" s="4">
        <v>24</v>
      </c>
      <c r="Q21" s="4">
        <v>1</v>
      </c>
      <c r="R21" s="4">
        <v>24</v>
      </c>
      <c r="AK21" s="4">
        <f t="shared" si="0"/>
        <v>3</v>
      </c>
      <c r="AL21" s="4">
        <f t="shared" si="1"/>
        <v>72</v>
      </c>
      <c r="AM21" s="4">
        <f t="shared" si="2"/>
        <v>1</v>
      </c>
      <c r="AN21" s="4">
        <f t="shared" si="3"/>
        <v>24</v>
      </c>
      <c r="AO21" s="4">
        <f t="shared" si="4"/>
        <v>24</v>
      </c>
    </row>
    <row r="22" spans="1:41" x14ac:dyDescent="0.2">
      <c r="A22" s="4" t="s">
        <v>839</v>
      </c>
      <c r="B22" s="4" t="s">
        <v>840</v>
      </c>
      <c r="C22" s="4" t="s">
        <v>129</v>
      </c>
      <c r="D22" s="4" t="s">
        <v>18</v>
      </c>
      <c r="E22" s="4">
        <v>1</v>
      </c>
      <c r="F22" s="4">
        <v>33</v>
      </c>
      <c r="AK22" s="4">
        <f t="shared" si="0"/>
        <v>1</v>
      </c>
      <c r="AL22" s="4">
        <f t="shared" si="1"/>
        <v>33</v>
      </c>
      <c r="AM22" s="4">
        <f t="shared" si="2"/>
        <v>0</v>
      </c>
      <c r="AN22" s="4">
        <f t="shared" si="3"/>
        <v>0</v>
      </c>
      <c r="AO22" s="4">
        <f t="shared" si="4"/>
        <v>33</v>
      </c>
    </row>
    <row r="23" spans="1:41" x14ac:dyDescent="0.2">
      <c r="A23" s="4" t="s">
        <v>841</v>
      </c>
      <c r="B23" s="4" t="s">
        <v>1111</v>
      </c>
      <c r="C23" s="4" t="s">
        <v>129</v>
      </c>
      <c r="D23" s="4" t="s">
        <v>18</v>
      </c>
      <c r="E23" s="4">
        <v>1</v>
      </c>
      <c r="F23" s="4">
        <v>19</v>
      </c>
      <c r="AK23" s="4">
        <f t="shared" si="0"/>
        <v>1</v>
      </c>
      <c r="AL23" s="4">
        <f t="shared" si="1"/>
        <v>19</v>
      </c>
      <c r="AM23" s="4">
        <f t="shared" si="2"/>
        <v>0</v>
      </c>
      <c r="AN23" s="4">
        <f t="shared" si="3"/>
        <v>0</v>
      </c>
      <c r="AO23" s="4">
        <f t="shared" si="4"/>
        <v>19</v>
      </c>
    </row>
    <row r="24" spans="1:41" x14ac:dyDescent="0.2">
      <c r="A24" s="4" t="s">
        <v>842</v>
      </c>
      <c r="B24" s="4" t="s">
        <v>843</v>
      </c>
      <c r="C24" s="4" t="s">
        <v>129</v>
      </c>
      <c r="D24" s="4" t="s">
        <v>18</v>
      </c>
      <c r="E24" s="4">
        <v>1</v>
      </c>
      <c r="F24" s="4">
        <v>24.5</v>
      </c>
      <c r="AK24" s="4">
        <f t="shared" si="0"/>
        <v>1</v>
      </c>
      <c r="AL24" s="4">
        <f t="shared" si="1"/>
        <v>24.5</v>
      </c>
      <c r="AM24" s="4">
        <f t="shared" si="2"/>
        <v>0</v>
      </c>
      <c r="AN24" s="4">
        <f t="shared" si="3"/>
        <v>0</v>
      </c>
      <c r="AO24" s="4">
        <f t="shared" si="4"/>
        <v>24.5</v>
      </c>
    </row>
    <row r="25" spans="1:41" x14ac:dyDescent="0.2">
      <c r="A25" s="4" t="s">
        <v>844</v>
      </c>
      <c r="B25" s="4" t="s">
        <v>845</v>
      </c>
      <c r="C25" s="4" t="s">
        <v>129</v>
      </c>
      <c r="D25" s="4" t="s">
        <v>18</v>
      </c>
      <c r="E25" s="4">
        <v>1</v>
      </c>
      <c r="F25" s="4">
        <v>18</v>
      </c>
      <c r="AK25" s="4">
        <f t="shared" si="0"/>
        <v>1</v>
      </c>
      <c r="AL25" s="4">
        <f t="shared" si="1"/>
        <v>18</v>
      </c>
      <c r="AM25" s="4">
        <f t="shared" si="2"/>
        <v>0</v>
      </c>
      <c r="AN25" s="4">
        <f t="shared" si="3"/>
        <v>0</v>
      </c>
      <c r="AO25" s="4">
        <f t="shared" si="4"/>
        <v>18</v>
      </c>
    </row>
    <row r="26" spans="1:41" x14ac:dyDescent="0.2">
      <c r="A26" s="4" t="s">
        <v>846</v>
      </c>
      <c r="B26" s="4" t="s">
        <v>847</v>
      </c>
      <c r="C26" s="4" t="s">
        <v>129</v>
      </c>
      <c r="D26" s="4" t="s">
        <v>18</v>
      </c>
      <c r="E26" s="4">
        <v>1</v>
      </c>
      <c r="F26" s="4">
        <v>38</v>
      </c>
      <c r="AK26" s="4">
        <f t="shared" si="0"/>
        <v>1</v>
      </c>
      <c r="AL26" s="4">
        <f t="shared" si="1"/>
        <v>38</v>
      </c>
      <c r="AM26" s="4">
        <f t="shared" si="2"/>
        <v>0</v>
      </c>
      <c r="AN26" s="4">
        <f t="shared" si="3"/>
        <v>0</v>
      </c>
      <c r="AO26" s="4">
        <f t="shared" si="4"/>
        <v>38</v>
      </c>
    </row>
    <row r="27" spans="1:41" x14ac:dyDescent="0.2">
      <c r="A27" s="4" t="s">
        <v>1112</v>
      </c>
      <c r="B27" s="4" t="s">
        <v>1113</v>
      </c>
      <c r="C27" s="4" t="s">
        <v>129</v>
      </c>
      <c r="D27" s="4" t="s">
        <v>18</v>
      </c>
      <c r="M27" s="4">
        <v>1</v>
      </c>
      <c r="N27" s="4">
        <v>29</v>
      </c>
      <c r="Q27" s="4">
        <v>1</v>
      </c>
      <c r="R27" s="4">
        <v>29</v>
      </c>
      <c r="AK27" s="4">
        <f t="shared" si="0"/>
        <v>2</v>
      </c>
      <c r="AL27" s="4">
        <f t="shared" si="1"/>
        <v>58</v>
      </c>
      <c r="AM27" s="4">
        <f t="shared" si="2"/>
        <v>0</v>
      </c>
      <c r="AN27" s="4">
        <f t="shared" si="3"/>
        <v>0</v>
      </c>
      <c r="AO27" s="4">
        <f t="shared" si="4"/>
        <v>29</v>
      </c>
    </row>
    <row r="28" spans="1:41" x14ac:dyDescent="0.2">
      <c r="A28" s="4" t="s">
        <v>848</v>
      </c>
      <c r="B28" s="4" t="s">
        <v>849</v>
      </c>
      <c r="C28" s="4" t="s">
        <v>129</v>
      </c>
      <c r="D28" s="4" t="s">
        <v>18</v>
      </c>
      <c r="AA28" s="4">
        <v>1</v>
      </c>
      <c r="AB28" s="4">
        <v>23</v>
      </c>
      <c r="AK28" s="4">
        <f t="shared" si="0"/>
        <v>1</v>
      </c>
      <c r="AL28" s="4">
        <f t="shared" si="1"/>
        <v>23</v>
      </c>
      <c r="AM28" s="4">
        <f t="shared" si="2"/>
        <v>0</v>
      </c>
      <c r="AN28" s="4">
        <f t="shared" si="3"/>
        <v>0</v>
      </c>
      <c r="AO28" s="4">
        <f t="shared" si="4"/>
        <v>23</v>
      </c>
    </row>
    <row r="29" spans="1:41" x14ac:dyDescent="0.2">
      <c r="A29" s="4" t="s">
        <v>256</v>
      </c>
      <c r="B29" s="4" t="s">
        <v>257</v>
      </c>
      <c r="C29" s="4" t="s">
        <v>129</v>
      </c>
      <c r="D29" s="4" t="s">
        <v>18</v>
      </c>
      <c r="E29" s="4">
        <v>1</v>
      </c>
      <c r="F29" s="4">
        <v>21</v>
      </c>
      <c r="I29" s="4">
        <v>1</v>
      </c>
      <c r="J29" s="4">
        <v>21</v>
      </c>
      <c r="AK29" s="4">
        <f t="shared" si="0"/>
        <v>2</v>
      </c>
      <c r="AL29" s="4">
        <f t="shared" si="1"/>
        <v>42</v>
      </c>
      <c r="AM29" s="4">
        <f t="shared" si="2"/>
        <v>0</v>
      </c>
      <c r="AN29" s="4">
        <f t="shared" si="3"/>
        <v>0</v>
      </c>
      <c r="AO29" s="4">
        <f t="shared" si="4"/>
        <v>21</v>
      </c>
    </row>
    <row r="30" spans="1:41" x14ac:dyDescent="0.2">
      <c r="A30" s="4" t="s">
        <v>260</v>
      </c>
      <c r="B30" s="4" t="s">
        <v>261</v>
      </c>
      <c r="C30" s="4" t="s">
        <v>129</v>
      </c>
      <c r="D30" s="4" t="s">
        <v>18</v>
      </c>
      <c r="E30" s="4">
        <v>1</v>
      </c>
      <c r="F30" s="4">
        <v>21</v>
      </c>
      <c r="AK30" s="4">
        <f t="shared" si="0"/>
        <v>1</v>
      </c>
      <c r="AL30" s="4">
        <f t="shared" si="1"/>
        <v>21</v>
      </c>
      <c r="AM30" s="4">
        <f t="shared" si="2"/>
        <v>0</v>
      </c>
      <c r="AN30" s="4">
        <f t="shared" si="3"/>
        <v>0</v>
      </c>
      <c r="AO30" s="4">
        <f t="shared" si="4"/>
        <v>21</v>
      </c>
    </row>
    <row r="31" spans="1:41" x14ac:dyDescent="0.2">
      <c r="A31" s="4" t="s">
        <v>850</v>
      </c>
      <c r="B31" s="4" t="s">
        <v>851</v>
      </c>
      <c r="C31" s="4" t="s">
        <v>129</v>
      </c>
      <c r="D31" s="4" t="s">
        <v>18</v>
      </c>
      <c r="E31" s="4">
        <v>2</v>
      </c>
      <c r="F31" s="4">
        <v>38</v>
      </c>
      <c r="AK31" s="4">
        <f t="shared" si="0"/>
        <v>2</v>
      </c>
      <c r="AL31" s="4">
        <f t="shared" si="1"/>
        <v>38</v>
      </c>
      <c r="AM31" s="4">
        <f t="shared" si="2"/>
        <v>0</v>
      </c>
      <c r="AN31" s="4">
        <f t="shared" si="3"/>
        <v>0</v>
      </c>
      <c r="AO31" s="4">
        <f t="shared" si="4"/>
        <v>38</v>
      </c>
    </row>
    <row r="32" spans="1:41" x14ac:dyDescent="0.2">
      <c r="A32" s="4" t="s">
        <v>852</v>
      </c>
      <c r="B32" s="4" t="s">
        <v>853</v>
      </c>
      <c r="C32" s="4" t="s">
        <v>129</v>
      </c>
      <c r="D32" s="4" t="s">
        <v>18</v>
      </c>
      <c r="I32" s="4">
        <v>2</v>
      </c>
      <c r="J32" s="4">
        <v>22</v>
      </c>
      <c r="AK32" s="4">
        <f t="shared" si="0"/>
        <v>2</v>
      </c>
      <c r="AL32" s="4">
        <f t="shared" si="1"/>
        <v>22</v>
      </c>
      <c r="AM32" s="4">
        <f t="shared" si="2"/>
        <v>0</v>
      </c>
      <c r="AN32" s="4">
        <f t="shared" si="3"/>
        <v>0</v>
      </c>
      <c r="AO32" s="4">
        <f t="shared" si="4"/>
        <v>22</v>
      </c>
    </row>
    <row r="33" spans="1:41" x14ac:dyDescent="0.2">
      <c r="A33" s="4" t="s">
        <v>262</v>
      </c>
      <c r="B33" s="4" t="s">
        <v>263</v>
      </c>
      <c r="C33" s="4" t="s">
        <v>129</v>
      </c>
      <c r="D33" s="4" t="s">
        <v>18</v>
      </c>
      <c r="G33" s="4">
        <v>1</v>
      </c>
      <c r="H33" s="4">
        <v>18</v>
      </c>
      <c r="I33" s="4">
        <v>1</v>
      </c>
      <c r="J33" s="4">
        <v>18</v>
      </c>
      <c r="AC33" s="4">
        <v>1</v>
      </c>
      <c r="AD33" s="4">
        <v>18</v>
      </c>
      <c r="AK33" s="4">
        <f t="shared" si="0"/>
        <v>2</v>
      </c>
      <c r="AL33" s="4">
        <f t="shared" si="1"/>
        <v>36</v>
      </c>
      <c r="AM33" s="4">
        <f t="shared" si="2"/>
        <v>1</v>
      </c>
      <c r="AN33" s="4">
        <f t="shared" si="3"/>
        <v>18</v>
      </c>
      <c r="AO33" s="4">
        <f t="shared" si="4"/>
        <v>18</v>
      </c>
    </row>
    <row r="34" spans="1:41" x14ac:dyDescent="0.2">
      <c r="A34" s="4" t="s">
        <v>264</v>
      </c>
      <c r="B34" s="4" t="s">
        <v>265</v>
      </c>
      <c r="C34" s="4" t="s">
        <v>129</v>
      </c>
      <c r="D34" s="4" t="s">
        <v>18</v>
      </c>
      <c r="Q34" s="4">
        <v>1</v>
      </c>
      <c r="R34" s="4">
        <v>19</v>
      </c>
      <c r="AK34" s="4">
        <f t="shared" si="0"/>
        <v>1</v>
      </c>
      <c r="AL34" s="4">
        <f t="shared" si="1"/>
        <v>19</v>
      </c>
      <c r="AM34" s="4">
        <f t="shared" si="2"/>
        <v>0</v>
      </c>
      <c r="AN34" s="4">
        <f t="shared" si="3"/>
        <v>0</v>
      </c>
      <c r="AO34" s="4">
        <f t="shared" si="4"/>
        <v>19</v>
      </c>
    </row>
    <row r="35" spans="1:41" x14ac:dyDescent="0.2">
      <c r="A35" s="4" t="s">
        <v>266</v>
      </c>
      <c r="B35" s="4" t="s">
        <v>267</v>
      </c>
      <c r="C35" s="4" t="s">
        <v>129</v>
      </c>
      <c r="D35" s="4" t="s">
        <v>18</v>
      </c>
      <c r="K35" s="4">
        <v>1</v>
      </c>
      <c r="L35" s="4">
        <v>18</v>
      </c>
      <c r="AC35" s="4">
        <v>1</v>
      </c>
      <c r="AD35" s="4">
        <v>18</v>
      </c>
      <c r="AG35" s="4">
        <v>2</v>
      </c>
      <c r="AH35" s="4">
        <v>36</v>
      </c>
      <c r="AK35" s="4">
        <f t="shared" si="0"/>
        <v>3</v>
      </c>
      <c r="AL35" s="4">
        <f t="shared" si="1"/>
        <v>54</v>
      </c>
      <c r="AM35" s="4">
        <f t="shared" si="2"/>
        <v>1</v>
      </c>
      <c r="AN35" s="4">
        <f t="shared" si="3"/>
        <v>18</v>
      </c>
      <c r="AO35" s="4">
        <f t="shared" si="4"/>
        <v>24</v>
      </c>
    </row>
    <row r="36" spans="1:41" x14ac:dyDescent="0.2">
      <c r="A36" s="4" t="s">
        <v>1114</v>
      </c>
      <c r="B36" s="4" t="s">
        <v>1115</v>
      </c>
      <c r="C36" s="4" t="s">
        <v>129</v>
      </c>
      <c r="D36" s="4" t="s">
        <v>18</v>
      </c>
      <c r="E36" s="4">
        <v>2</v>
      </c>
      <c r="F36" s="4">
        <v>39.1</v>
      </c>
      <c r="M36" s="4">
        <v>1</v>
      </c>
      <c r="N36" s="4">
        <v>23</v>
      </c>
      <c r="Q36" s="4">
        <v>1</v>
      </c>
      <c r="R36" s="4">
        <v>23</v>
      </c>
      <c r="AK36" s="4">
        <f t="shared" si="0"/>
        <v>4</v>
      </c>
      <c r="AL36" s="4">
        <f t="shared" si="1"/>
        <v>85.1</v>
      </c>
      <c r="AM36" s="4">
        <f t="shared" si="2"/>
        <v>0</v>
      </c>
      <c r="AN36" s="4">
        <f t="shared" si="3"/>
        <v>0</v>
      </c>
      <c r="AO36" s="4">
        <f t="shared" si="4"/>
        <v>28.366666666666664</v>
      </c>
    </row>
    <row r="37" spans="1:41" x14ac:dyDescent="0.2">
      <c r="A37" s="4" t="s">
        <v>854</v>
      </c>
      <c r="B37" s="4" t="s">
        <v>855</v>
      </c>
      <c r="C37" s="4" t="s">
        <v>129</v>
      </c>
      <c r="D37" s="4" t="s">
        <v>18</v>
      </c>
      <c r="I37" s="4">
        <v>3</v>
      </c>
      <c r="J37" s="4">
        <v>102</v>
      </c>
      <c r="M37" s="4">
        <v>1</v>
      </c>
      <c r="N37" s="4">
        <v>34</v>
      </c>
      <c r="AK37" s="4">
        <f t="shared" si="0"/>
        <v>4</v>
      </c>
      <c r="AL37" s="4">
        <f t="shared" si="1"/>
        <v>136</v>
      </c>
      <c r="AM37" s="4">
        <f t="shared" si="2"/>
        <v>0</v>
      </c>
      <c r="AN37" s="4">
        <f t="shared" si="3"/>
        <v>0</v>
      </c>
      <c r="AO37" s="4">
        <f t="shared" si="4"/>
        <v>68</v>
      </c>
    </row>
    <row r="38" spans="1:41" x14ac:dyDescent="0.2">
      <c r="A38" s="4" t="s">
        <v>856</v>
      </c>
      <c r="B38" s="4" t="s">
        <v>857</v>
      </c>
      <c r="C38" s="4" t="s">
        <v>129</v>
      </c>
      <c r="D38" s="4" t="s">
        <v>18</v>
      </c>
      <c r="AG38" s="4">
        <v>1</v>
      </c>
      <c r="AH38" s="4">
        <v>11</v>
      </c>
      <c r="AK38" s="4">
        <f t="shared" si="0"/>
        <v>1</v>
      </c>
      <c r="AL38" s="4">
        <f t="shared" si="1"/>
        <v>11</v>
      </c>
      <c r="AM38" s="4">
        <f t="shared" si="2"/>
        <v>0</v>
      </c>
      <c r="AN38" s="4">
        <f t="shared" si="3"/>
        <v>0</v>
      </c>
      <c r="AO38" s="4">
        <f t="shared" si="4"/>
        <v>11</v>
      </c>
    </row>
    <row r="39" spans="1:41" x14ac:dyDescent="0.2">
      <c r="A39" s="4" t="s">
        <v>858</v>
      </c>
      <c r="B39" s="4" t="s">
        <v>859</v>
      </c>
      <c r="C39" s="4" t="s">
        <v>129</v>
      </c>
      <c r="D39" s="4" t="s">
        <v>18</v>
      </c>
      <c r="E39" s="4">
        <v>1</v>
      </c>
      <c r="F39" s="4">
        <v>13</v>
      </c>
      <c r="M39" s="4">
        <v>1</v>
      </c>
      <c r="N39" s="4">
        <v>13</v>
      </c>
      <c r="AK39" s="4">
        <f t="shared" si="0"/>
        <v>2</v>
      </c>
      <c r="AL39" s="4">
        <f t="shared" si="1"/>
        <v>26</v>
      </c>
      <c r="AM39" s="4">
        <f t="shared" si="2"/>
        <v>0</v>
      </c>
      <c r="AN39" s="4">
        <f t="shared" si="3"/>
        <v>0</v>
      </c>
      <c r="AO39" s="4">
        <f t="shared" si="4"/>
        <v>13</v>
      </c>
    </row>
    <row r="40" spans="1:41" x14ac:dyDescent="0.2">
      <c r="A40" s="4" t="s">
        <v>268</v>
      </c>
      <c r="B40" s="4" t="s">
        <v>269</v>
      </c>
      <c r="C40" s="4" t="s">
        <v>129</v>
      </c>
      <c r="D40" s="4" t="s">
        <v>18</v>
      </c>
      <c r="K40" s="4">
        <v>1</v>
      </c>
      <c r="L40" s="4">
        <v>19</v>
      </c>
      <c r="O40" s="4">
        <v>1</v>
      </c>
      <c r="P40" s="4">
        <v>19</v>
      </c>
      <c r="AC40" s="4">
        <v>1</v>
      </c>
      <c r="AD40" s="4">
        <v>19</v>
      </c>
      <c r="AE40" s="4">
        <v>1</v>
      </c>
      <c r="AF40" s="4">
        <v>19</v>
      </c>
      <c r="AK40" s="4">
        <f t="shared" si="0"/>
        <v>2</v>
      </c>
      <c r="AL40" s="4">
        <f t="shared" si="1"/>
        <v>38</v>
      </c>
      <c r="AM40" s="4">
        <f t="shared" si="2"/>
        <v>2</v>
      </c>
      <c r="AN40" s="4">
        <f t="shared" si="3"/>
        <v>38</v>
      </c>
      <c r="AO40" s="4">
        <f t="shared" si="4"/>
        <v>19</v>
      </c>
    </row>
    <row r="41" spans="1:41" x14ac:dyDescent="0.2">
      <c r="A41" s="4" t="s">
        <v>270</v>
      </c>
      <c r="B41" s="4" t="s">
        <v>271</v>
      </c>
      <c r="C41" s="4" t="s">
        <v>129</v>
      </c>
      <c r="D41" s="4" t="s">
        <v>18</v>
      </c>
      <c r="AI41" s="4">
        <v>1</v>
      </c>
      <c r="AJ41" s="4">
        <v>38</v>
      </c>
      <c r="AK41" s="4">
        <f t="shared" si="0"/>
        <v>1</v>
      </c>
      <c r="AL41" s="4">
        <f t="shared" si="1"/>
        <v>38</v>
      </c>
      <c r="AM41" s="4">
        <f t="shared" si="2"/>
        <v>0</v>
      </c>
      <c r="AN41" s="4">
        <f t="shared" si="3"/>
        <v>0</v>
      </c>
      <c r="AO41" s="4">
        <f t="shared" si="4"/>
        <v>38</v>
      </c>
    </row>
    <row r="42" spans="1:41" x14ac:dyDescent="0.2">
      <c r="A42" s="4" t="s">
        <v>860</v>
      </c>
      <c r="B42" s="4" t="s">
        <v>861</v>
      </c>
      <c r="C42" s="4" t="s">
        <v>129</v>
      </c>
      <c r="D42" s="4" t="s">
        <v>18</v>
      </c>
      <c r="E42" s="4">
        <v>2</v>
      </c>
      <c r="F42" s="4">
        <v>24</v>
      </c>
      <c r="AK42" s="4">
        <f t="shared" si="0"/>
        <v>2</v>
      </c>
      <c r="AL42" s="4">
        <f t="shared" si="1"/>
        <v>24</v>
      </c>
      <c r="AM42" s="4">
        <f t="shared" si="2"/>
        <v>0</v>
      </c>
      <c r="AN42" s="4">
        <f t="shared" si="3"/>
        <v>0</v>
      </c>
      <c r="AO42" s="4">
        <f t="shared" si="4"/>
        <v>24</v>
      </c>
    </row>
    <row r="43" spans="1:41" x14ac:dyDescent="0.2">
      <c r="A43" s="4" t="s">
        <v>862</v>
      </c>
      <c r="B43" s="4" t="s">
        <v>863</v>
      </c>
      <c r="C43" s="4" t="s">
        <v>129</v>
      </c>
      <c r="D43" s="4" t="s">
        <v>18</v>
      </c>
      <c r="I43" s="4">
        <v>1</v>
      </c>
      <c r="J43" s="4">
        <v>30</v>
      </c>
      <c r="AK43" s="4">
        <f t="shared" si="0"/>
        <v>1</v>
      </c>
      <c r="AL43" s="4">
        <f t="shared" si="1"/>
        <v>30</v>
      </c>
      <c r="AM43" s="4">
        <f t="shared" si="2"/>
        <v>0</v>
      </c>
      <c r="AN43" s="4">
        <f t="shared" si="3"/>
        <v>0</v>
      </c>
      <c r="AO43" s="4">
        <f t="shared" si="4"/>
        <v>30</v>
      </c>
    </row>
    <row r="44" spans="1:41" x14ac:dyDescent="0.2">
      <c r="A44" s="4" t="s">
        <v>864</v>
      </c>
      <c r="B44" s="4" t="s">
        <v>865</v>
      </c>
      <c r="C44" s="4" t="s">
        <v>129</v>
      </c>
      <c r="D44" s="4" t="s">
        <v>18</v>
      </c>
      <c r="W44" s="4">
        <v>1</v>
      </c>
      <c r="X44" s="4">
        <v>16</v>
      </c>
      <c r="AK44" s="4">
        <f t="shared" si="0"/>
        <v>1</v>
      </c>
      <c r="AL44" s="4">
        <f t="shared" si="1"/>
        <v>16</v>
      </c>
      <c r="AM44" s="4">
        <f t="shared" si="2"/>
        <v>0</v>
      </c>
      <c r="AN44" s="4">
        <f t="shared" si="3"/>
        <v>0</v>
      </c>
      <c r="AO44" s="4">
        <f t="shared" si="4"/>
        <v>16</v>
      </c>
    </row>
    <row r="45" spans="1:41" x14ac:dyDescent="0.2">
      <c r="A45" s="4" t="s">
        <v>866</v>
      </c>
      <c r="B45" s="4" t="s">
        <v>867</v>
      </c>
      <c r="C45" s="4" t="s">
        <v>129</v>
      </c>
      <c r="D45" s="4" t="s">
        <v>18</v>
      </c>
      <c r="E45" s="4">
        <v>1</v>
      </c>
      <c r="F45" s="4">
        <v>10</v>
      </c>
      <c r="U45" s="4">
        <v>1</v>
      </c>
      <c r="V45" s="4">
        <v>10</v>
      </c>
      <c r="AK45" s="4">
        <f t="shared" si="0"/>
        <v>2</v>
      </c>
      <c r="AL45" s="4">
        <f t="shared" si="1"/>
        <v>20</v>
      </c>
      <c r="AM45" s="4">
        <f t="shared" si="2"/>
        <v>0</v>
      </c>
      <c r="AN45" s="4">
        <f t="shared" si="3"/>
        <v>0</v>
      </c>
      <c r="AO45" s="4">
        <f t="shared" si="4"/>
        <v>10</v>
      </c>
    </row>
    <row r="46" spans="1:41" x14ac:dyDescent="0.2">
      <c r="A46" s="4" t="s">
        <v>1116</v>
      </c>
      <c r="B46" s="4" t="s">
        <v>1117</v>
      </c>
      <c r="C46" s="4" t="s">
        <v>129</v>
      </c>
      <c r="D46" s="4" t="s">
        <v>315</v>
      </c>
      <c r="Q46" s="4">
        <v>1</v>
      </c>
      <c r="R46" s="4">
        <v>20</v>
      </c>
      <c r="AK46" s="4">
        <f t="shared" si="0"/>
        <v>1</v>
      </c>
      <c r="AL46" s="4">
        <f t="shared" si="1"/>
        <v>20</v>
      </c>
      <c r="AM46" s="4">
        <f t="shared" si="2"/>
        <v>0</v>
      </c>
      <c r="AN46" s="4">
        <f t="shared" si="3"/>
        <v>0</v>
      </c>
      <c r="AO46" s="4">
        <f t="shared" si="4"/>
        <v>20</v>
      </c>
    </row>
    <row r="47" spans="1:41" x14ac:dyDescent="0.2">
      <c r="A47" s="4" t="s">
        <v>1118</v>
      </c>
      <c r="B47" s="4" t="s">
        <v>1119</v>
      </c>
      <c r="C47" s="4" t="s">
        <v>129</v>
      </c>
      <c r="D47" s="4" t="s">
        <v>315</v>
      </c>
      <c r="E47" s="4">
        <v>1</v>
      </c>
      <c r="F47" s="4">
        <v>18</v>
      </c>
      <c r="I47" s="4">
        <v>2</v>
      </c>
      <c r="J47" s="4">
        <v>36</v>
      </c>
      <c r="AK47" s="4">
        <f t="shared" si="0"/>
        <v>3</v>
      </c>
      <c r="AL47" s="4">
        <f t="shared" si="1"/>
        <v>54</v>
      </c>
      <c r="AM47" s="4">
        <f t="shared" si="2"/>
        <v>0</v>
      </c>
      <c r="AN47" s="4">
        <f t="shared" si="3"/>
        <v>0</v>
      </c>
      <c r="AO47" s="4">
        <f t="shared" si="4"/>
        <v>27</v>
      </c>
    </row>
    <row r="48" spans="1:41" x14ac:dyDescent="0.2">
      <c r="A48" s="4" t="s">
        <v>1120</v>
      </c>
      <c r="B48" s="4" t="s">
        <v>1121</v>
      </c>
      <c r="C48" s="4" t="s">
        <v>129</v>
      </c>
      <c r="D48" s="4" t="s">
        <v>315</v>
      </c>
      <c r="E48" s="4">
        <v>2</v>
      </c>
      <c r="F48" s="4">
        <v>32</v>
      </c>
      <c r="AK48" s="4">
        <f t="shared" si="0"/>
        <v>2</v>
      </c>
      <c r="AL48" s="4">
        <f t="shared" si="1"/>
        <v>32</v>
      </c>
      <c r="AM48" s="4">
        <f t="shared" si="2"/>
        <v>0</v>
      </c>
      <c r="AN48" s="4">
        <f t="shared" si="3"/>
        <v>0</v>
      </c>
      <c r="AO48" s="4">
        <f t="shared" si="4"/>
        <v>32</v>
      </c>
    </row>
    <row r="49" spans="1:41" x14ac:dyDescent="0.2">
      <c r="A49" s="4" t="s">
        <v>1122</v>
      </c>
      <c r="B49" s="4" t="s">
        <v>1123</v>
      </c>
      <c r="C49" s="4" t="s">
        <v>129</v>
      </c>
      <c r="D49" s="4" t="s">
        <v>315</v>
      </c>
      <c r="E49" s="4">
        <v>1</v>
      </c>
      <c r="F49" s="4">
        <v>17</v>
      </c>
      <c r="I49" s="4">
        <v>1</v>
      </c>
      <c r="J49" s="4">
        <v>17</v>
      </c>
      <c r="Q49" s="4">
        <v>1</v>
      </c>
      <c r="R49" s="4">
        <v>17</v>
      </c>
      <c r="AK49" s="4">
        <f t="shared" si="0"/>
        <v>3</v>
      </c>
      <c r="AL49" s="4">
        <f t="shared" si="1"/>
        <v>51</v>
      </c>
      <c r="AM49" s="4">
        <f t="shared" si="2"/>
        <v>0</v>
      </c>
      <c r="AN49" s="4">
        <f t="shared" si="3"/>
        <v>0</v>
      </c>
      <c r="AO49" s="4">
        <f t="shared" si="4"/>
        <v>17</v>
      </c>
    </row>
    <row r="50" spans="1:41" x14ac:dyDescent="0.2">
      <c r="A50" s="4" t="s">
        <v>1124</v>
      </c>
      <c r="B50" s="4" t="s">
        <v>1125</v>
      </c>
      <c r="C50" s="4" t="s">
        <v>129</v>
      </c>
      <c r="D50" s="4" t="s">
        <v>315</v>
      </c>
      <c r="E50" s="4">
        <v>1</v>
      </c>
      <c r="F50" s="4">
        <v>17</v>
      </c>
      <c r="AK50" s="4">
        <f t="shared" si="0"/>
        <v>1</v>
      </c>
      <c r="AL50" s="4">
        <f t="shared" si="1"/>
        <v>17</v>
      </c>
      <c r="AM50" s="4">
        <f t="shared" si="2"/>
        <v>0</v>
      </c>
      <c r="AN50" s="4">
        <f t="shared" si="3"/>
        <v>0</v>
      </c>
      <c r="AO50" s="4">
        <f t="shared" si="4"/>
        <v>17</v>
      </c>
    </row>
    <row r="51" spans="1:41" x14ac:dyDescent="0.2">
      <c r="A51" s="4" t="s">
        <v>1126</v>
      </c>
      <c r="B51" s="4" t="s">
        <v>1127</v>
      </c>
      <c r="C51" s="4" t="s">
        <v>129</v>
      </c>
      <c r="D51" s="4" t="s">
        <v>315</v>
      </c>
      <c r="M51" s="4">
        <v>1</v>
      </c>
      <c r="N51" s="4">
        <v>15</v>
      </c>
      <c r="AK51" s="4">
        <f t="shared" si="0"/>
        <v>1</v>
      </c>
      <c r="AL51" s="4">
        <f t="shared" si="1"/>
        <v>15</v>
      </c>
      <c r="AM51" s="4">
        <f t="shared" si="2"/>
        <v>0</v>
      </c>
      <c r="AN51" s="4">
        <f t="shared" si="3"/>
        <v>0</v>
      </c>
      <c r="AO51" s="4">
        <f t="shared" si="4"/>
        <v>15</v>
      </c>
    </row>
    <row r="52" spans="1:41" x14ac:dyDescent="0.2">
      <c r="A52" s="4" t="s">
        <v>1128</v>
      </c>
      <c r="B52" s="4" t="s">
        <v>1129</v>
      </c>
      <c r="C52" s="4" t="s">
        <v>129</v>
      </c>
      <c r="D52" s="4" t="s">
        <v>315</v>
      </c>
      <c r="E52" s="4">
        <v>2</v>
      </c>
      <c r="F52" s="4">
        <v>32</v>
      </c>
      <c r="AK52" s="4">
        <f t="shared" si="0"/>
        <v>2</v>
      </c>
      <c r="AL52" s="4">
        <f t="shared" si="1"/>
        <v>32</v>
      </c>
      <c r="AM52" s="4">
        <f t="shared" si="2"/>
        <v>0</v>
      </c>
      <c r="AN52" s="4">
        <f t="shared" si="3"/>
        <v>0</v>
      </c>
      <c r="AO52" s="4">
        <f t="shared" si="4"/>
        <v>32</v>
      </c>
    </row>
    <row r="53" spans="1:41" x14ac:dyDescent="0.2">
      <c r="A53" s="4" t="s">
        <v>1130</v>
      </c>
      <c r="B53" s="4" t="s">
        <v>1131</v>
      </c>
      <c r="C53" s="4" t="s">
        <v>129</v>
      </c>
      <c r="D53" s="4" t="s">
        <v>315</v>
      </c>
      <c r="Q53" s="4">
        <v>1</v>
      </c>
      <c r="R53" s="4">
        <v>15</v>
      </c>
      <c r="U53" s="4">
        <v>1</v>
      </c>
      <c r="V53" s="4">
        <v>15</v>
      </c>
      <c r="AK53" s="4">
        <f t="shared" si="0"/>
        <v>2</v>
      </c>
      <c r="AL53" s="4">
        <f t="shared" si="1"/>
        <v>30</v>
      </c>
      <c r="AM53" s="4">
        <f t="shared" si="2"/>
        <v>0</v>
      </c>
      <c r="AN53" s="4">
        <f t="shared" si="3"/>
        <v>0</v>
      </c>
      <c r="AO53" s="4">
        <f t="shared" si="4"/>
        <v>15</v>
      </c>
    </row>
    <row r="54" spans="1:41" x14ac:dyDescent="0.2">
      <c r="A54" s="4" t="s">
        <v>1132</v>
      </c>
      <c r="B54" s="4" t="s">
        <v>1133</v>
      </c>
      <c r="C54" s="4" t="s">
        <v>129</v>
      </c>
      <c r="D54" s="4" t="s">
        <v>315</v>
      </c>
      <c r="M54" s="4">
        <v>2</v>
      </c>
      <c r="N54" s="4">
        <v>32</v>
      </c>
      <c r="Q54" s="4">
        <v>1</v>
      </c>
      <c r="R54" s="4">
        <v>16</v>
      </c>
      <c r="AK54" s="4">
        <f t="shared" si="0"/>
        <v>3</v>
      </c>
      <c r="AL54" s="4">
        <f t="shared" si="1"/>
        <v>48</v>
      </c>
      <c r="AM54" s="4">
        <f t="shared" si="2"/>
        <v>0</v>
      </c>
      <c r="AN54" s="4">
        <f t="shared" si="3"/>
        <v>0</v>
      </c>
      <c r="AO54" s="4">
        <f t="shared" si="4"/>
        <v>24</v>
      </c>
    </row>
    <row r="55" spans="1:41" x14ac:dyDescent="0.2">
      <c r="A55" s="4" t="s">
        <v>1134</v>
      </c>
      <c r="B55" s="4" t="s">
        <v>1135</v>
      </c>
      <c r="C55" s="4" t="s">
        <v>129</v>
      </c>
      <c r="D55" s="4" t="s">
        <v>315</v>
      </c>
      <c r="E55" s="4">
        <v>1</v>
      </c>
      <c r="F55" s="4">
        <v>16</v>
      </c>
      <c r="M55" s="4">
        <v>2</v>
      </c>
      <c r="N55" s="4">
        <v>32</v>
      </c>
      <c r="AK55" s="4">
        <f t="shared" si="0"/>
        <v>3</v>
      </c>
      <c r="AL55" s="4">
        <f t="shared" si="1"/>
        <v>48</v>
      </c>
      <c r="AM55" s="4">
        <f t="shared" si="2"/>
        <v>0</v>
      </c>
      <c r="AN55" s="4">
        <f t="shared" si="3"/>
        <v>0</v>
      </c>
      <c r="AO55" s="4">
        <f t="shared" si="4"/>
        <v>24</v>
      </c>
    </row>
    <row r="56" spans="1:41" x14ac:dyDescent="0.2">
      <c r="A56" s="4" t="s">
        <v>1136</v>
      </c>
      <c r="B56" s="4" t="s">
        <v>1137</v>
      </c>
      <c r="C56" s="4" t="s">
        <v>129</v>
      </c>
      <c r="D56" s="4" t="s">
        <v>315</v>
      </c>
      <c r="I56" s="4">
        <v>1</v>
      </c>
      <c r="J56" s="4">
        <v>15</v>
      </c>
      <c r="M56" s="4">
        <v>1</v>
      </c>
      <c r="N56" s="4">
        <v>15</v>
      </c>
      <c r="AK56" s="4">
        <f t="shared" si="0"/>
        <v>2</v>
      </c>
      <c r="AL56" s="4">
        <f t="shared" si="1"/>
        <v>30</v>
      </c>
      <c r="AM56" s="4">
        <f t="shared" si="2"/>
        <v>0</v>
      </c>
      <c r="AN56" s="4">
        <f t="shared" si="3"/>
        <v>0</v>
      </c>
      <c r="AO56" s="4">
        <f t="shared" si="4"/>
        <v>15</v>
      </c>
    </row>
    <row r="57" spans="1:41" x14ac:dyDescent="0.2">
      <c r="A57" s="4" t="s">
        <v>1138</v>
      </c>
      <c r="B57" s="4" t="s">
        <v>1139</v>
      </c>
      <c r="C57" s="4" t="s">
        <v>129</v>
      </c>
      <c r="D57" s="4" t="s">
        <v>315</v>
      </c>
      <c r="I57" s="4">
        <v>2</v>
      </c>
      <c r="J57" s="4">
        <v>32</v>
      </c>
      <c r="M57" s="4">
        <v>1</v>
      </c>
      <c r="N57" s="4">
        <v>16</v>
      </c>
      <c r="Q57" s="4">
        <v>1</v>
      </c>
      <c r="R57" s="4">
        <v>16</v>
      </c>
      <c r="AK57" s="4">
        <f t="shared" si="0"/>
        <v>4</v>
      </c>
      <c r="AL57" s="4">
        <f t="shared" si="1"/>
        <v>64</v>
      </c>
      <c r="AM57" s="4">
        <f t="shared" si="2"/>
        <v>0</v>
      </c>
      <c r="AN57" s="4">
        <f t="shared" si="3"/>
        <v>0</v>
      </c>
      <c r="AO57" s="4">
        <f t="shared" si="4"/>
        <v>21.333333333333332</v>
      </c>
    </row>
    <row r="58" spans="1:41" x14ac:dyDescent="0.2">
      <c r="A58" s="4" t="s">
        <v>1140</v>
      </c>
      <c r="B58" s="4" t="s">
        <v>1141</v>
      </c>
      <c r="C58" s="4" t="s">
        <v>129</v>
      </c>
      <c r="D58" s="4" t="s">
        <v>315</v>
      </c>
      <c r="Q58" s="4">
        <v>1</v>
      </c>
      <c r="R58" s="4">
        <v>17</v>
      </c>
      <c r="U58" s="4">
        <v>1</v>
      </c>
      <c r="V58" s="4">
        <v>17</v>
      </c>
      <c r="AK58" s="4">
        <f t="shared" si="0"/>
        <v>2</v>
      </c>
      <c r="AL58" s="4">
        <f t="shared" si="1"/>
        <v>34</v>
      </c>
      <c r="AM58" s="4">
        <f t="shared" si="2"/>
        <v>0</v>
      </c>
      <c r="AN58" s="4">
        <f t="shared" si="3"/>
        <v>0</v>
      </c>
      <c r="AO58" s="4">
        <f t="shared" si="4"/>
        <v>17</v>
      </c>
    </row>
    <row r="59" spans="1:41" x14ac:dyDescent="0.2">
      <c r="A59" s="4" t="s">
        <v>1142</v>
      </c>
      <c r="B59" s="4" t="s">
        <v>1143</v>
      </c>
      <c r="C59" s="4" t="s">
        <v>129</v>
      </c>
      <c r="D59" s="4" t="s">
        <v>315</v>
      </c>
      <c r="E59" s="4">
        <v>1</v>
      </c>
      <c r="F59" s="4">
        <v>16</v>
      </c>
      <c r="Q59" s="4">
        <v>1</v>
      </c>
      <c r="R59" s="4">
        <v>16</v>
      </c>
      <c r="AK59" s="4">
        <f t="shared" si="0"/>
        <v>2</v>
      </c>
      <c r="AL59" s="4">
        <f t="shared" si="1"/>
        <v>32</v>
      </c>
      <c r="AM59" s="4">
        <f t="shared" si="2"/>
        <v>0</v>
      </c>
      <c r="AN59" s="4">
        <f t="shared" si="3"/>
        <v>0</v>
      </c>
      <c r="AO59" s="4">
        <f t="shared" si="4"/>
        <v>16</v>
      </c>
    </row>
    <row r="60" spans="1:41" x14ac:dyDescent="0.2">
      <c r="A60" s="4" t="s">
        <v>890</v>
      </c>
      <c r="B60" s="4" t="s">
        <v>891</v>
      </c>
      <c r="C60" s="4" t="s">
        <v>129</v>
      </c>
      <c r="D60" s="4" t="s">
        <v>315</v>
      </c>
      <c r="G60" s="4">
        <v>1</v>
      </c>
      <c r="H60" s="4">
        <v>15</v>
      </c>
      <c r="AK60" s="4">
        <f t="shared" si="0"/>
        <v>0</v>
      </c>
      <c r="AL60" s="4">
        <f t="shared" si="1"/>
        <v>0</v>
      </c>
      <c r="AM60" s="4">
        <f t="shared" si="2"/>
        <v>1</v>
      </c>
      <c r="AN60" s="4">
        <f t="shared" si="3"/>
        <v>15</v>
      </c>
      <c r="AO60" s="4">
        <f t="shared" si="4"/>
        <v>15</v>
      </c>
    </row>
    <row r="61" spans="1:41" x14ac:dyDescent="0.2">
      <c r="A61" s="4" t="s">
        <v>1144</v>
      </c>
      <c r="B61" s="4" t="s">
        <v>1145</v>
      </c>
      <c r="C61" s="4" t="s">
        <v>129</v>
      </c>
      <c r="D61" s="4" t="s">
        <v>315</v>
      </c>
      <c r="M61" s="4">
        <v>1</v>
      </c>
      <c r="N61" s="4">
        <v>16</v>
      </c>
      <c r="U61" s="4">
        <v>1</v>
      </c>
      <c r="V61" s="4">
        <v>16</v>
      </c>
      <c r="AK61" s="4">
        <f t="shared" si="0"/>
        <v>2</v>
      </c>
      <c r="AL61" s="4">
        <f t="shared" si="1"/>
        <v>32</v>
      </c>
      <c r="AM61" s="4">
        <f t="shared" si="2"/>
        <v>0</v>
      </c>
      <c r="AN61" s="4">
        <f t="shared" si="3"/>
        <v>0</v>
      </c>
      <c r="AO61" s="4">
        <f t="shared" si="4"/>
        <v>16</v>
      </c>
    </row>
    <row r="62" spans="1:41" x14ac:dyDescent="0.2">
      <c r="A62" s="4" t="s">
        <v>1146</v>
      </c>
      <c r="B62" s="4" t="s">
        <v>1147</v>
      </c>
      <c r="C62" s="4" t="s">
        <v>129</v>
      </c>
      <c r="D62" s="4" t="s">
        <v>315</v>
      </c>
      <c r="I62" s="4">
        <v>1</v>
      </c>
      <c r="J62" s="4">
        <v>13</v>
      </c>
      <c r="AK62" s="4">
        <f t="shared" si="0"/>
        <v>1</v>
      </c>
      <c r="AL62" s="4">
        <f t="shared" si="1"/>
        <v>13</v>
      </c>
      <c r="AM62" s="4">
        <f t="shared" si="2"/>
        <v>0</v>
      </c>
      <c r="AN62" s="4">
        <f t="shared" si="3"/>
        <v>0</v>
      </c>
      <c r="AO62" s="4">
        <f t="shared" si="4"/>
        <v>13</v>
      </c>
    </row>
    <row r="63" spans="1:41" x14ac:dyDescent="0.2">
      <c r="A63" s="4" t="s">
        <v>1148</v>
      </c>
      <c r="B63" s="4" t="s">
        <v>1149</v>
      </c>
      <c r="C63" s="4" t="s">
        <v>129</v>
      </c>
      <c r="D63" s="4" t="s">
        <v>315</v>
      </c>
      <c r="E63" s="4">
        <v>2</v>
      </c>
      <c r="F63" s="4">
        <v>26</v>
      </c>
      <c r="AA63" s="4">
        <v>2</v>
      </c>
      <c r="AB63" s="4">
        <v>26</v>
      </c>
      <c r="AK63" s="4">
        <f t="shared" si="0"/>
        <v>4</v>
      </c>
      <c r="AL63" s="4">
        <f t="shared" si="1"/>
        <v>52</v>
      </c>
      <c r="AM63" s="4">
        <f t="shared" si="2"/>
        <v>0</v>
      </c>
      <c r="AN63" s="4">
        <f t="shared" si="3"/>
        <v>0</v>
      </c>
      <c r="AO63" s="4">
        <f t="shared" si="4"/>
        <v>26</v>
      </c>
    </row>
    <row r="64" spans="1:41" x14ac:dyDescent="0.2">
      <c r="A64" s="4" t="s">
        <v>1150</v>
      </c>
      <c r="B64" s="4" t="s">
        <v>1151</v>
      </c>
      <c r="C64" s="4" t="s">
        <v>129</v>
      </c>
      <c r="D64" s="4" t="s">
        <v>315</v>
      </c>
      <c r="M64" s="4">
        <v>2</v>
      </c>
      <c r="N64" s="4">
        <v>36</v>
      </c>
      <c r="AK64" s="4">
        <f t="shared" si="0"/>
        <v>2</v>
      </c>
      <c r="AL64" s="4">
        <f t="shared" si="1"/>
        <v>36</v>
      </c>
      <c r="AM64" s="4">
        <f t="shared" si="2"/>
        <v>0</v>
      </c>
      <c r="AN64" s="4">
        <f t="shared" si="3"/>
        <v>0</v>
      </c>
      <c r="AO64" s="4">
        <f t="shared" si="4"/>
        <v>36</v>
      </c>
    </row>
    <row r="65" spans="1:41" x14ac:dyDescent="0.2">
      <c r="A65" s="4" t="s">
        <v>1152</v>
      </c>
      <c r="B65" s="4" t="s">
        <v>1153</v>
      </c>
      <c r="C65" s="4" t="s">
        <v>129</v>
      </c>
      <c r="D65" s="4" t="s">
        <v>315</v>
      </c>
      <c r="Q65" s="4">
        <v>2</v>
      </c>
      <c r="R65" s="4">
        <v>26</v>
      </c>
      <c r="Y65" s="4">
        <v>1</v>
      </c>
      <c r="Z65" s="4">
        <v>13</v>
      </c>
      <c r="AK65" s="4">
        <f t="shared" si="0"/>
        <v>3</v>
      </c>
      <c r="AL65" s="4">
        <f t="shared" si="1"/>
        <v>39</v>
      </c>
      <c r="AM65" s="4">
        <f t="shared" si="2"/>
        <v>0</v>
      </c>
      <c r="AN65" s="4">
        <f t="shared" si="3"/>
        <v>0</v>
      </c>
      <c r="AO65" s="4">
        <f t="shared" si="4"/>
        <v>19.5</v>
      </c>
    </row>
    <row r="66" spans="1:41" x14ac:dyDescent="0.2">
      <c r="A66" s="4" t="s">
        <v>1154</v>
      </c>
      <c r="B66" s="4" t="s">
        <v>1155</v>
      </c>
      <c r="C66" s="4" t="s">
        <v>129</v>
      </c>
      <c r="D66" s="4" t="s">
        <v>315</v>
      </c>
      <c r="Q66" s="4">
        <v>1</v>
      </c>
      <c r="R66" s="4">
        <v>13</v>
      </c>
      <c r="U66" s="4">
        <v>2</v>
      </c>
      <c r="V66" s="4">
        <v>26</v>
      </c>
      <c r="AK66" s="4">
        <f t="shared" si="0"/>
        <v>3</v>
      </c>
      <c r="AL66" s="4">
        <f t="shared" si="1"/>
        <v>39</v>
      </c>
      <c r="AM66" s="4">
        <f t="shared" si="2"/>
        <v>0</v>
      </c>
      <c r="AN66" s="4">
        <f t="shared" si="3"/>
        <v>0</v>
      </c>
      <c r="AO66" s="4">
        <f t="shared" si="4"/>
        <v>19.5</v>
      </c>
    </row>
    <row r="67" spans="1:41" x14ac:dyDescent="0.2">
      <c r="A67" s="4" t="s">
        <v>892</v>
      </c>
      <c r="B67" s="4" t="s">
        <v>893</v>
      </c>
      <c r="C67" s="4" t="s">
        <v>129</v>
      </c>
      <c r="D67" s="4" t="s">
        <v>315</v>
      </c>
      <c r="K67" s="4">
        <v>1</v>
      </c>
      <c r="L67" s="4">
        <v>20</v>
      </c>
      <c r="O67" s="4">
        <v>2</v>
      </c>
      <c r="P67" s="4">
        <v>40</v>
      </c>
      <c r="AC67" s="4">
        <v>1</v>
      </c>
      <c r="AD67" s="4">
        <v>20</v>
      </c>
      <c r="AE67" s="4">
        <v>1</v>
      </c>
      <c r="AF67" s="4">
        <v>20</v>
      </c>
      <c r="AG67" s="4">
        <v>1</v>
      </c>
      <c r="AH67" s="4">
        <v>20</v>
      </c>
      <c r="AK67" s="4">
        <f t="shared" si="0"/>
        <v>3</v>
      </c>
      <c r="AL67" s="4">
        <f t="shared" si="1"/>
        <v>60</v>
      </c>
      <c r="AM67" s="4">
        <f t="shared" si="2"/>
        <v>3</v>
      </c>
      <c r="AN67" s="4">
        <f t="shared" si="3"/>
        <v>60</v>
      </c>
      <c r="AO67" s="4">
        <f t="shared" si="4"/>
        <v>24</v>
      </c>
    </row>
    <row r="68" spans="1:41" x14ac:dyDescent="0.2">
      <c r="A68" s="4" t="s">
        <v>1156</v>
      </c>
      <c r="B68" s="4" t="s">
        <v>1157</v>
      </c>
      <c r="C68" s="4" t="s">
        <v>129</v>
      </c>
      <c r="D68" s="4" t="s">
        <v>315</v>
      </c>
      <c r="E68" s="4">
        <v>1</v>
      </c>
      <c r="F68" s="4">
        <v>17</v>
      </c>
      <c r="Q68" s="4">
        <v>1</v>
      </c>
      <c r="R68" s="4">
        <v>17</v>
      </c>
      <c r="AK68" s="4">
        <f t="shared" si="0"/>
        <v>2</v>
      </c>
      <c r="AL68" s="4">
        <f t="shared" si="1"/>
        <v>34</v>
      </c>
      <c r="AM68" s="4">
        <f t="shared" si="2"/>
        <v>0</v>
      </c>
      <c r="AN68" s="4">
        <f t="shared" si="3"/>
        <v>0</v>
      </c>
      <c r="AO68" s="4">
        <f t="shared" si="4"/>
        <v>17</v>
      </c>
    </row>
    <row r="69" spans="1:41" x14ac:dyDescent="0.2">
      <c r="A69" s="4" t="s">
        <v>1158</v>
      </c>
      <c r="B69" s="4" t="s">
        <v>1159</v>
      </c>
      <c r="C69" s="4" t="s">
        <v>129</v>
      </c>
      <c r="D69" s="4" t="s">
        <v>315</v>
      </c>
      <c r="E69" s="4">
        <v>2</v>
      </c>
      <c r="F69" s="4">
        <v>36</v>
      </c>
      <c r="AK69" s="4">
        <f t="shared" ref="AK69:AK132" si="5">SUM(E69,I69,M69,Q69,U69,W69,Y69,AA69,AC69,AE69,AG69,AI69)</f>
        <v>2</v>
      </c>
      <c r="AL69" s="4">
        <f t="shared" ref="AL69:AL132" si="6">SUM(F69,J69,N69,R69,V69,X69,Z69,AB69,AD69,AF69,AH69,AJ69)</f>
        <v>36</v>
      </c>
      <c r="AM69" s="4">
        <f t="shared" ref="AM69:AM132" si="7">SUM(G69,K69,O69,S69)</f>
        <v>0</v>
      </c>
      <c r="AN69" s="4">
        <f t="shared" ref="AN69:AN132" si="8">SUM(H69,L69,P69,T69)</f>
        <v>0</v>
      </c>
      <c r="AO69" s="4">
        <f t="shared" ref="AO69:AO132" si="9">AVERAGE(F69,H69,J69,L69,N69,P69,R69,T69,V69,X69,Z69,AB69,AD69,AF69,AH69,AJ69)</f>
        <v>36</v>
      </c>
    </row>
    <row r="70" spans="1:41" x14ac:dyDescent="0.2">
      <c r="A70" s="4" t="s">
        <v>1160</v>
      </c>
      <c r="B70" s="4" t="s">
        <v>1161</v>
      </c>
      <c r="C70" s="4" t="s">
        <v>129</v>
      </c>
      <c r="D70" s="4" t="s">
        <v>315</v>
      </c>
      <c r="E70" s="4">
        <v>1</v>
      </c>
      <c r="F70" s="4">
        <v>18</v>
      </c>
      <c r="AK70" s="4">
        <f t="shared" si="5"/>
        <v>1</v>
      </c>
      <c r="AL70" s="4">
        <f t="shared" si="6"/>
        <v>18</v>
      </c>
      <c r="AM70" s="4">
        <f t="shared" si="7"/>
        <v>0</v>
      </c>
      <c r="AN70" s="4">
        <f t="shared" si="8"/>
        <v>0</v>
      </c>
      <c r="AO70" s="4">
        <f t="shared" si="9"/>
        <v>18</v>
      </c>
    </row>
    <row r="71" spans="1:41" x14ac:dyDescent="0.2">
      <c r="A71" s="4" t="s">
        <v>1162</v>
      </c>
      <c r="B71" s="4" t="s">
        <v>1163</v>
      </c>
      <c r="C71" s="4" t="s">
        <v>129</v>
      </c>
      <c r="D71" s="4" t="s">
        <v>315</v>
      </c>
      <c r="E71" s="4">
        <v>1</v>
      </c>
      <c r="F71" s="4">
        <v>20</v>
      </c>
      <c r="AK71" s="4">
        <f t="shared" si="5"/>
        <v>1</v>
      </c>
      <c r="AL71" s="4">
        <f t="shared" si="6"/>
        <v>20</v>
      </c>
      <c r="AM71" s="4">
        <f t="shared" si="7"/>
        <v>0</v>
      </c>
      <c r="AN71" s="4">
        <f t="shared" si="8"/>
        <v>0</v>
      </c>
      <c r="AO71" s="4">
        <f t="shared" si="9"/>
        <v>20</v>
      </c>
    </row>
    <row r="72" spans="1:41" x14ac:dyDescent="0.2">
      <c r="A72" s="4" t="s">
        <v>894</v>
      </c>
      <c r="B72" s="4" t="s">
        <v>895</v>
      </c>
      <c r="C72" s="4" t="s">
        <v>129</v>
      </c>
      <c r="D72" s="4" t="s">
        <v>315</v>
      </c>
      <c r="E72" s="4">
        <v>1</v>
      </c>
      <c r="F72" s="4">
        <v>17</v>
      </c>
      <c r="G72" s="4">
        <v>1</v>
      </c>
      <c r="H72" s="4">
        <v>17</v>
      </c>
      <c r="AG72" s="4">
        <v>1</v>
      </c>
      <c r="AH72" s="4">
        <v>17</v>
      </c>
      <c r="AK72" s="4">
        <f t="shared" si="5"/>
        <v>2</v>
      </c>
      <c r="AL72" s="4">
        <f t="shared" si="6"/>
        <v>34</v>
      </c>
      <c r="AM72" s="4">
        <f t="shared" si="7"/>
        <v>1</v>
      </c>
      <c r="AN72" s="4">
        <f t="shared" si="8"/>
        <v>17</v>
      </c>
      <c r="AO72" s="4">
        <f t="shared" si="9"/>
        <v>17</v>
      </c>
    </row>
    <row r="73" spans="1:41" x14ac:dyDescent="0.2">
      <c r="A73" s="4" t="s">
        <v>1164</v>
      </c>
      <c r="B73" s="4" t="s">
        <v>1165</v>
      </c>
      <c r="C73" s="4" t="s">
        <v>129</v>
      </c>
      <c r="D73" s="4" t="s">
        <v>315</v>
      </c>
      <c r="M73" s="4">
        <v>2</v>
      </c>
      <c r="N73" s="4">
        <v>32</v>
      </c>
      <c r="Q73" s="4">
        <v>1</v>
      </c>
      <c r="R73" s="4">
        <v>16</v>
      </c>
      <c r="AK73" s="4">
        <f t="shared" si="5"/>
        <v>3</v>
      </c>
      <c r="AL73" s="4">
        <f t="shared" si="6"/>
        <v>48</v>
      </c>
      <c r="AM73" s="4">
        <f t="shared" si="7"/>
        <v>0</v>
      </c>
      <c r="AN73" s="4">
        <f t="shared" si="8"/>
        <v>0</v>
      </c>
      <c r="AO73" s="4">
        <f t="shared" si="9"/>
        <v>24</v>
      </c>
    </row>
    <row r="74" spans="1:41" x14ac:dyDescent="0.2">
      <c r="A74" s="4" t="s">
        <v>1166</v>
      </c>
      <c r="B74" s="4" t="s">
        <v>1167</v>
      </c>
      <c r="C74" s="4" t="s">
        <v>129</v>
      </c>
      <c r="D74" s="4" t="s">
        <v>315</v>
      </c>
      <c r="E74" s="4">
        <v>1</v>
      </c>
      <c r="F74" s="4">
        <v>13</v>
      </c>
      <c r="AK74" s="4">
        <f t="shared" si="5"/>
        <v>1</v>
      </c>
      <c r="AL74" s="4">
        <f t="shared" si="6"/>
        <v>13</v>
      </c>
      <c r="AM74" s="4">
        <f t="shared" si="7"/>
        <v>0</v>
      </c>
      <c r="AN74" s="4">
        <f t="shared" si="8"/>
        <v>0</v>
      </c>
      <c r="AO74" s="4">
        <f t="shared" si="9"/>
        <v>13</v>
      </c>
    </row>
    <row r="75" spans="1:41" x14ac:dyDescent="0.2">
      <c r="A75" s="4" t="s">
        <v>1168</v>
      </c>
      <c r="B75" s="4" t="s">
        <v>1169</v>
      </c>
      <c r="C75" s="4" t="s">
        <v>129</v>
      </c>
      <c r="D75" s="4" t="s">
        <v>315</v>
      </c>
      <c r="E75" s="4">
        <v>2</v>
      </c>
      <c r="F75" s="4">
        <v>34</v>
      </c>
      <c r="I75" s="4">
        <v>1</v>
      </c>
      <c r="J75" s="4">
        <v>17</v>
      </c>
      <c r="AK75" s="4">
        <f t="shared" si="5"/>
        <v>3</v>
      </c>
      <c r="AL75" s="4">
        <f t="shared" si="6"/>
        <v>51</v>
      </c>
      <c r="AM75" s="4">
        <f t="shared" si="7"/>
        <v>0</v>
      </c>
      <c r="AN75" s="4">
        <f t="shared" si="8"/>
        <v>0</v>
      </c>
      <c r="AO75" s="4">
        <f t="shared" si="9"/>
        <v>25.5</v>
      </c>
    </row>
    <row r="76" spans="1:41" x14ac:dyDescent="0.2">
      <c r="A76" s="4" t="s">
        <v>1170</v>
      </c>
      <c r="B76" s="4" t="s">
        <v>1171</v>
      </c>
      <c r="C76" s="4" t="s">
        <v>129</v>
      </c>
      <c r="D76" s="4" t="s">
        <v>315</v>
      </c>
      <c r="E76" s="4">
        <v>1</v>
      </c>
      <c r="F76" s="4">
        <v>21</v>
      </c>
      <c r="AK76" s="4">
        <f t="shared" si="5"/>
        <v>1</v>
      </c>
      <c r="AL76" s="4">
        <f t="shared" si="6"/>
        <v>21</v>
      </c>
      <c r="AM76" s="4">
        <f t="shared" si="7"/>
        <v>0</v>
      </c>
      <c r="AN76" s="4">
        <f t="shared" si="8"/>
        <v>0</v>
      </c>
      <c r="AO76" s="4">
        <f t="shared" si="9"/>
        <v>21</v>
      </c>
    </row>
    <row r="77" spans="1:41" x14ac:dyDescent="0.2">
      <c r="A77" s="4" t="s">
        <v>1172</v>
      </c>
      <c r="B77" s="4" t="s">
        <v>1173</v>
      </c>
      <c r="C77" s="4" t="s">
        <v>129</v>
      </c>
      <c r="D77" s="4" t="s">
        <v>315</v>
      </c>
      <c r="E77" s="4">
        <v>1</v>
      </c>
      <c r="F77" s="4">
        <v>18</v>
      </c>
      <c r="AK77" s="4">
        <f t="shared" si="5"/>
        <v>1</v>
      </c>
      <c r="AL77" s="4">
        <f t="shared" si="6"/>
        <v>18</v>
      </c>
      <c r="AM77" s="4">
        <f t="shared" si="7"/>
        <v>0</v>
      </c>
      <c r="AN77" s="4">
        <f t="shared" si="8"/>
        <v>0</v>
      </c>
      <c r="AO77" s="4">
        <f t="shared" si="9"/>
        <v>18</v>
      </c>
    </row>
    <row r="78" spans="1:41" x14ac:dyDescent="0.2">
      <c r="A78" s="4" t="s">
        <v>1174</v>
      </c>
      <c r="B78" s="4" t="s">
        <v>1175</v>
      </c>
      <c r="C78" s="4" t="s">
        <v>129</v>
      </c>
      <c r="D78" s="4" t="s">
        <v>315</v>
      </c>
      <c r="E78" s="4">
        <v>2</v>
      </c>
      <c r="F78" s="4">
        <v>44</v>
      </c>
      <c r="I78" s="4">
        <v>1</v>
      </c>
      <c r="J78" s="4">
        <v>22</v>
      </c>
      <c r="Y78" s="4">
        <v>1</v>
      </c>
      <c r="Z78" s="4">
        <v>22</v>
      </c>
      <c r="AK78" s="4">
        <f t="shared" si="5"/>
        <v>4</v>
      </c>
      <c r="AL78" s="4">
        <f t="shared" si="6"/>
        <v>88</v>
      </c>
      <c r="AM78" s="4">
        <f t="shared" si="7"/>
        <v>0</v>
      </c>
      <c r="AN78" s="4">
        <f t="shared" si="8"/>
        <v>0</v>
      </c>
      <c r="AO78" s="4">
        <f t="shared" si="9"/>
        <v>29.333333333333332</v>
      </c>
    </row>
    <row r="79" spans="1:41" x14ac:dyDescent="0.2">
      <c r="A79" s="4" t="s">
        <v>1176</v>
      </c>
      <c r="B79" s="4" t="s">
        <v>1177</v>
      </c>
      <c r="C79" s="4" t="s">
        <v>129</v>
      </c>
      <c r="D79" s="4" t="s">
        <v>315</v>
      </c>
      <c r="M79" s="4">
        <v>1</v>
      </c>
      <c r="N79" s="4">
        <v>23</v>
      </c>
      <c r="AK79" s="4">
        <f t="shared" si="5"/>
        <v>1</v>
      </c>
      <c r="AL79" s="4">
        <f t="shared" si="6"/>
        <v>23</v>
      </c>
      <c r="AM79" s="4">
        <f t="shared" si="7"/>
        <v>0</v>
      </c>
      <c r="AN79" s="4">
        <f t="shared" si="8"/>
        <v>0</v>
      </c>
      <c r="AO79" s="4">
        <f t="shared" si="9"/>
        <v>23</v>
      </c>
    </row>
    <row r="80" spans="1:41" x14ac:dyDescent="0.2">
      <c r="A80" s="4" t="s">
        <v>1178</v>
      </c>
      <c r="B80" s="4" t="s">
        <v>1179</v>
      </c>
      <c r="C80" s="4" t="s">
        <v>129</v>
      </c>
      <c r="D80" s="4" t="s">
        <v>315</v>
      </c>
      <c r="M80" s="4">
        <v>1</v>
      </c>
      <c r="N80" s="4">
        <v>21</v>
      </c>
      <c r="Q80" s="4">
        <v>2</v>
      </c>
      <c r="R80" s="4">
        <v>42</v>
      </c>
      <c r="AK80" s="4">
        <f t="shared" si="5"/>
        <v>3</v>
      </c>
      <c r="AL80" s="4">
        <f t="shared" si="6"/>
        <v>63</v>
      </c>
      <c r="AM80" s="4">
        <f t="shared" si="7"/>
        <v>0</v>
      </c>
      <c r="AN80" s="4">
        <f t="shared" si="8"/>
        <v>0</v>
      </c>
      <c r="AO80" s="4">
        <f t="shared" si="9"/>
        <v>31.5</v>
      </c>
    </row>
    <row r="81" spans="1:41" x14ac:dyDescent="0.2">
      <c r="A81" s="4" t="s">
        <v>1180</v>
      </c>
      <c r="B81" s="4" t="s">
        <v>1181</v>
      </c>
      <c r="C81" s="4" t="s">
        <v>129</v>
      </c>
      <c r="D81" s="4" t="s">
        <v>315</v>
      </c>
      <c r="E81" s="4">
        <v>2</v>
      </c>
      <c r="F81" s="4">
        <v>26</v>
      </c>
      <c r="M81" s="4">
        <v>1</v>
      </c>
      <c r="N81" s="4">
        <v>13</v>
      </c>
      <c r="Q81" s="4">
        <v>2</v>
      </c>
      <c r="R81" s="4">
        <v>26</v>
      </c>
      <c r="AK81" s="4">
        <f t="shared" si="5"/>
        <v>5</v>
      </c>
      <c r="AL81" s="4">
        <f t="shared" si="6"/>
        <v>65</v>
      </c>
      <c r="AM81" s="4">
        <f t="shared" si="7"/>
        <v>0</v>
      </c>
      <c r="AN81" s="4">
        <f t="shared" si="8"/>
        <v>0</v>
      </c>
      <c r="AO81" s="4">
        <f t="shared" si="9"/>
        <v>21.666666666666668</v>
      </c>
    </row>
    <row r="82" spans="1:41" x14ac:dyDescent="0.2">
      <c r="A82" s="4" t="s">
        <v>1182</v>
      </c>
      <c r="B82" s="4" t="s">
        <v>1183</v>
      </c>
      <c r="C82" s="4" t="s">
        <v>129</v>
      </c>
      <c r="D82" s="4" t="s">
        <v>315</v>
      </c>
      <c r="M82" s="4">
        <v>1</v>
      </c>
      <c r="N82" s="4">
        <v>22</v>
      </c>
      <c r="Q82" s="4">
        <v>1</v>
      </c>
      <c r="R82" s="4">
        <v>22</v>
      </c>
      <c r="AK82" s="4">
        <f t="shared" si="5"/>
        <v>2</v>
      </c>
      <c r="AL82" s="4">
        <f t="shared" si="6"/>
        <v>44</v>
      </c>
      <c r="AM82" s="4">
        <f t="shared" si="7"/>
        <v>0</v>
      </c>
      <c r="AN82" s="4">
        <f t="shared" si="8"/>
        <v>0</v>
      </c>
      <c r="AO82" s="4">
        <f t="shared" si="9"/>
        <v>22</v>
      </c>
    </row>
    <row r="83" spans="1:41" x14ac:dyDescent="0.2">
      <c r="A83" s="4" t="s">
        <v>1184</v>
      </c>
      <c r="B83" s="4" t="s">
        <v>1185</v>
      </c>
      <c r="C83" s="4" t="s">
        <v>129</v>
      </c>
      <c r="D83" s="4" t="s">
        <v>315</v>
      </c>
      <c r="E83" s="4">
        <v>1</v>
      </c>
      <c r="F83" s="4">
        <v>21</v>
      </c>
      <c r="AK83" s="4">
        <f t="shared" si="5"/>
        <v>1</v>
      </c>
      <c r="AL83" s="4">
        <f t="shared" si="6"/>
        <v>21</v>
      </c>
      <c r="AM83" s="4">
        <f t="shared" si="7"/>
        <v>0</v>
      </c>
      <c r="AN83" s="4">
        <f t="shared" si="8"/>
        <v>0</v>
      </c>
      <c r="AO83" s="4">
        <f t="shared" si="9"/>
        <v>21</v>
      </c>
    </row>
    <row r="84" spans="1:41" x14ac:dyDescent="0.2">
      <c r="A84" s="4" t="s">
        <v>1186</v>
      </c>
      <c r="B84" s="4" t="s">
        <v>1187</v>
      </c>
      <c r="C84" s="4" t="s">
        <v>129</v>
      </c>
      <c r="D84" s="4" t="s">
        <v>315</v>
      </c>
      <c r="M84" s="4">
        <v>3</v>
      </c>
      <c r="N84" s="4">
        <v>33</v>
      </c>
      <c r="Q84" s="4">
        <v>2</v>
      </c>
      <c r="R84" s="4">
        <v>22</v>
      </c>
      <c r="AK84" s="4">
        <f t="shared" si="5"/>
        <v>5</v>
      </c>
      <c r="AL84" s="4">
        <f t="shared" si="6"/>
        <v>55</v>
      </c>
      <c r="AM84" s="4">
        <f t="shared" si="7"/>
        <v>0</v>
      </c>
      <c r="AN84" s="4">
        <f t="shared" si="8"/>
        <v>0</v>
      </c>
      <c r="AO84" s="4">
        <f t="shared" si="9"/>
        <v>27.5</v>
      </c>
    </row>
    <row r="85" spans="1:41" x14ac:dyDescent="0.2">
      <c r="A85" s="4" t="s">
        <v>1188</v>
      </c>
      <c r="B85" s="4" t="s">
        <v>1189</v>
      </c>
      <c r="C85" s="4" t="s">
        <v>129</v>
      </c>
      <c r="D85" s="4" t="s">
        <v>315</v>
      </c>
      <c r="E85" s="4">
        <v>1</v>
      </c>
      <c r="F85" s="4">
        <v>21</v>
      </c>
      <c r="AK85" s="4">
        <f t="shared" si="5"/>
        <v>1</v>
      </c>
      <c r="AL85" s="4">
        <f t="shared" si="6"/>
        <v>21</v>
      </c>
      <c r="AM85" s="4">
        <f t="shared" si="7"/>
        <v>0</v>
      </c>
      <c r="AN85" s="4">
        <f t="shared" si="8"/>
        <v>0</v>
      </c>
      <c r="AO85" s="4">
        <f t="shared" si="9"/>
        <v>21</v>
      </c>
    </row>
    <row r="86" spans="1:41" x14ac:dyDescent="0.2">
      <c r="A86" s="4" t="s">
        <v>1190</v>
      </c>
      <c r="B86" s="4" t="s">
        <v>1191</v>
      </c>
      <c r="C86" s="4" t="s">
        <v>129</v>
      </c>
      <c r="D86" s="4" t="s">
        <v>315</v>
      </c>
      <c r="Q86" s="4">
        <v>1</v>
      </c>
      <c r="R86" s="4">
        <v>31</v>
      </c>
      <c r="AK86" s="4">
        <f t="shared" si="5"/>
        <v>1</v>
      </c>
      <c r="AL86" s="4">
        <f t="shared" si="6"/>
        <v>31</v>
      </c>
      <c r="AM86" s="4">
        <f t="shared" si="7"/>
        <v>0</v>
      </c>
      <c r="AN86" s="4">
        <f t="shared" si="8"/>
        <v>0</v>
      </c>
      <c r="AO86" s="4">
        <f t="shared" si="9"/>
        <v>31</v>
      </c>
    </row>
    <row r="87" spans="1:41" x14ac:dyDescent="0.2">
      <c r="A87" s="4" t="s">
        <v>313</v>
      </c>
      <c r="B87" s="4" t="s">
        <v>314</v>
      </c>
      <c r="C87" s="4" t="s">
        <v>129</v>
      </c>
      <c r="D87" s="4" t="s">
        <v>315</v>
      </c>
      <c r="E87" s="4">
        <v>1</v>
      </c>
      <c r="F87" s="4">
        <v>21</v>
      </c>
      <c r="AK87" s="4">
        <f t="shared" si="5"/>
        <v>1</v>
      </c>
      <c r="AL87" s="4">
        <f t="shared" si="6"/>
        <v>21</v>
      </c>
      <c r="AM87" s="4">
        <f t="shared" si="7"/>
        <v>0</v>
      </c>
      <c r="AN87" s="4">
        <f t="shared" si="8"/>
        <v>0</v>
      </c>
      <c r="AO87" s="4">
        <f t="shared" si="9"/>
        <v>21</v>
      </c>
    </row>
    <row r="88" spans="1:41" x14ac:dyDescent="0.2">
      <c r="A88" s="4" t="s">
        <v>1192</v>
      </c>
      <c r="B88" s="4" t="s">
        <v>1193</v>
      </c>
      <c r="C88" s="4" t="s">
        <v>129</v>
      </c>
      <c r="D88" s="4" t="s">
        <v>315</v>
      </c>
      <c r="Q88" s="4">
        <v>1</v>
      </c>
      <c r="R88" s="4">
        <v>21</v>
      </c>
      <c r="AC88" s="4">
        <v>1</v>
      </c>
      <c r="AD88" s="4">
        <v>21</v>
      </c>
      <c r="AK88" s="4">
        <f t="shared" si="5"/>
        <v>2</v>
      </c>
      <c r="AL88" s="4">
        <f t="shared" si="6"/>
        <v>42</v>
      </c>
      <c r="AM88" s="4">
        <f t="shared" si="7"/>
        <v>0</v>
      </c>
      <c r="AN88" s="4">
        <f t="shared" si="8"/>
        <v>0</v>
      </c>
      <c r="AO88" s="4">
        <f t="shared" si="9"/>
        <v>21</v>
      </c>
    </row>
    <row r="89" spans="1:41" x14ac:dyDescent="0.2">
      <c r="A89" s="4" t="s">
        <v>316</v>
      </c>
      <c r="B89" s="4" t="s">
        <v>317</v>
      </c>
      <c r="C89" s="4" t="s">
        <v>129</v>
      </c>
      <c r="D89" s="4" t="s">
        <v>315</v>
      </c>
      <c r="I89" s="4">
        <v>1</v>
      </c>
      <c r="J89" s="4">
        <v>21</v>
      </c>
      <c r="M89" s="4">
        <v>1</v>
      </c>
      <c r="N89" s="4">
        <v>14.7</v>
      </c>
      <c r="U89" s="4">
        <v>1</v>
      </c>
      <c r="V89" s="4">
        <v>21</v>
      </c>
      <c r="AK89" s="4">
        <f t="shared" si="5"/>
        <v>3</v>
      </c>
      <c r="AL89" s="4">
        <f t="shared" si="6"/>
        <v>56.7</v>
      </c>
      <c r="AM89" s="4">
        <f t="shared" si="7"/>
        <v>0</v>
      </c>
      <c r="AN89" s="4">
        <f t="shared" si="8"/>
        <v>0</v>
      </c>
      <c r="AO89" s="4">
        <f t="shared" si="9"/>
        <v>18.900000000000002</v>
      </c>
    </row>
    <row r="90" spans="1:41" x14ac:dyDescent="0.2">
      <c r="A90" s="4" t="s">
        <v>1194</v>
      </c>
      <c r="B90" s="4" t="s">
        <v>1195</v>
      </c>
      <c r="C90" s="4" t="s">
        <v>129</v>
      </c>
      <c r="D90" s="4" t="s">
        <v>315</v>
      </c>
      <c r="E90" s="4">
        <v>1</v>
      </c>
      <c r="F90" s="4">
        <v>20</v>
      </c>
      <c r="Q90" s="4">
        <v>2</v>
      </c>
      <c r="R90" s="4">
        <v>40</v>
      </c>
      <c r="AK90" s="4">
        <f t="shared" si="5"/>
        <v>3</v>
      </c>
      <c r="AL90" s="4">
        <f t="shared" si="6"/>
        <v>60</v>
      </c>
      <c r="AM90" s="4">
        <f t="shared" si="7"/>
        <v>0</v>
      </c>
      <c r="AN90" s="4">
        <f t="shared" si="8"/>
        <v>0</v>
      </c>
      <c r="AO90" s="4">
        <f t="shared" si="9"/>
        <v>30</v>
      </c>
    </row>
    <row r="91" spans="1:41" x14ac:dyDescent="0.2">
      <c r="A91" s="4" t="s">
        <v>1196</v>
      </c>
      <c r="B91" s="4" t="s">
        <v>1197</v>
      </c>
      <c r="C91" s="4" t="s">
        <v>129</v>
      </c>
      <c r="D91" s="4" t="s">
        <v>315</v>
      </c>
      <c r="M91" s="4">
        <v>1</v>
      </c>
      <c r="N91" s="4">
        <v>21</v>
      </c>
      <c r="Q91" s="4">
        <v>1</v>
      </c>
      <c r="R91" s="4">
        <v>21</v>
      </c>
      <c r="AK91" s="4">
        <f t="shared" si="5"/>
        <v>2</v>
      </c>
      <c r="AL91" s="4">
        <f t="shared" si="6"/>
        <v>42</v>
      </c>
      <c r="AM91" s="4">
        <f t="shared" si="7"/>
        <v>0</v>
      </c>
      <c r="AN91" s="4">
        <f t="shared" si="8"/>
        <v>0</v>
      </c>
      <c r="AO91" s="4">
        <f t="shared" si="9"/>
        <v>21</v>
      </c>
    </row>
    <row r="92" spans="1:41" x14ac:dyDescent="0.2">
      <c r="A92" s="4" t="s">
        <v>1198</v>
      </c>
      <c r="B92" s="4" t="s">
        <v>1199</v>
      </c>
      <c r="C92" s="4" t="s">
        <v>129</v>
      </c>
      <c r="D92" s="4" t="s">
        <v>315</v>
      </c>
      <c r="E92" s="4">
        <v>1</v>
      </c>
      <c r="F92" s="4">
        <v>16</v>
      </c>
      <c r="I92" s="4">
        <v>2</v>
      </c>
      <c r="J92" s="4">
        <v>32</v>
      </c>
      <c r="M92" s="4">
        <v>7</v>
      </c>
      <c r="N92" s="4">
        <v>112</v>
      </c>
      <c r="Q92" s="4">
        <v>2</v>
      </c>
      <c r="R92" s="4">
        <v>32</v>
      </c>
      <c r="AK92" s="4">
        <f t="shared" si="5"/>
        <v>12</v>
      </c>
      <c r="AL92" s="4">
        <f t="shared" si="6"/>
        <v>192</v>
      </c>
      <c r="AM92" s="4">
        <f t="shared" si="7"/>
        <v>0</v>
      </c>
      <c r="AN92" s="4">
        <f t="shared" si="8"/>
        <v>0</v>
      </c>
      <c r="AO92" s="4">
        <f t="shared" si="9"/>
        <v>48</v>
      </c>
    </row>
    <row r="93" spans="1:41" x14ac:dyDescent="0.2">
      <c r="A93" s="4" t="s">
        <v>1200</v>
      </c>
      <c r="B93" s="4" t="s">
        <v>1201</v>
      </c>
      <c r="C93" s="4" t="s">
        <v>129</v>
      </c>
      <c r="D93" s="4" t="s">
        <v>315</v>
      </c>
      <c r="M93" s="4">
        <v>1</v>
      </c>
      <c r="N93" s="4">
        <v>15</v>
      </c>
      <c r="AK93" s="4">
        <f t="shared" si="5"/>
        <v>1</v>
      </c>
      <c r="AL93" s="4">
        <f t="shared" si="6"/>
        <v>15</v>
      </c>
      <c r="AM93" s="4">
        <f t="shared" si="7"/>
        <v>0</v>
      </c>
      <c r="AN93" s="4">
        <f t="shared" si="8"/>
        <v>0</v>
      </c>
      <c r="AO93" s="4">
        <f t="shared" si="9"/>
        <v>15</v>
      </c>
    </row>
    <row r="94" spans="1:41" x14ac:dyDescent="0.2">
      <c r="A94" s="4" t="s">
        <v>1202</v>
      </c>
      <c r="B94" s="4" t="s">
        <v>1203</v>
      </c>
      <c r="C94" s="4" t="s">
        <v>129</v>
      </c>
      <c r="D94" s="4" t="s">
        <v>315</v>
      </c>
      <c r="M94" s="4">
        <v>1</v>
      </c>
      <c r="N94" s="4">
        <v>16</v>
      </c>
      <c r="AK94" s="4">
        <f t="shared" si="5"/>
        <v>1</v>
      </c>
      <c r="AL94" s="4">
        <f t="shared" si="6"/>
        <v>16</v>
      </c>
      <c r="AM94" s="4">
        <f t="shared" si="7"/>
        <v>0</v>
      </c>
      <c r="AN94" s="4">
        <f t="shared" si="8"/>
        <v>0</v>
      </c>
      <c r="AO94" s="4">
        <f t="shared" si="9"/>
        <v>16</v>
      </c>
    </row>
    <row r="95" spans="1:41" x14ac:dyDescent="0.2">
      <c r="A95" s="4" t="s">
        <v>896</v>
      </c>
      <c r="B95" s="4" t="s">
        <v>897</v>
      </c>
      <c r="C95" s="4" t="s">
        <v>129</v>
      </c>
      <c r="D95" s="4" t="s">
        <v>315</v>
      </c>
      <c r="E95" s="4">
        <v>2</v>
      </c>
      <c r="F95" s="4">
        <v>32</v>
      </c>
      <c r="K95" s="4">
        <v>1</v>
      </c>
      <c r="L95" s="4">
        <v>16</v>
      </c>
      <c r="M95" s="4">
        <v>1</v>
      </c>
      <c r="N95" s="4">
        <v>16</v>
      </c>
      <c r="O95" s="4">
        <v>3</v>
      </c>
      <c r="P95" s="4">
        <v>48</v>
      </c>
      <c r="Q95" s="4">
        <v>3</v>
      </c>
      <c r="R95" s="4">
        <v>48</v>
      </c>
      <c r="AC95" s="4">
        <v>2</v>
      </c>
      <c r="AD95" s="4">
        <v>32</v>
      </c>
      <c r="AK95" s="4">
        <f t="shared" si="5"/>
        <v>8</v>
      </c>
      <c r="AL95" s="4">
        <f t="shared" si="6"/>
        <v>128</v>
      </c>
      <c r="AM95" s="4">
        <f t="shared" si="7"/>
        <v>4</v>
      </c>
      <c r="AN95" s="4">
        <f t="shared" si="8"/>
        <v>64</v>
      </c>
      <c r="AO95" s="4">
        <f t="shared" si="9"/>
        <v>32</v>
      </c>
    </row>
    <row r="96" spans="1:41" x14ac:dyDescent="0.2">
      <c r="A96" s="4" t="s">
        <v>1204</v>
      </c>
      <c r="B96" s="4" t="s">
        <v>1205</v>
      </c>
      <c r="C96" s="4" t="s">
        <v>129</v>
      </c>
      <c r="D96" s="4" t="s">
        <v>315</v>
      </c>
      <c r="E96" s="4">
        <v>1</v>
      </c>
      <c r="F96" s="4">
        <v>16</v>
      </c>
      <c r="AK96" s="4">
        <f t="shared" si="5"/>
        <v>1</v>
      </c>
      <c r="AL96" s="4">
        <f t="shared" si="6"/>
        <v>16</v>
      </c>
      <c r="AM96" s="4">
        <f t="shared" si="7"/>
        <v>0</v>
      </c>
      <c r="AN96" s="4">
        <f t="shared" si="8"/>
        <v>0</v>
      </c>
      <c r="AO96" s="4">
        <f t="shared" si="9"/>
        <v>16</v>
      </c>
    </row>
    <row r="97" spans="1:41" x14ac:dyDescent="0.2">
      <c r="A97" s="4" t="s">
        <v>1206</v>
      </c>
      <c r="B97" s="4" t="s">
        <v>1057</v>
      </c>
      <c r="C97" s="4" t="s">
        <v>129</v>
      </c>
      <c r="D97" s="4" t="s">
        <v>315</v>
      </c>
      <c r="E97" s="4">
        <v>4</v>
      </c>
      <c r="F97" s="4">
        <v>64</v>
      </c>
      <c r="I97" s="4">
        <v>2</v>
      </c>
      <c r="J97" s="4">
        <v>32</v>
      </c>
      <c r="M97" s="4">
        <v>4</v>
      </c>
      <c r="N97" s="4">
        <v>64</v>
      </c>
      <c r="Q97" s="4">
        <v>4</v>
      </c>
      <c r="R97" s="4">
        <v>64</v>
      </c>
      <c r="AK97" s="4">
        <f t="shared" si="5"/>
        <v>14</v>
      </c>
      <c r="AL97" s="4">
        <f t="shared" si="6"/>
        <v>224</v>
      </c>
      <c r="AM97" s="4">
        <f t="shared" si="7"/>
        <v>0</v>
      </c>
      <c r="AN97" s="4">
        <f t="shared" si="8"/>
        <v>0</v>
      </c>
      <c r="AO97" s="4">
        <f t="shared" si="9"/>
        <v>56</v>
      </c>
    </row>
    <row r="98" spans="1:41" x14ac:dyDescent="0.2">
      <c r="A98" s="4" t="s">
        <v>1207</v>
      </c>
      <c r="B98" s="4" t="s">
        <v>1208</v>
      </c>
      <c r="C98" s="4" t="s">
        <v>129</v>
      </c>
      <c r="D98" s="4" t="s">
        <v>315</v>
      </c>
      <c r="E98" s="4">
        <v>1</v>
      </c>
      <c r="F98" s="4">
        <v>19</v>
      </c>
      <c r="AK98" s="4">
        <f t="shared" si="5"/>
        <v>1</v>
      </c>
      <c r="AL98" s="4">
        <f t="shared" si="6"/>
        <v>19</v>
      </c>
      <c r="AM98" s="4">
        <f t="shared" si="7"/>
        <v>0</v>
      </c>
      <c r="AN98" s="4">
        <f t="shared" si="8"/>
        <v>0</v>
      </c>
      <c r="AO98" s="4">
        <f t="shared" si="9"/>
        <v>19</v>
      </c>
    </row>
    <row r="99" spans="1:41" x14ac:dyDescent="0.2">
      <c r="A99" s="4" t="s">
        <v>898</v>
      </c>
      <c r="B99" s="4" t="s">
        <v>899</v>
      </c>
      <c r="C99" s="4" t="s">
        <v>129</v>
      </c>
      <c r="D99" s="4" t="s">
        <v>315</v>
      </c>
      <c r="O99" s="4">
        <v>1</v>
      </c>
      <c r="P99" s="4">
        <v>17</v>
      </c>
      <c r="W99" s="4">
        <v>1</v>
      </c>
      <c r="X99" s="4">
        <v>17</v>
      </c>
      <c r="AK99" s="4">
        <f t="shared" si="5"/>
        <v>1</v>
      </c>
      <c r="AL99" s="4">
        <f t="shared" si="6"/>
        <v>17</v>
      </c>
      <c r="AM99" s="4">
        <f t="shared" si="7"/>
        <v>1</v>
      </c>
      <c r="AN99" s="4">
        <f t="shared" si="8"/>
        <v>17</v>
      </c>
      <c r="AO99" s="4">
        <f t="shared" si="9"/>
        <v>17</v>
      </c>
    </row>
    <row r="100" spans="1:41" x14ac:dyDescent="0.2">
      <c r="A100" s="4" t="s">
        <v>1209</v>
      </c>
      <c r="B100" s="4" t="s">
        <v>1210</v>
      </c>
      <c r="C100" s="4" t="s">
        <v>129</v>
      </c>
      <c r="D100" s="4" t="s">
        <v>315</v>
      </c>
      <c r="M100" s="4">
        <v>1</v>
      </c>
      <c r="N100" s="4">
        <v>17</v>
      </c>
      <c r="AK100" s="4">
        <f t="shared" si="5"/>
        <v>1</v>
      </c>
      <c r="AL100" s="4">
        <f t="shared" si="6"/>
        <v>17</v>
      </c>
      <c r="AM100" s="4">
        <f t="shared" si="7"/>
        <v>0</v>
      </c>
      <c r="AN100" s="4">
        <f t="shared" si="8"/>
        <v>0</v>
      </c>
      <c r="AO100" s="4">
        <f t="shared" si="9"/>
        <v>17</v>
      </c>
    </row>
    <row r="101" spans="1:41" x14ac:dyDescent="0.2">
      <c r="A101" s="4" t="s">
        <v>1211</v>
      </c>
      <c r="B101" s="4" t="s">
        <v>1212</v>
      </c>
      <c r="C101" s="4" t="s">
        <v>129</v>
      </c>
      <c r="D101" s="4" t="s">
        <v>315</v>
      </c>
      <c r="E101" s="4">
        <v>1</v>
      </c>
      <c r="F101" s="4">
        <v>20</v>
      </c>
      <c r="M101" s="4">
        <v>3</v>
      </c>
      <c r="N101" s="4">
        <v>60</v>
      </c>
      <c r="AC101" s="4">
        <v>2</v>
      </c>
      <c r="AD101" s="4">
        <v>40</v>
      </c>
      <c r="AG101" s="4">
        <v>4</v>
      </c>
      <c r="AH101" s="4">
        <v>80</v>
      </c>
      <c r="AK101" s="4">
        <f t="shared" si="5"/>
        <v>10</v>
      </c>
      <c r="AL101" s="4">
        <f t="shared" si="6"/>
        <v>200</v>
      </c>
      <c r="AM101" s="4">
        <f t="shared" si="7"/>
        <v>0</v>
      </c>
      <c r="AN101" s="4">
        <f t="shared" si="8"/>
        <v>0</v>
      </c>
      <c r="AO101" s="4">
        <f t="shared" si="9"/>
        <v>50</v>
      </c>
    </row>
    <row r="102" spans="1:41" x14ac:dyDescent="0.2">
      <c r="A102" s="4" t="s">
        <v>1213</v>
      </c>
      <c r="B102" s="4" t="s">
        <v>1214</v>
      </c>
      <c r="C102" s="4" t="s">
        <v>129</v>
      </c>
      <c r="D102" s="4" t="s">
        <v>315</v>
      </c>
      <c r="U102" s="4">
        <v>2</v>
      </c>
      <c r="V102" s="4">
        <v>35.700000000000003</v>
      </c>
      <c r="AK102" s="4">
        <f t="shared" si="5"/>
        <v>2</v>
      </c>
      <c r="AL102" s="4">
        <f t="shared" si="6"/>
        <v>35.700000000000003</v>
      </c>
      <c r="AM102" s="4">
        <f t="shared" si="7"/>
        <v>0</v>
      </c>
      <c r="AN102" s="4">
        <f t="shared" si="8"/>
        <v>0</v>
      </c>
      <c r="AO102" s="4">
        <f t="shared" si="9"/>
        <v>35.700000000000003</v>
      </c>
    </row>
    <row r="103" spans="1:41" x14ac:dyDescent="0.2">
      <c r="A103" s="4" t="s">
        <v>318</v>
      </c>
      <c r="B103" s="4" t="s">
        <v>319</v>
      </c>
      <c r="C103" s="4" t="s">
        <v>129</v>
      </c>
      <c r="D103" s="4" t="s">
        <v>315</v>
      </c>
      <c r="G103" s="4">
        <v>1</v>
      </c>
      <c r="H103" s="4">
        <v>14</v>
      </c>
      <c r="K103" s="4">
        <v>1</v>
      </c>
      <c r="L103" s="4">
        <v>14</v>
      </c>
      <c r="O103" s="4">
        <v>1</v>
      </c>
      <c r="P103" s="4">
        <v>15</v>
      </c>
      <c r="AE103" s="4">
        <v>2</v>
      </c>
      <c r="AF103" s="4">
        <v>28</v>
      </c>
      <c r="AG103" s="4">
        <v>2</v>
      </c>
      <c r="AH103" s="4">
        <v>28</v>
      </c>
      <c r="AI103" s="4">
        <v>1</v>
      </c>
      <c r="AJ103" s="4">
        <v>14</v>
      </c>
      <c r="AK103" s="4">
        <f t="shared" si="5"/>
        <v>5</v>
      </c>
      <c r="AL103" s="4">
        <f t="shared" si="6"/>
        <v>70</v>
      </c>
      <c r="AM103" s="4">
        <f t="shared" si="7"/>
        <v>3</v>
      </c>
      <c r="AN103" s="4">
        <f t="shared" si="8"/>
        <v>43</v>
      </c>
      <c r="AO103" s="4">
        <f t="shared" si="9"/>
        <v>18.833333333333332</v>
      </c>
    </row>
    <row r="104" spans="1:41" x14ac:dyDescent="0.2">
      <c r="A104" s="4" t="s">
        <v>1215</v>
      </c>
      <c r="B104" s="4" t="s">
        <v>1216</v>
      </c>
      <c r="C104" s="4" t="s">
        <v>129</v>
      </c>
      <c r="D104" s="4" t="s">
        <v>315</v>
      </c>
      <c r="E104" s="4">
        <v>2</v>
      </c>
      <c r="F104" s="4">
        <v>16</v>
      </c>
      <c r="AK104" s="4">
        <f t="shared" si="5"/>
        <v>2</v>
      </c>
      <c r="AL104" s="4">
        <f t="shared" si="6"/>
        <v>16</v>
      </c>
      <c r="AM104" s="4">
        <f t="shared" si="7"/>
        <v>0</v>
      </c>
      <c r="AN104" s="4">
        <f t="shared" si="8"/>
        <v>0</v>
      </c>
      <c r="AO104" s="4">
        <f t="shared" si="9"/>
        <v>16</v>
      </c>
    </row>
    <row r="105" spans="1:41" x14ac:dyDescent="0.2">
      <c r="A105" s="4" t="s">
        <v>1217</v>
      </c>
      <c r="B105" s="4" t="s">
        <v>1218</v>
      </c>
      <c r="C105" s="4" t="s">
        <v>129</v>
      </c>
      <c r="D105" s="4" t="s">
        <v>315</v>
      </c>
      <c r="E105" s="4">
        <v>1</v>
      </c>
      <c r="F105" s="4">
        <v>14</v>
      </c>
      <c r="AK105" s="4">
        <f t="shared" si="5"/>
        <v>1</v>
      </c>
      <c r="AL105" s="4">
        <f t="shared" si="6"/>
        <v>14</v>
      </c>
      <c r="AM105" s="4">
        <f t="shared" si="7"/>
        <v>0</v>
      </c>
      <c r="AN105" s="4">
        <f t="shared" si="8"/>
        <v>0</v>
      </c>
      <c r="AO105" s="4">
        <f t="shared" si="9"/>
        <v>14</v>
      </c>
    </row>
    <row r="106" spans="1:41" x14ac:dyDescent="0.2">
      <c r="A106" s="4" t="s">
        <v>900</v>
      </c>
      <c r="B106" s="4" t="s">
        <v>901</v>
      </c>
      <c r="C106" s="4" t="s">
        <v>129</v>
      </c>
      <c r="D106" s="4" t="s">
        <v>315</v>
      </c>
      <c r="E106" s="4">
        <v>1</v>
      </c>
      <c r="F106" s="4">
        <v>9.8000000000000007</v>
      </c>
      <c r="K106" s="4">
        <v>1</v>
      </c>
      <c r="L106" s="4">
        <v>14</v>
      </c>
      <c r="O106" s="4">
        <v>3</v>
      </c>
      <c r="P106" s="4">
        <v>42</v>
      </c>
      <c r="Q106" s="4">
        <v>1</v>
      </c>
      <c r="R106" s="4">
        <v>14</v>
      </c>
      <c r="U106" s="4">
        <v>1</v>
      </c>
      <c r="V106" s="4">
        <v>14</v>
      </c>
      <c r="W106" s="4">
        <v>1</v>
      </c>
      <c r="X106" s="4">
        <v>14</v>
      </c>
      <c r="Y106" s="4">
        <v>1</v>
      </c>
      <c r="Z106" s="4">
        <v>14</v>
      </c>
      <c r="AE106" s="4">
        <v>1</v>
      </c>
      <c r="AF106" s="4">
        <v>14</v>
      </c>
      <c r="AG106" s="4">
        <v>1</v>
      </c>
      <c r="AH106" s="4">
        <v>14</v>
      </c>
      <c r="AK106" s="4">
        <f t="shared" si="5"/>
        <v>7</v>
      </c>
      <c r="AL106" s="4">
        <f t="shared" si="6"/>
        <v>93.8</v>
      </c>
      <c r="AM106" s="4">
        <f t="shared" si="7"/>
        <v>4</v>
      </c>
      <c r="AN106" s="4">
        <f t="shared" si="8"/>
        <v>56</v>
      </c>
      <c r="AO106" s="4">
        <f t="shared" si="9"/>
        <v>16.644444444444446</v>
      </c>
    </row>
    <row r="107" spans="1:41" x14ac:dyDescent="0.2">
      <c r="A107" s="4" t="s">
        <v>1219</v>
      </c>
      <c r="B107" s="4" t="s">
        <v>1220</v>
      </c>
      <c r="C107" s="4" t="s">
        <v>129</v>
      </c>
      <c r="D107" s="4" t="s">
        <v>315</v>
      </c>
      <c r="E107" s="4">
        <v>1</v>
      </c>
      <c r="F107" s="4">
        <v>18</v>
      </c>
      <c r="AK107" s="4">
        <f t="shared" si="5"/>
        <v>1</v>
      </c>
      <c r="AL107" s="4">
        <f t="shared" si="6"/>
        <v>18</v>
      </c>
      <c r="AM107" s="4">
        <f t="shared" si="7"/>
        <v>0</v>
      </c>
      <c r="AN107" s="4">
        <f t="shared" si="8"/>
        <v>0</v>
      </c>
      <c r="AO107" s="4">
        <f t="shared" si="9"/>
        <v>18</v>
      </c>
    </row>
    <row r="108" spans="1:41" x14ac:dyDescent="0.2">
      <c r="A108" s="4" t="s">
        <v>1221</v>
      </c>
      <c r="B108" s="4" t="s">
        <v>1222</v>
      </c>
      <c r="C108" s="4" t="s">
        <v>129</v>
      </c>
      <c r="D108" s="4" t="s">
        <v>315</v>
      </c>
      <c r="M108" s="4">
        <v>1</v>
      </c>
      <c r="N108" s="4">
        <v>13</v>
      </c>
      <c r="AK108" s="4">
        <f t="shared" si="5"/>
        <v>1</v>
      </c>
      <c r="AL108" s="4">
        <f t="shared" si="6"/>
        <v>13</v>
      </c>
      <c r="AM108" s="4">
        <f t="shared" si="7"/>
        <v>0</v>
      </c>
      <c r="AN108" s="4">
        <f t="shared" si="8"/>
        <v>0</v>
      </c>
      <c r="AO108" s="4">
        <f t="shared" si="9"/>
        <v>13</v>
      </c>
    </row>
    <row r="109" spans="1:41" x14ac:dyDescent="0.2">
      <c r="A109" s="4" t="s">
        <v>902</v>
      </c>
      <c r="B109" s="4" t="s">
        <v>903</v>
      </c>
      <c r="C109" s="4" t="s">
        <v>129</v>
      </c>
      <c r="D109" s="4" t="s">
        <v>315</v>
      </c>
      <c r="O109" s="4">
        <v>1</v>
      </c>
      <c r="P109" s="4">
        <v>10</v>
      </c>
      <c r="Y109" s="4">
        <v>1</v>
      </c>
      <c r="Z109" s="4">
        <v>10</v>
      </c>
      <c r="AA109" s="4">
        <v>4</v>
      </c>
      <c r="AB109" s="4">
        <v>40</v>
      </c>
      <c r="AK109" s="4">
        <f t="shared" si="5"/>
        <v>5</v>
      </c>
      <c r="AL109" s="4">
        <f t="shared" si="6"/>
        <v>50</v>
      </c>
      <c r="AM109" s="4">
        <f t="shared" si="7"/>
        <v>1</v>
      </c>
      <c r="AN109" s="4">
        <f t="shared" si="8"/>
        <v>10</v>
      </c>
      <c r="AO109" s="4">
        <f t="shared" si="9"/>
        <v>20</v>
      </c>
    </row>
    <row r="110" spans="1:41" x14ac:dyDescent="0.2">
      <c r="A110" s="4" t="s">
        <v>1223</v>
      </c>
      <c r="B110" s="4" t="s">
        <v>1224</v>
      </c>
      <c r="C110" s="4" t="s">
        <v>129</v>
      </c>
      <c r="D110" s="4" t="s">
        <v>315</v>
      </c>
      <c r="Q110" s="4">
        <v>1</v>
      </c>
      <c r="R110" s="4">
        <v>9</v>
      </c>
      <c r="AK110" s="4">
        <f t="shared" si="5"/>
        <v>1</v>
      </c>
      <c r="AL110" s="4">
        <f t="shared" si="6"/>
        <v>9</v>
      </c>
      <c r="AM110" s="4">
        <f t="shared" si="7"/>
        <v>0</v>
      </c>
      <c r="AN110" s="4">
        <f t="shared" si="8"/>
        <v>0</v>
      </c>
      <c r="AO110" s="4">
        <f t="shared" si="9"/>
        <v>9</v>
      </c>
    </row>
    <row r="111" spans="1:41" x14ac:dyDescent="0.2">
      <c r="A111" s="4" t="s">
        <v>904</v>
      </c>
      <c r="B111" s="4" t="s">
        <v>905</v>
      </c>
      <c r="C111" s="4" t="s">
        <v>129</v>
      </c>
      <c r="D111" s="4" t="s">
        <v>315</v>
      </c>
      <c r="G111" s="4">
        <v>1</v>
      </c>
      <c r="H111" s="4">
        <v>15</v>
      </c>
      <c r="K111" s="4">
        <v>1</v>
      </c>
      <c r="L111" s="4">
        <v>15</v>
      </c>
      <c r="U111" s="4">
        <v>1</v>
      </c>
      <c r="V111" s="4">
        <v>15</v>
      </c>
      <c r="W111" s="4">
        <v>1</v>
      </c>
      <c r="X111" s="4">
        <v>15</v>
      </c>
      <c r="AE111" s="4">
        <v>1</v>
      </c>
      <c r="AF111" s="4">
        <v>15</v>
      </c>
      <c r="AK111" s="4">
        <f t="shared" si="5"/>
        <v>3</v>
      </c>
      <c r="AL111" s="4">
        <f t="shared" si="6"/>
        <v>45</v>
      </c>
      <c r="AM111" s="4">
        <f t="shared" si="7"/>
        <v>2</v>
      </c>
      <c r="AN111" s="4">
        <f t="shared" si="8"/>
        <v>30</v>
      </c>
      <c r="AO111" s="4">
        <f t="shared" si="9"/>
        <v>15</v>
      </c>
    </row>
    <row r="112" spans="1:41" x14ac:dyDescent="0.2">
      <c r="A112" s="4" t="s">
        <v>1225</v>
      </c>
      <c r="B112" s="4" t="s">
        <v>1226</v>
      </c>
      <c r="C112" s="4" t="s">
        <v>129</v>
      </c>
      <c r="D112" s="4" t="s">
        <v>315</v>
      </c>
      <c r="Q112" s="4">
        <v>1</v>
      </c>
      <c r="R112" s="4">
        <v>15</v>
      </c>
      <c r="AK112" s="4">
        <f t="shared" si="5"/>
        <v>1</v>
      </c>
      <c r="AL112" s="4">
        <f t="shared" si="6"/>
        <v>15</v>
      </c>
      <c r="AM112" s="4">
        <f t="shared" si="7"/>
        <v>0</v>
      </c>
      <c r="AN112" s="4">
        <f t="shared" si="8"/>
        <v>0</v>
      </c>
      <c r="AO112" s="4">
        <f t="shared" si="9"/>
        <v>15</v>
      </c>
    </row>
    <row r="113" spans="1:41" x14ac:dyDescent="0.2">
      <c r="A113" s="4" t="s">
        <v>322</v>
      </c>
      <c r="B113" s="4" t="s">
        <v>323</v>
      </c>
      <c r="C113" s="4" t="s">
        <v>129</v>
      </c>
      <c r="D113" s="4" t="s">
        <v>315</v>
      </c>
      <c r="K113" s="4">
        <v>1</v>
      </c>
      <c r="L113" s="4">
        <v>15</v>
      </c>
      <c r="W113" s="4">
        <v>2</v>
      </c>
      <c r="X113" s="4">
        <v>30</v>
      </c>
      <c r="AK113" s="4">
        <f t="shared" si="5"/>
        <v>2</v>
      </c>
      <c r="AL113" s="4">
        <f t="shared" si="6"/>
        <v>30</v>
      </c>
      <c r="AM113" s="4">
        <f t="shared" si="7"/>
        <v>1</v>
      </c>
      <c r="AN113" s="4">
        <f t="shared" si="8"/>
        <v>15</v>
      </c>
      <c r="AO113" s="4">
        <f t="shared" si="9"/>
        <v>22.5</v>
      </c>
    </row>
    <row r="114" spans="1:41" x14ac:dyDescent="0.2">
      <c r="A114" s="4" t="s">
        <v>1227</v>
      </c>
      <c r="B114" s="4" t="s">
        <v>1228</v>
      </c>
      <c r="C114" s="4" t="s">
        <v>129</v>
      </c>
      <c r="D114" s="4" t="s">
        <v>315</v>
      </c>
      <c r="AA114" s="4">
        <v>1</v>
      </c>
      <c r="AB114" s="4">
        <v>15</v>
      </c>
      <c r="AI114" s="4">
        <v>1</v>
      </c>
      <c r="AJ114" s="4">
        <v>15</v>
      </c>
      <c r="AK114" s="4">
        <f t="shared" si="5"/>
        <v>2</v>
      </c>
      <c r="AL114" s="4">
        <f t="shared" si="6"/>
        <v>30</v>
      </c>
      <c r="AM114" s="4">
        <f t="shared" si="7"/>
        <v>0</v>
      </c>
      <c r="AN114" s="4">
        <f t="shared" si="8"/>
        <v>0</v>
      </c>
      <c r="AO114" s="4">
        <f t="shared" si="9"/>
        <v>15</v>
      </c>
    </row>
    <row r="115" spans="1:41" x14ac:dyDescent="0.2">
      <c r="A115" s="4" t="s">
        <v>1229</v>
      </c>
      <c r="B115" s="4" t="s">
        <v>1230</v>
      </c>
      <c r="C115" s="4" t="s">
        <v>129</v>
      </c>
      <c r="D115" s="4" t="s">
        <v>315</v>
      </c>
      <c r="I115" s="4">
        <v>1</v>
      </c>
      <c r="J115" s="4">
        <v>12</v>
      </c>
      <c r="Q115" s="4">
        <v>1</v>
      </c>
      <c r="R115" s="4">
        <v>12</v>
      </c>
      <c r="AK115" s="4">
        <f t="shared" si="5"/>
        <v>2</v>
      </c>
      <c r="AL115" s="4">
        <f t="shared" si="6"/>
        <v>24</v>
      </c>
      <c r="AM115" s="4">
        <f t="shared" si="7"/>
        <v>0</v>
      </c>
      <c r="AN115" s="4">
        <f t="shared" si="8"/>
        <v>0</v>
      </c>
      <c r="AO115" s="4">
        <f t="shared" si="9"/>
        <v>12</v>
      </c>
    </row>
    <row r="116" spans="1:41" x14ac:dyDescent="0.2">
      <c r="A116" s="4" t="s">
        <v>1231</v>
      </c>
      <c r="B116" s="4" t="s">
        <v>1232</v>
      </c>
      <c r="C116" s="4" t="s">
        <v>129</v>
      </c>
      <c r="D116" s="4" t="s">
        <v>315</v>
      </c>
      <c r="E116" s="4">
        <v>1</v>
      </c>
      <c r="F116" s="4">
        <v>12</v>
      </c>
      <c r="Q116" s="4">
        <v>1</v>
      </c>
      <c r="R116" s="4">
        <v>12</v>
      </c>
      <c r="AK116" s="4">
        <f t="shared" si="5"/>
        <v>2</v>
      </c>
      <c r="AL116" s="4">
        <f t="shared" si="6"/>
        <v>24</v>
      </c>
      <c r="AM116" s="4">
        <f t="shared" si="7"/>
        <v>0</v>
      </c>
      <c r="AN116" s="4">
        <f t="shared" si="8"/>
        <v>0</v>
      </c>
      <c r="AO116" s="4">
        <f t="shared" si="9"/>
        <v>12</v>
      </c>
    </row>
    <row r="117" spans="1:41" x14ac:dyDescent="0.2">
      <c r="A117" s="4" t="s">
        <v>1233</v>
      </c>
      <c r="B117" s="4" t="s">
        <v>1234</v>
      </c>
      <c r="C117" s="4" t="s">
        <v>129</v>
      </c>
      <c r="D117" s="4" t="s">
        <v>315</v>
      </c>
      <c r="E117" s="4">
        <v>1</v>
      </c>
      <c r="F117" s="4">
        <v>14</v>
      </c>
      <c r="Q117" s="4">
        <v>1</v>
      </c>
      <c r="R117" s="4">
        <v>14</v>
      </c>
      <c r="AK117" s="4">
        <f t="shared" si="5"/>
        <v>2</v>
      </c>
      <c r="AL117" s="4">
        <f t="shared" si="6"/>
        <v>28</v>
      </c>
      <c r="AM117" s="4">
        <f t="shared" si="7"/>
        <v>0</v>
      </c>
      <c r="AN117" s="4">
        <f t="shared" si="8"/>
        <v>0</v>
      </c>
      <c r="AO117" s="4">
        <f t="shared" si="9"/>
        <v>14</v>
      </c>
    </row>
    <row r="118" spans="1:41" x14ac:dyDescent="0.2">
      <c r="A118" s="4" t="s">
        <v>324</v>
      </c>
      <c r="B118" s="4" t="s">
        <v>325</v>
      </c>
      <c r="C118" s="4" t="s">
        <v>129</v>
      </c>
      <c r="D118" s="4" t="s">
        <v>315</v>
      </c>
      <c r="O118" s="4">
        <v>1</v>
      </c>
      <c r="P118" s="4">
        <v>4</v>
      </c>
      <c r="W118" s="4">
        <v>1</v>
      </c>
      <c r="X118" s="4">
        <v>4</v>
      </c>
      <c r="AE118" s="4">
        <v>1</v>
      </c>
      <c r="AF118" s="4">
        <v>4</v>
      </c>
      <c r="AG118" s="4">
        <v>1</v>
      </c>
      <c r="AH118" s="4">
        <v>4</v>
      </c>
      <c r="AK118" s="4">
        <f t="shared" si="5"/>
        <v>3</v>
      </c>
      <c r="AL118" s="4">
        <f t="shared" si="6"/>
        <v>12</v>
      </c>
      <c r="AM118" s="4">
        <f t="shared" si="7"/>
        <v>1</v>
      </c>
      <c r="AN118" s="4">
        <f t="shared" si="8"/>
        <v>4</v>
      </c>
      <c r="AO118" s="4">
        <f t="shared" si="9"/>
        <v>4</v>
      </c>
    </row>
    <row r="119" spans="1:41" x14ac:dyDescent="0.2">
      <c r="A119" s="4" t="s">
        <v>1235</v>
      </c>
      <c r="B119" s="4" t="s">
        <v>1236</v>
      </c>
      <c r="C119" s="4" t="s">
        <v>129</v>
      </c>
      <c r="D119" s="4" t="s">
        <v>315</v>
      </c>
      <c r="AC119" s="4">
        <v>1</v>
      </c>
      <c r="AD119" s="4">
        <v>4</v>
      </c>
      <c r="AE119" s="4">
        <v>1</v>
      </c>
      <c r="AF119" s="4">
        <v>4</v>
      </c>
      <c r="AK119" s="4">
        <f t="shared" si="5"/>
        <v>2</v>
      </c>
      <c r="AL119" s="4">
        <f t="shared" si="6"/>
        <v>8</v>
      </c>
      <c r="AM119" s="4">
        <f t="shared" si="7"/>
        <v>0</v>
      </c>
      <c r="AN119" s="4">
        <f t="shared" si="8"/>
        <v>0</v>
      </c>
      <c r="AO119" s="4">
        <f t="shared" si="9"/>
        <v>4</v>
      </c>
    </row>
    <row r="120" spans="1:41" x14ac:dyDescent="0.2">
      <c r="A120" s="4" t="s">
        <v>1237</v>
      </c>
      <c r="B120" s="4" t="s">
        <v>1238</v>
      </c>
      <c r="C120" s="4" t="s">
        <v>129</v>
      </c>
      <c r="D120" s="4" t="s">
        <v>315</v>
      </c>
      <c r="AA120" s="4">
        <v>1</v>
      </c>
      <c r="AB120" s="4">
        <v>4</v>
      </c>
      <c r="AK120" s="4">
        <f t="shared" si="5"/>
        <v>1</v>
      </c>
      <c r="AL120" s="4">
        <f t="shared" si="6"/>
        <v>4</v>
      </c>
      <c r="AM120" s="4">
        <f t="shared" si="7"/>
        <v>0</v>
      </c>
      <c r="AN120" s="4">
        <f t="shared" si="8"/>
        <v>0</v>
      </c>
      <c r="AO120" s="4">
        <f t="shared" si="9"/>
        <v>4</v>
      </c>
    </row>
    <row r="121" spans="1:41" x14ac:dyDescent="0.2">
      <c r="A121" s="4" t="s">
        <v>1239</v>
      </c>
      <c r="B121" s="4" t="s">
        <v>1240</v>
      </c>
      <c r="C121" s="4" t="s">
        <v>129</v>
      </c>
      <c r="D121" s="4" t="s">
        <v>315</v>
      </c>
      <c r="W121" s="4">
        <v>2</v>
      </c>
      <c r="X121" s="4">
        <v>8</v>
      </c>
      <c r="AK121" s="4">
        <f t="shared" si="5"/>
        <v>2</v>
      </c>
      <c r="AL121" s="4">
        <f t="shared" si="6"/>
        <v>8</v>
      </c>
      <c r="AM121" s="4">
        <f t="shared" si="7"/>
        <v>0</v>
      </c>
      <c r="AN121" s="4">
        <f t="shared" si="8"/>
        <v>0</v>
      </c>
      <c r="AO121" s="4">
        <f t="shared" si="9"/>
        <v>8</v>
      </c>
    </row>
    <row r="122" spans="1:41" x14ac:dyDescent="0.2">
      <c r="A122" s="4" t="s">
        <v>1241</v>
      </c>
      <c r="B122" s="4" t="s">
        <v>1242</v>
      </c>
      <c r="C122" s="4" t="s">
        <v>129</v>
      </c>
      <c r="D122" s="4" t="s">
        <v>315</v>
      </c>
      <c r="AC122" s="4">
        <v>1</v>
      </c>
      <c r="AD122" s="4">
        <v>4</v>
      </c>
      <c r="AE122" s="4">
        <v>1</v>
      </c>
      <c r="AF122" s="4">
        <v>4</v>
      </c>
      <c r="AK122" s="4">
        <f t="shared" si="5"/>
        <v>2</v>
      </c>
      <c r="AL122" s="4">
        <f t="shared" si="6"/>
        <v>8</v>
      </c>
      <c r="AM122" s="4">
        <f t="shared" si="7"/>
        <v>0</v>
      </c>
      <c r="AN122" s="4">
        <f t="shared" si="8"/>
        <v>0</v>
      </c>
      <c r="AO122" s="4">
        <f t="shared" si="9"/>
        <v>4</v>
      </c>
    </row>
    <row r="123" spans="1:41" x14ac:dyDescent="0.2">
      <c r="A123" s="4" t="s">
        <v>1243</v>
      </c>
      <c r="B123" s="4" t="s">
        <v>1244</v>
      </c>
      <c r="C123" s="4" t="s">
        <v>129</v>
      </c>
      <c r="D123" s="4" t="s">
        <v>315</v>
      </c>
      <c r="I123" s="4">
        <v>1</v>
      </c>
      <c r="J123" s="4">
        <v>4</v>
      </c>
      <c r="Q123" s="4">
        <v>1</v>
      </c>
      <c r="R123" s="4">
        <v>4</v>
      </c>
      <c r="AC123" s="4">
        <v>1</v>
      </c>
      <c r="AD123" s="4">
        <v>4</v>
      </c>
      <c r="AG123" s="4">
        <v>1</v>
      </c>
      <c r="AH123" s="4">
        <v>4</v>
      </c>
      <c r="AK123" s="4">
        <f t="shared" si="5"/>
        <v>4</v>
      </c>
      <c r="AL123" s="4">
        <f t="shared" si="6"/>
        <v>16</v>
      </c>
      <c r="AM123" s="4">
        <f t="shared" si="7"/>
        <v>0</v>
      </c>
      <c r="AN123" s="4">
        <f t="shared" si="8"/>
        <v>0</v>
      </c>
      <c r="AO123" s="4">
        <f t="shared" si="9"/>
        <v>4</v>
      </c>
    </row>
    <row r="124" spans="1:41" x14ac:dyDescent="0.2">
      <c r="A124" s="4" t="s">
        <v>906</v>
      </c>
      <c r="B124" s="4" t="s">
        <v>907</v>
      </c>
      <c r="C124" s="4" t="s">
        <v>129</v>
      </c>
      <c r="D124" s="4" t="s">
        <v>315</v>
      </c>
      <c r="S124" s="4">
        <v>1</v>
      </c>
      <c r="T124" s="4">
        <v>4</v>
      </c>
      <c r="AG124" s="4">
        <v>2</v>
      </c>
      <c r="AH124" s="4">
        <v>8</v>
      </c>
      <c r="AI124" s="4">
        <v>1</v>
      </c>
      <c r="AJ124" s="4">
        <v>4</v>
      </c>
      <c r="AK124" s="4">
        <f t="shared" si="5"/>
        <v>3</v>
      </c>
      <c r="AL124" s="4">
        <f t="shared" si="6"/>
        <v>12</v>
      </c>
      <c r="AM124" s="4">
        <f t="shared" si="7"/>
        <v>1</v>
      </c>
      <c r="AN124" s="4">
        <f t="shared" si="8"/>
        <v>4</v>
      </c>
      <c r="AO124" s="4">
        <f t="shared" si="9"/>
        <v>5.333333333333333</v>
      </c>
    </row>
    <row r="125" spans="1:41" x14ac:dyDescent="0.2">
      <c r="A125" s="4" t="s">
        <v>326</v>
      </c>
      <c r="B125" s="4" t="s">
        <v>1245</v>
      </c>
      <c r="C125" s="4" t="s">
        <v>129</v>
      </c>
      <c r="D125" s="4" t="s">
        <v>315</v>
      </c>
      <c r="I125" s="4">
        <v>1</v>
      </c>
      <c r="J125" s="4">
        <v>4</v>
      </c>
      <c r="M125" s="4">
        <v>1</v>
      </c>
      <c r="N125" s="4">
        <v>4</v>
      </c>
      <c r="AA125" s="4">
        <v>1</v>
      </c>
      <c r="AB125" s="4">
        <v>4</v>
      </c>
      <c r="AC125" s="4">
        <v>1</v>
      </c>
      <c r="AD125" s="4">
        <v>4</v>
      </c>
      <c r="AK125" s="4">
        <f t="shared" si="5"/>
        <v>4</v>
      </c>
      <c r="AL125" s="4">
        <f t="shared" si="6"/>
        <v>16</v>
      </c>
      <c r="AM125" s="4">
        <f t="shared" si="7"/>
        <v>0</v>
      </c>
      <c r="AN125" s="4">
        <f t="shared" si="8"/>
        <v>0</v>
      </c>
      <c r="AO125" s="4">
        <f t="shared" si="9"/>
        <v>4</v>
      </c>
    </row>
    <row r="126" spans="1:41" x14ac:dyDescent="0.2">
      <c r="A126" s="4" t="s">
        <v>328</v>
      </c>
      <c r="B126" s="4" t="s">
        <v>908</v>
      </c>
      <c r="C126" s="4" t="s">
        <v>129</v>
      </c>
      <c r="D126" s="4" t="s">
        <v>315</v>
      </c>
      <c r="O126" s="4">
        <v>2</v>
      </c>
      <c r="P126" s="4">
        <v>8</v>
      </c>
      <c r="W126" s="4">
        <v>1</v>
      </c>
      <c r="X126" s="4">
        <v>4</v>
      </c>
      <c r="AA126" s="4">
        <v>1</v>
      </c>
      <c r="AB126" s="4">
        <v>4</v>
      </c>
      <c r="AE126" s="4">
        <v>1</v>
      </c>
      <c r="AF126" s="4">
        <v>4</v>
      </c>
      <c r="AG126" s="4">
        <v>1</v>
      </c>
      <c r="AH126" s="4">
        <v>4</v>
      </c>
      <c r="AK126" s="4">
        <f t="shared" si="5"/>
        <v>4</v>
      </c>
      <c r="AL126" s="4">
        <f t="shared" si="6"/>
        <v>16</v>
      </c>
      <c r="AM126" s="4">
        <f t="shared" si="7"/>
        <v>2</v>
      </c>
      <c r="AN126" s="4">
        <f t="shared" si="8"/>
        <v>8</v>
      </c>
      <c r="AO126" s="4">
        <f t="shared" si="9"/>
        <v>4.8</v>
      </c>
    </row>
    <row r="127" spans="1:41" x14ac:dyDescent="0.2">
      <c r="A127" s="4" t="s">
        <v>1246</v>
      </c>
      <c r="B127" s="4" t="s">
        <v>1247</v>
      </c>
      <c r="C127" s="4" t="s">
        <v>129</v>
      </c>
      <c r="D127" s="4" t="s">
        <v>315</v>
      </c>
      <c r="Y127" s="4">
        <v>1</v>
      </c>
      <c r="Z127" s="4">
        <v>4</v>
      </c>
      <c r="AA127" s="4">
        <v>1</v>
      </c>
      <c r="AB127" s="4">
        <v>4</v>
      </c>
      <c r="AC127" s="4">
        <v>1</v>
      </c>
      <c r="AD127" s="4">
        <v>4</v>
      </c>
      <c r="AK127" s="4">
        <f t="shared" si="5"/>
        <v>3</v>
      </c>
      <c r="AL127" s="4">
        <f t="shared" si="6"/>
        <v>12</v>
      </c>
      <c r="AM127" s="4">
        <f t="shared" si="7"/>
        <v>0</v>
      </c>
      <c r="AN127" s="4">
        <f t="shared" si="8"/>
        <v>0</v>
      </c>
      <c r="AO127" s="4">
        <f t="shared" si="9"/>
        <v>4</v>
      </c>
    </row>
    <row r="128" spans="1:41" x14ac:dyDescent="0.2">
      <c r="A128" s="4" t="s">
        <v>1248</v>
      </c>
      <c r="B128" s="4" t="s">
        <v>1249</v>
      </c>
      <c r="C128" s="4" t="s">
        <v>129</v>
      </c>
      <c r="D128" s="4" t="s">
        <v>315</v>
      </c>
      <c r="U128" s="4">
        <v>1</v>
      </c>
      <c r="V128" s="4">
        <v>25</v>
      </c>
      <c r="AK128" s="4">
        <f t="shared" si="5"/>
        <v>1</v>
      </c>
      <c r="AL128" s="4">
        <f t="shared" si="6"/>
        <v>25</v>
      </c>
      <c r="AM128" s="4">
        <f t="shared" si="7"/>
        <v>0</v>
      </c>
      <c r="AN128" s="4">
        <f t="shared" si="8"/>
        <v>0</v>
      </c>
      <c r="AO128" s="4">
        <f t="shared" si="9"/>
        <v>25</v>
      </c>
    </row>
    <row r="129" spans="1:41" x14ac:dyDescent="0.2">
      <c r="A129" s="4" t="s">
        <v>1250</v>
      </c>
      <c r="B129" s="4" t="s">
        <v>1251</v>
      </c>
      <c r="C129" s="4" t="s">
        <v>129</v>
      </c>
      <c r="D129" s="4" t="s">
        <v>315</v>
      </c>
      <c r="E129" s="4">
        <v>2</v>
      </c>
      <c r="F129" s="4">
        <v>36</v>
      </c>
      <c r="AK129" s="4">
        <f t="shared" si="5"/>
        <v>2</v>
      </c>
      <c r="AL129" s="4">
        <f t="shared" si="6"/>
        <v>36</v>
      </c>
      <c r="AM129" s="4">
        <f t="shared" si="7"/>
        <v>0</v>
      </c>
      <c r="AN129" s="4">
        <f t="shared" si="8"/>
        <v>0</v>
      </c>
      <c r="AO129" s="4">
        <f t="shared" si="9"/>
        <v>36</v>
      </c>
    </row>
    <row r="130" spans="1:41" x14ac:dyDescent="0.2">
      <c r="A130" s="4" t="s">
        <v>1252</v>
      </c>
      <c r="B130" s="4" t="s">
        <v>1253</v>
      </c>
      <c r="C130" s="4" t="s">
        <v>129</v>
      </c>
      <c r="D130" s="4" t="s">
        <v>315</v>
      </c>
      <c r="E130" s="4">
        <v>1</v>
      </c>
      <c r="F130" s="4">
        <v>26</v>
      </c>
      <c r="M130" s="4">
        <v>1</v>
      </c>
      <c r="N130" s="4">
        <v>26</v>
      </c>
      <c r="AK130" s="4">
        <f t="shared" si="5"/>
        <v>2</v>
      </c>
      <c r="AL130" s="4">
        <f t="shared" si="6"/>
        <v>52</v>
      </c>
      <c r="AM130" s="4">
        <f t="shared" si="7"/>
        <v>0</v>
      </c>
      <c r="AN130" s="4">
        <f t="shared" si="8"/>
        <v>0</v>
      </c>
      <c r="AO130" s="4">
        <f t="shared" si="9"/>
        <v>26</v>
      </c>
    </row>
    <row r="131" spans="1:41" x14ac:dyDescent="0.2">
      <c r="A131" s="4" t="s">
        <v>1254</v>
      </c>
      <c r="B131" s="4" t="s">
        <v>1255</v>
      </c>
      <c r="C131" s="4" t="s">
        <v>129</v>
      </c>
      <c r="D131" s="4" t="s">
        <v>315</v>
      </c>
      <c r="Q131" s="4">
        <v>1</v>
      </c>
      <c r="R131" s="4">
        <v>16</v>
      </c>
      <c r="AK131" s="4">
        <f t="shared" si="5"/>
        <v>1</v>
      </c>
      <c r="AL131" s="4">
        <f t="shared" si="6"/>
        <v>16</v>
      </c>
      <c r="AM131" s="4">
        <f t="shared" si="7"/>
        <v>0</v>
      </c>
      <c r="AN131" s="4">
        <f t="shared" si="8"/>
        <v>0</v>
      </c>
      <c r="AO131" s="4">
        <f t="shared" si="9"/>
        <v>16</v>
      </c>
    </row>
    <row r="132" spans="1:41" x14ac:dyDescent="0.2">
      <c r="A132" s="4" t="s">
        <v>1256</v>
      </c>
      <c r="B132" s="4" t="s">
        <v>1257</v>
      </c>
      <c r="C132" s="4" t="s">
        <v>129</v>
      </c>
      <c r="D132" s="4" t="s">
        <v>315</v>
      </c>
      <c r="E132" s="4">
        <v>1</v>
      </c>
      <c r="F132" s="4">
        <v>14</v>
      </c>
      <c r="M132" s="4">
        <v>1</v>
      </c>
      <c r="N132" s="4">
        <v>14</v>
      </c>
      <c r="AK132" s="4">
        <f t="shared" si="5"/>
        <v>2</v>
      </c>
      <c r="AL132" s="4">
        <f t="shared" si="6"/>
        <v>28</v>
      </c>
      <c r="AM132" s="4">
        <f t="shared" si="7"/>
        <v>0</v>
      </c>
      <c r="AN132" s="4">
        <f t="shared" si="8"/>
        <v>0</v>
      </c>
      <c r="AO132" s="4">
        <f t="shared" si="9"/>
        <v>14</v>
      </c>
    </row>
    <row r="133" spans="1:41" x14ac:dyDescent="0.2">
      <c r="A133" s="4" t="s">
        <v>1258</v>
      </c>
      <c r="B133" s="4" t="s">
        <v>1259</v>
      </c>
      <c r="C133" s="4" t="s">
        <v>129</v>
      </c>
      <c r="D133" s="4" t="s">
        <v>315</v>
      </c>
      <c r="W133" s="4">
        <v>1</v>
      </c>
      <c r="X133" s="4">
        <v>19</v>
      </c>
      <c r="AG133" s="4">
        <v>1</v>
      </c>
      <c r="AH133" s="4">
        <v>19</v>
      </c>
      <c r="AK133" s="4">
        <f t="shared" ref="AK133:AK196" si="10">SUM(E133,I133,M133,Q133,U133,W133,Y133,AA133,AC133,AE133,AG133,AI133)</f>
        <v>2</v>
      </c>
      <c r="AL133" s="4">
        <f t="shared" ref="AL133:AL196" si="11">SUM(F133,J133,N133,R133,V133,X133,Z133,AB133,AD133,AF133,AH133,AJ133)</f>
        <v>38</v>
      </c>
      <c r="AM133" s="4">
        <f t="shared" ref="AM133:AM196" si="12">SUM(G133,K133,O133,S133)</f>
        <v>0</v>
      </c>
      <c r="AN133" s="4">
        <f t="shared" ref="AN133:AN196" si="13">SUM(H133,L133,P133,T133)</f>
        <v>0</v>
      </c>
      <c r="AO133" s="4">
        <f t="shared" ref="AO133:AO196" si="14">AVERAGE(F133,H133,J133,L133,N133,P133,R133,T133,V133,X133,Z133,AB133,AD133,AF133,AH133,AJ133)</f>
        <v>19</v>
      </c>
    </row>
    <row r="134" spans="1:41" x14ac:dyDescent="0.2">
      <c r="A134" s="4" t="s">
        <v>909</v>
      </c>
      <c r="B134" s="4" t="s">
        <v>910</v>
      </c>
      <c r="C134" s="4" t="s">
        <v>129</v>
      </c>
      <c r="D134" s="4" t="s">
        <v>315</v>
      </c>
      <c r="E134" s="4">
        <v>2</v>
      </c>
      <c r="F134" s="4">
        <v>38</v>
      </c>
      <c r="G134" s="4">
        <v>1</v>
      </c>
      <c r="H134" s="4">
        <v>19</v>
      </c>
      <c r="I134" s="4">
        <v>2</v>
      </c>
      <c r="J134" s="4">
        <v>38</v>
      </c>
      <c r="M134" s="4">
        <v>1</v>
      </c>
      <c r="N134" s="4">
        <v>19</v>
      </c>
      <c r="AK134" s="4">
        <f t="shared" si="10"/>
        <v>5</v>
      </c>
      <c r="AL134" s="4">
        <f t="shared" si="11"/>
        <v>95</v>
      </c>
      <c r="AM134" s="4">
        <f t="shared" si="12"/>
        <v>1</v>
      </c>
      <c r="AN134" s="4">
        <f t="shared" si="13"/>
        <v>19</v>
      </c>
      <c r="AO134" s="4">
        <f t="shared" si="14"/>
        <v>28.5</v>
      </c>
    </row>
    <row r="135" spans="1:41" x14ac:dyDescent="0.2">
      <c r="A135" s="4" t="s">
        <v>1260</v>
      </c>
      <c r="B135" s="4" t="s">
        <v>1261</v>
      </c>
      <c r="C135" s="4" t="s">
        <v>129</v>
      </c>
      <c r="D135" s="4" t="s">
        <v>315</v>
      </c>
      <c r="E135" s="4">
        <v>1</v>
      </c>
      <c r="F135" s="4">
        <v>19</v>
      </c>
      <c r="AK135" s="4">
        <f t="shared" si="10"/>
        <v>1</v>
      </c>
      <c r="AL135" s="4">
        <f t="shared" si="11"/>
        <v>19</v>
      </c>
      <c r="AM135" s="4">
        <f t="shared" si="12"/>
        <v>0</v>
      </c>
      <c r="AN135" s="4">
        <f t="shared" si="13"/>
        <v>0</v>
      </c>
      <c r="AO135" s="4">
        <f t="shared" si="14"/>
        <v>19</v>
      </c>
    </row>
    <row r="136" spans="1:41" x14ac:dyDescent="0.2">
      <c r="A136" s="4" t="s">
        <v>1262</v>
      </c>
      <c r="B136" s="4" t="s">
        <v>1263</v>
      </c>
      <c r="C136" s="4" t="s">
        <v>129</v>
      </c>
      <c r="D136" s="4" t="s">
        <v>315</v>
      </c>
      <c r="I136" s="4">
        <v>1</v>
      </c>
      <c r="J136" s="4">
        <v>14</v>
      </c>
      <c r="AK136" s="4">
        <f t="shared" si="10"/>
        <v>1</v>
      </c>
      <c r="AL136" s="4">
        <f t="shared" si="11"/>
        <v>14</v>
      </c>
      <c r="AM136" s="4">
        <f t="shared" si="12"/>
        <v>0</v>
      </c>
      <c r="AN136" s="4">
        <f t="shared" si="13"/>
        <v>0</v>
      </c>
      <c r="AO136" s="4">
        <f t="shared" si="14"/>
        <v>14</v>
      </c>
    </row>
    <row r="137" spans="1:41" x14ac:dyDescent="0.2">
      <c r="A137" s="4" t="s">
        <v>1264</v>
      </c>
      <c r="B137" s="4" t="s">
        <v>1265</v>
      </c>
      <c r="C137" s="4" t="s">
        <v>129</v>
      </c>
      <c r="D137" s="4" t="s">
        <v>315</v>
      </c>
      <c r="E137" s="4">
        <v>2</v>
      </c>
      <c r="F137" s="4">
        <v>24</v>
      </c>
      <c r="I137" s="4">
        <v>2</v>
      </c>
      <c r="J137" s="4">
        <v>24</v>
      </c>
      <c r="U137" s="4">
        <v>1</v>
      </c>
      <c r="V137" s="4">
        <v>12</v>
      </c>
      <c r="W137" s="4">
        <v>1</v>
      </c>
      <c r="X137" s="4">
        <v>12</v>
      </c>
      <c r="AK137" s="4">
        <f t="shared" si="10"/>
        <v>6</v>
      </c>
      <c r="AL137" s="4">
        <f t="shared" si="11"/>
        <v>72</v>
      </c>
      <c r="AM137" s="4">
        <f t="shared" si="12"/>
        <v>0</v>
      </c>
      <c r="AN137" s="4">
        <f t="shared" si="13"/>
        <v>0</v>
      </c>
      <c r="AO137" s="4">
        <f t="shared" si="14"/>
        <v>18</v>
      </c>
    </row>
    <row r="138" spans="1:41" x14ac:dyDescent="0.2">
      <c r="A138" s="4" t="s">
        <v>1266</v>
      </c>
      <c r="B138" s="4" t="s">
        <v>1267</v>
      </c>
      <c r="C138" s="4" t="s">
        <v>129</v>
      </c>
      <c r="D138" s="4" t="s">
        <v>315</v>
      </c>
      <c r="E138" s="4">
        <v>1</v>
      </c>
      <c r="F138" s="4">
        <v>17</v>
      </c>
      <c r="M138" s="4">
        <v>1</v>
      </c>
      <c r="N138" s="4">
        <v>17</v>
      </c>
      <c r="Y138" s="4">
        <v>1</v>
      </c>
      <c r="Z138" s="4">
        <v>17</v>
      </c>
      <c r="AK138" s="4">
        <f t="shared" si="10"/>
        <v>3</v>
      </c>
      <c r="AL138" s="4">
        <f t="shared" si="11"/>
        <v>51</v>
      </c>
      <c r="AM138" s="4">
        <f t="shared" si="12"/>
        <v>0</v>
      </c>
      <c r="AN138" s="4">
        <f t="shared" si="13"/>
        <v>0</v>
      </c>
      <c r="AO138" s="4">
        <f t="shared" si="14"/>
        <v>17</v>
      </c>
    </row>
    <row r="139" spans="1:41" x14ac:dyDescent="0.2">
      <c r="A139" s="4" t="s">
        <v>336</v>
      </c>
      <c r="B139" s="4" t="s">
        <v>337</v>
      </c>
      <c r="C139" s="4" t="s">
        <v>129</v>
      </c>
      <c r="D139" s="4" t="s">
        <v>315</v>
      </c>
      <c r="S139" s="4">
        <v>1</v>
      </c>
      <c r="T139" s="4">
        <v>17</v>
      </c>
      <c r="AK139" s="4">
        <f t="shared" si="10"/>
        <v>0</v>
      </c>
      <c r="AL139" s="4">
        <f t="shared" si="11"/>
        <v>0</v>
      </c>
      <c r="AM139" s="4">
        <f t="shared" si="12"/>
        <v>1</v>
      </c>
      <c r="AN139" s="4">
        <f t="shared" si="13"/>
        <v>17</v>
      </c>
      <c r="AO139" s="4">
        <f t="shared" si="14"/>
        <v>17</v>
      </c>
    </row>
    <row r="140" spans="1:41" x14ac:dyDescent="0.2">
      <c r="A140" s="4" t="s">
        <v>1268</v>
      </c>
      <c r="B140" s="4" t="s">
        <v>1269</v>
      </c>
      <c r="C140" s="4" t="s">
        <v>129</v>
      </c>
      <c r="D140" s="4" t="s">
        <v>315</v>
      </c>
      <c r="I140" s="4">
        <v>2</v>
      </c>
      <c r="J140" s="4">
        <v>52</v>
      </c>
      <c r="Y140" s="4">
        <v>1</v>
      </c>
      <c r="Z140" s="4">
        <v>26</v>
      </c>
      <c r="AK140" s="4">
        <f t="shared" si="10"/>
        <v>3</v>
      </c>
      <c r="AL140" s="4">
        <f t="shared" si="11"/>
        <v>78</v>
      </c>
      <c r="AM140" s="4">
        <f t="shared" si="12"/>
        <v>0</v>
      </c>
      <c r="AN140" s="4">
        <f t="shared" si="13"/>
        <v>0</v>
      </c>
      <c r="AO140" s="4">
        <f t="shared" si="14"/>
        <v>39</v>
      </c>
    </row>
    <row r="141" spans="1:41" x14ac:dyDescent="0.2">
      <c r="A141" s="4" t="s">
        <v>338</v>
      </c>
      <c r="B141" s="4" t="s">
        <v>339</v>
      </c>
      <c r="C141" s="4" t="s">
        <v>129</v>
      </c>
      <c r="D141" s="4" t="s">
        <v>315</v>
      </c>
      <c r="AC141" s="4">
        <v>2</v>
      </c>
      <c r="AD141" s="4">
        <v>38</v>
      </c>
      <c r="AK141" s="4">
        <f t="shared" si="10"/>
        <v>2</v>
      </c>
      <c r="AL141" s="4">
        <f t="shared" si="11"/>
        <v>38</v>
      </c>
      <c r="AM141" s="4">
        <f t="shared" si="12"/>
        <v>0</v>
      </c>
      <c r="AN141" s="4">
        <f t="shared" si="13"/>
        <v>0</v>
      </c>
      <c r="AO141" s="4">
        <f t="shared" si="14"/>
        <v>38</v>
      </c>
    </row>
    <row r="142" spans="1:41" x14ac:dyDescent="0.2">
      <c r="A142" s="4" t="s">
        <v>340</v>
      </c>
      <c r="B142" s="4" t="s">
        <v>341</v>
      </c>
      <c r="C142" s="4" t="s">
        <v>129</v>
      </c>
      <c r="D142" s="4" t="s">
        <v>315</v>
      </c>
      <c r="M142" s="4">
        <v>1</v>
      </c>
      <c r="N142" s="4">
        <v>31</v>
      </c>
      <c r="O142" s="4">
        <v>1</v>
      </c>
      <c r="P142" s="4">
        <v>31</v>
      </c>
      <c r="S142" s="4">
        <v>1</v>
      </c>
      <c r="T142" s="4">
        <v>31</v>
      </c>
      <c r="AE142" s="4">
        <v>1</v>
      </c>
      <c r="AF142" s="4">
        <v>31</v>
      </c>
      <c r="AG142" s="4">
        <v>1</v>
      </c>
      <c r="AH142" s="4">
        <v>31</v>
      </c>
      <c r="AI142" s="4">
        <v>0</v>
      </c>
      <c r="AJ142" s="4">
        <v>0</v>
      </c>
      <c r="AK142" s="4">
        <f t="shared" si="10"/>
        <v>3</v>
      </c>
      <c r="AL142" s="4">
        <f t="shared" si="11"/>
        <v>93</v>
      </c>
      <c r="AM142" s="4">
        <f t="shared" si="12"/>
        <v>2</v>
      </c>
      <c r="AN142" s="4">
        <f t="shared" si="13"/>
        <v>62</v>
      </c>
      <c r="AO142" s="4">
        <f t="shared" si="14"/>
        <v>25.833333333333332</v>
      </c>
    </row>
    <row r="143" spans="1:41" x14ac:dyDescent="0.2">
      <c r="A143" s="4" t="s">
        <v>342</v>
      </c>
      <c r="B143" s="4" t="s">
        <v>343</v>
      </c>
      <c r="C143" s="4" t="s">
        <v>129</v>
      </c>
      <c r="D143" s="4" t="s">
        <v>315</v>
      </c>
      <c r="AG143" s="4">
        <v>1</v>
      </c>
      <c r="AH143" s="4">
        <v>31</v>
      </c>
      <c r="AK143" s="4">
        <f t="shared" si="10"/>
        <v>1</v>
      </c>
      <c r="AL143" s="4">
        <f t="shared" si="11"/>
        <v>31</v>
      </c>
      <c r="AM143" s="4">
        <f t="shared" si="12"/>
        <v>0</v>
      </c>
      <c r="AN143" s="4">
        <f t="shared" si="13"/>
        <v>0</v>
      </c>
      <c r="AO143" s="4">
        <f t="shared" si="14"/>
        <v>31</v>
      </c>
    </row>
    <row r="144" spans="1:41" x14ac:dyDescent="0.2">
      <c r="A144" s="4" t="s">
        <v>346</v>
      </c>
      <c r="B144" s="4" t="s">
        <v>347</v>
      </c>
      <c r="C144" s="4" t="s">
        <v>129</v>
      </c>
      <c r="D144" s="4" t="s">
        <v>315</v>
      </c>
      <c r="G144" s="4">
        <v>1</v>
      </c>
      <c r="H144" s="4">
        <v>28</v>
      </c>
      <c r="AK144" s="4">
        <f t="shared" si="10"/>
        <v>0</v>
      </c>
      <c r="AL144" s="4">
        <f t="shared" si="11"/>
        <v>0</v>
      </c>
      <c r="AM144" s="4">
        <f t="shared" si="12"/>
        <v>1</v>
      </c>
      <c r="AN144" s="4">
        <f t="shared" si="13"/>
        <v>28</v>
      </c>
      <c r="AO144" s="4">
        <f t="shared" si="14"/>
        <v>28</v>
      </c>
    </row>
    <row r="145" spans="1:41" x14ac:dyDescent="0.2">
      <c r="A145" s="4" t="s">
        <v>348</v>
      </c>
      <c r="B145" s="4" t="s">
        <v>349</v>
      </c>
      <c r="C145" s="4" t="s">
        <v>129</v>
      </c>
      <c r="D145" s="4" t="s">
        <v>315</v>
      </c>
      <c r="G145" s="4">
        <v>1</v>
      </c>
      <c r="H145" s="4">
        <v>28</v>
      </c>
      <c r="AC145" s="4">
        <v>0</v>
      </c>
      <c r="AD145" s="4">
        <v>0</v>
      </c>
      <c r="AK145" s="4">
        <f t="shared" si="10"/>
        <v>0</v>
      </c>
      <c r="AL145" s="4">
        <f t="shared" si="11"/>
        <v>0</v>
      </c>
      <c r="AM145" s="4">
        <f t="shared" si="12"/>
        <v>1</v>
      </c>
      <c r="AN145" s="4">
        <f t="shared" si="13"/>
        <v>28</v>
      </c>
      <c r="AO145" s="4">
        <f t="shared" si="14"/>
        <v>14</v>
      </c>
    </row>
    <row r="146" spans="1:41" x14ac:dyDescent="0.2">
      <c r="A146" s="4" t="s">
        <v>1270</v>
      </c>
      <c r="B146" s="4" t="s">
        <v>1271</v>
      </c>
      <c r="C146" s="4" t="s">
        <v>129</v>
      </c>
      <c r="D146" s="4" t="s">
        <v>315</v>
      </c>
      <c r="U146" s="4">
        <v>1</v>
      </c>
      <c r="V146" s="4">
        <v>32</v>
      </c>
      <c r="AE146" s="4">
        <v>1</v>
      </c>
      <c r="AF146" s="4">
        <v>32</v>
      </c>
      <c r="AK146" s="4">
        <f t="shared" si="10"/>
        <v>2</v>
      </c>
      <c r="AL146" s="4">
        <f t="shared" si="11"/>
        <v>64</v>
      </c>
      <c r="AM146" s="4">
        <f t="shared" si="12"/>
        <v>0</v>
      </c>
      <c r="AN146" s="4">
        <f t="shared" si="13"/>
        <v>0</v>
      </c>
      <c r="AO146" s="4">
        <f t="shared" si="14"/>
        <v>32</v>
      </c>
    </row>
    <row r="147" spans="1:41" x14ac:dyDescent="0.2">
      <c r="A147" s="4" t="s">
        <v>1272</v>
      </c>
      <c r="B147" s="4" t="s">
        <v>1273</v>
      </c>
      <c r="C147" s="4" t="s">
        <v>129</v>
      </c>
      <c r="D147" s="4" t="s">
        <v>315</v>
      </c>
      <c r="M147" s="4">
        <v>1</v>
      </c>
      <c r="N147" s="4">
        <v>33</v>
      </c>
      <c r="AK147" s="4">
        <f t="shared" si="10"/>
        <v>1</v>
      </c>
      <c r="AL147" s="4">
        <f t="shared" si="11"/>
        <v>33</v>
      </c>
      <c r="AM147" s="4">
        <f t="shared" si="12"/>
        <v>0</v>
      </c>
      <c r="AN147" s="4">
        <f t="shared" si="13"/>
        <v>0</v>
      </c>
      <c r="AO147" s="4">
        <f t="shared" si="14"/>
        <v>33</v>
      </c>
    </row>
    <row r="148" spans="1:41" x14ac:dyDescent="0.2">
      <c r="A148" s="4" t="s">
        <v>1274</v>
      </c>
      <c r="B148" s="4" t="s">
        <v>1275</v>
      </c>
      <c r="C148" s="4" t="s">
        <v>129</v>
      </c>
      <c r="D148" s="4" t="s">
        <v>315</v>
      </c>
      <c r="I148" s="4">
        <v>1</v>
      </c>
      <c r="J148" s="4">
        <v>29</v>
      </c>
      <c r="AK148" s="4">
        <f t="shared" si="10"/>
        <v>1</v>
      </c>
      <c r="AL148" s="4">
        <f t="shared" si="11"/>
        <v>29</v>
      </c>
      <c r="AM148" s="4">
        <f t="shared" si="12"/>
        <v>0</v>
      </c>
      <c r="AN148" s="4">
        <f t="shared" si="13"/>
        <v>0</v>
      </c>
      <c r="AO148" s="4">
        <f t="shared" si="14"/>
        <v>29</v>
      </c>
    </row>
    <row r="149" spans="1:41" x14ac:dyDescent="0.2">
      <c r="A149" s="4" t="s">
        <v>1276</v>
      </c>
      <c r="B149" s="4" t="s">
        <v>1277</v>
      </c>
      <c r="C149" s="4" t="s">
        <v>129</v>
      </c>
      <c r="D149" s="4" t="s">
        <v>315</v>
      </c>
      <c r="AE149" s="4">
        <v>1</v>
      </c>
      <c r="AF149" s="4">
        <v>31</v>
      </c>
      <c r="AK149" s="4">
        <f t="shared" si="10"/>
        <v>1</v>
      </c>
      <c r="AL149" s="4">
        <f t="shared" si="11"/>
        <v>31</v>
      </c>
      <c r="AM149" s="4">
        <f t="shared" si="12"/>
        <v>0</v>
      </c>
      <c r="AN149" s="4">
        <f t="shared" si="13"/>
        <v>0</v>
      </c>
      <c r="AO149" s="4">
        <f t="shared" si="14"/>
        <v>31</v>
      </c>
    </row>
    <row r="150" spans="1:41" x14ac:dyDescent="0.2">
      <c r="A150" s="4" t="s">
        <v>1278</v>
      </c>
      <c r="B150" s="4" t="s">
        <v>1279</v>
      </c>
      <c r="C150" s="4" t="s">
        <v>129</v>
      </c>
      <c r="D150" s="4" t="s">
        <v>315</v>
      </c>
      <c r="M150" s="4">
        <v>1</v>
      </c>
      <c r="N150" s="4">
        <v>8</v>
      </c>
      <c r="AK150" s="4">
        <f t="shared" si="10"/>
        <v>1</v>
      </c>
      <c r="AL150" s="4">
        <f t="shared" si="11"/>
        <v>8</v>
      </c>
      <c r="AM150" s="4">
        <f t="shared" si="12"/>
        <v>0</v>
      </c>
      <c r="AN150" s="4">
        <f t="shared" si="13"/>
        <v>0</v>
      </c>
      <c r="AO150" s="4">
        <f t="shared" si="14"/>
        <v>8</v>
      </c>
    </row>
    <row r="151" spans="1:41" x14ac:dyDescent="0.2">
      <c r="A151" s="4" t="s">
        <v>911</v>
      </c>
      <c r="B151" s="4" t="s">
        <v>912</v>
      </c>
      <c r="C151" s="4" t="s">
        <v>129</v>
      </c>
      <c r="D151" s="4" t="s">
        <v>315</v>
      </c>
      <c r="E151" s="4">
        <v>2</v>
      </c>
      <c r="F151" s="4">
        <v>16</v>
      </c>
      <c r="K151" s="4">
        <v>1</v>
      </c>
      <c r="L151" s="4">
        <v>8</v>
      </c>
      <c r="W151" s="4">
        <v>1</v>
      </c>
      <c r="X151" s="4">
        <v>8</v>
      </c>
      <c r="Y151" s="4">
        <v>1</v>
      </c>
      <c r="Z151" s="4">
        <v>8</v>
      </c>
      <c r="AA151" s="4">
        <v>1</v>
      </c>
      <c r="AB151" s="4">
        <v>8</v>
      </c>
      <c r="AK151" s="4">
        <f t="shared" si="10"/>
        <v>5</v>
      </c>
      <c r="AL151" s="4">
        <f t="shared" si="11"/>
        <v>40</v>
      </c>
      <c r="AM151" s="4">
        <f t="shared" si="12"/>
        <v>1</v>
      </c>
      <c r="AN151" s="4">
        <f t="shared" si="13"/>
        <v>8</v>
      </c>
      <c r="AO151" s="4">
        <f t="shared" si="14"/>
        <v>9.6</v>
      </c>
    </row>
    <row r="152" spans="1:41" x14ac:dyDescent="0.2">
      <c r="A152" s="4" t="s">
        <v>1280</v>
      </c>
      <c r="B152" s="4" t="s">
        <v>1281</v>
      </c>
      <c r="C152" s="4" t="s">
        <v>129</v>
      </c>
      <c r="D152" s="4" t="s">
        <v>315</v>
      </c>
      <c r="M152" s="4">
        <v>2</v>
      </c>
      <c r="N152" s="4">
        <v>110</v>
      </c>
      <c r="Y152" s="4">
        <v>1</v>
      </c>
      <c r="Z152" s="4">
        <v>55</v>
      </c>
      <c r="AK152" s="4">
        <f t="shared" si="10"/>
        <v>3</v>
      </c>
      <c r="AL152" s="4">
        <f t="shared" si="11"/>
        <v>165</v>
      </c>
      <c r="AM152" s="4">
        <f t="shared" si="12"/>
        <v>0</v>
      </c>
      <c r="AN152" s="4">
        <f t="shared" si="13"/>
        <v>0</v>
      </c>
      <c r="AO152" s="4">
        <f t="shared" si="14"/>
        <v>82.5</v>
      </c>
    </row>
    <row r="153" spans="1:41" x14ac:dyDescent="0.2">
      <c r="A153" s="4" t="s">
        <v>1282</v>
      </c>
      <c r="B153" s="4" t="s">
        <v>1283</v>
      </c>
      <c r="C153" s="4" t="s">
        <v>129</v>
      </c>
      <c r="D153" s="4" t="s">
        <v>315</v>
      </c>
      <c r="I153" s="4">
        <v>1</v>
      </c>
      <c r="J153" s="4">
        <v>38.5</v>
      </c>
      <c r="M153" s="4">
        <v>1</v>
      </c>
      <c r="N153" s="4">
        <v>55</v>
      </c>
      <c r="AA153" s="4">
        <v>1</v>
      </c>
      <c r="AB153" s="4">
        <v>55</v>
      </c>
      <c r="AK153" s="4">
        <f t="shared" si="10"/>
        <v>3</v>
      </c>
      <c r="AL153" s="4">
        <f t="shared" si="11"/>
        <v>148.5</v>
      </c>
      <c r="AM153" s="4">
        <f t="shared" si="12"/>
        <v>0</v>
      </c>
      <c r="AN153" s="4">
        <f t="shared" si="13"/>
        <v>0</v>
      </c>
      <c r="AO153" s="4">
        <f t="shared" si="14"/>
        <v>49.5</v>
      </c>
    </row>
    <row r="154" spans="1:41" x14ac:dyDescent="0.2">
      <c r="A154" s="4" t="s">
        <v>1284</v>
      </c>
      <c r="B154" s="4" t="s">
        <v>1285</v>
      </c>
      <c r="C154" s="4" t="s">
        <v>129</v>
      </c>
      <c r="D154" s="4" t="s">
        <v>315</v>
      </c>
      <c r="E154" s="4">
        <v>1</v>
      </c>
      <c r="F154" s="4">
        <v>13</v>
      </c>
      <c r="AK154" s="4">
        <f t="shared" si="10"/>
        <v>1</v>
      </c>
      <c r="AL154" s="4">
        <f t="shared" si="11"/>
        <v>13</v>
      </c>
      <c r="AM154" s="4">
        <f t="shared" si="12"/>
        <v>0</v>
      </c>
      <c r="AN154" s="4">
        <f t="shared" si="13"/>
        <v>0</v>
      </c>
      <c r="AO154" s="4">
        <f t="shared" si="14"/>
        <v>13</v>
      </c>
    </row>
    <row r="155" spans="1:41" x14ac:dyDescent="0.2">
      <c r="A155" s="4" t="s">
        <v>913</v>
      </c>
      <c r="B155" s="4" t="s">
        <v>914</v>
      </c>
      <c r="C155" s="4" t="s">
        <v>129</v>
      </c>
      <c r="D155" s="4" t="s">
        <v>315</v>
      </c>
      <c r="E155" s="4">
        <v>1</v>
      </c>
      <c r="F155" s="4">
        <v>11</v>
      </c>
      <c r="G155" s="4">
        <v>1</v>
      </c>
      <c r="H155" s="4">
        <v>11</v>
      </c>
      <c r="K155" s="4">
        <v>1</v>
      </c>
      <c r="L155" s="4">
        <v>11</v>
      </c>
      <c r="S155" s="4">
        <v>1</v>
      </c>
      <c r="T155" s="4">
        <v>11</v>
      </c>
      <c r="AK155" s="4">
        <f t="shared" si="10"/>
        <v>1</v>
      </c>
      <c r="AL155" s="4">
        <f t="shared" si="11"/>
        <v>11</v>
      </c>
      <c r="AM155" s="4">
        <f t="shared" si="12"/>
        <v>3</v>
      </c>
      <c r="AN155" s="4">
        <f t="shared" si="13"/>
        <v>33</v>
      </c>
      <c r="AO155" s="4">
        <f t="shared" si="14"/>
        <v>11</v>
      </c>
    </row>
    <row r="156" spans="1:41" x14ac:dyDescent="0.2">
      <c r="A156" s="4" t="s">
        <v>1286</v>
      </c>
      <c r="B156" s="4" t="s">
        <v>1287</v>
      </c>
      <c r="C156" s="4" t="s">
        <v>129</v>
      </c>
      <c r="D156" s="4" t="s">
        <v>315</v>
      </c>
      <c r="U156" s="4">
        <v>1</v>
      </c>
      <c r="V156" s="4">
        <v>11</v>
      </c>
      <c r="AK156" s="4">
        <f t="shared" si="10"/>
        <v>1</v>
      </c>
      <c r="AL156" s="4">
        <f t="shared" si="11"/>
        <v>11</v>
      </c>
      <c r="AM156" s="4">
        <f t="shared" si="12"/>
        <v>0</v>
      </c>
      <c r="AN156" s="4">
        <f t="shared" si="13"/>
        <v>0</v>
      </c>
      <c r="AO156" s="4">
        <f t="shared" si="14"/>
        <v>11</v>
      </c>
    </row>
    <row r="157" spans="1:41" x14ac:dyDescent="0.2">
      <c r="A157" s="4" t="s">
        <v>1288</v>
      </c>
      <c r="B157" s="4" t="s">
        <v>1289</v>
      </c>
      <c r="C157" s="4" t="s">
        <v>129</v>
      </c>
      <c r="D157" s="4" t="s">
        <v>315</v>
      </c>
      <c r="I157" s="4">
        <v>1</v>
      </c>
      <c r="J157" s="4">
        <v>11</v>
      </c>
      <c r="AK157" s="4">
        <f t="shared" si="10"/>
        <v>1</v>
      </c>
      <c r="AL157" s="4">
        <f t="shared" si="11"/>
        <v>11</v>
      </c>
      <c r="AM157" s="4">
        <f t="shared" si="12"/>
        <v>0</v>
      </c>
      <c r="AN157" s="4">
        <f t="shared" si="13"/>
        <v>0</v>
      </c>
      <c r="AO157" s="4">
        <f t="shared" si="14"/>
        <v>11</v>
      </c>
    </row>
    <row r="158" spans="1:41" x14ac:dyDescent="0.2">
      <c r="A158" s="4" t="s">
        <v>1290</v>
      </c>
      <c r="B158" s="4" t="s">
        <v>1291</v>
      </c>
      <c r="C158" s="4" t="s">
        <v>129</v>
      </c>
      <c r="D158" s="4" t="s">
        <v>315</v>
      </c>
      <c r="Q158" s="4">
        <v>1</v>
      </c>
      <c r="R158" s="4">
        <v>11</v>
      </c>
      <c r="AK158" s="4">
        <f t="shared" si="10"/>
        <v>1</v>
      </c>
      <c r="AL158" s="4">
        <f t="shared" si="11"/>
        <v>11</v>
      </c>
      <c r="AM158" s="4">
        <f t="shared" si="12"/>
        <v>0</v>
      </c>
      <c r="AN158" s="4">
        <f t="shared" si="13"/>
        <v>0</v>
      </c>
      <c r="AO158" s="4">
        <f t="shared" si="14"/>
        <v>11</v>
      </c>
    </row>
    <row r="159" spans="1:41" x14ac:dyDescent="0.2">
      <c r="A159" s="4" t="s">
        <v>1292</v>
      </c>
      <c r="B159" s="4" t="s">
        <v>1293</v>
      </c>
      <c r="C159" s="4" t="s">
        <v>129</v>
      </c>
      <c r="D159" s="4" t="s">
        <v>315</v>
      </c>
      <c r="W159" s="4">
        <v>2</v>
      </c>
      <c r="X159" s="4">
        <v>22</v>
      </c>
      <c r="AK159" s="4">
        <f t="shared" si="10"/>
        <v>2</v>
      </c>
      <c r="AL159" s="4">
        <f t="shared" si="11"/>
        <v>22</v>
      </c>
      <c r="AM159" s="4">
        <f t="shared" si="12"/>
        <v>0</v>
      </c>
      <c r="AN159" s="4">
        <f t="shared" si="13"/>
        <v>0</v>
      </c>
      <c r="AO159" s="4">
        <f t="shared" si="14"/>
        <v>22</v>
      </c>
    </row>
    <row r="160" spans="1:41" x14ac:dyDescent="0.2">
      <c r="A160" s="4" t="s">
        <v>1294</v>
      </c>
      <c r="B160" s="4" t="s">
        <v>1295</v>
      </c>
      <c r="C160" s="4" t="s">
        <v>129</v>
      </c>
      <c r="D160" s="4" t="s">
        <v>315</v>
      </c>
      <c r="W160" s="4">
        <v>1</v>
      </c>
      <c r="X160" s="4">
        <v>11</v>
      </c>
      <c r="AK160" s="4">
        <f t="shared" si="10"/>
        <v>1</v>
      </c>
      <c r="AL160" s="4">
        <f t="shared" si="11"/>
        <v>11</v>
      </c>
      <c r="AM160" s="4">
        <f t="shared" si="12"/>
        <v>0</v>
      </c>
      <c r="AN160" s="4">
        <f t="shared" si="13"/>
        <v>0</v>
      </c>
      <c r="AO160" s="4">
        <f t="shared" si="14"/>
        <v>11</v>
      </c>
    </row>
    <row r="161" spans="1:41" x14ac:dyDescent="0.2">
      <c r="A161" s="4" t="s">
        <v>350</v>
      </c>
      <c r="B161" s="4" t="s">
        <v>351</v>
      </c>
      <c r="C161" s="4" t="s">
        <v>129</v>
      </c>
      <c r="D161" s="4" t="s">
        <v>315</v>
      </c>
      <c r="M161" s="4">
        <v>1</v>
      </c>
      <c r="N161" s="4">
        <v>11</v>
      </c>
      <c r="U161" s="4">
        <v>1</v>
      </c>
      <c r="V161" s="4">
        <v>11</v>
      </c>
      <c r="AA161" s="4">
        <v>1</v>
      </c>
      <c r="AB161" s="4">
        <v>11</v>
      </c>
      <c r="AK161" s="4">
        <f t="shared" si="10"/>
        <v>3</v>
      </c>
      <c r="AL161" s="4">
        <f t="shared" si="11"/>
        <v>33</v>
      </c>
      <c r="AM161" s="4">
        <f t="shared" si="12"/>
        <v>0</v>
      </c>
      <c r="AN161" s="4">
        <f t="shared" si="13"/>
        <v>0</v>
      </c>
      <c r="AO161" s="4">
        <f t="shared" si="14"/>
        <v>11</v>
      </c>
    </row>
    <row r="162" spans="1:41" x14ac:dyDescent="0.2">
      <c r="A162" s="4" t="s">
        <v>1296</v>
      </c>
      <c r="B162" s="4" t="s">
        <v>1297</v>
      </c>
      <c r="C162" s="4" t="s">
        <v>129</v>
      </c>
      <c r="D162" s="4" t="s">
        <v>315</v>
      </c>
      <c r="E162" s="4">
        <v>1</v>
      </c>
      <c r="F162" s="4">
        <v>11</v>
      </c>
      <c r="U162" s="4">
        <v>1</v>
      </c>
      <c r="V162" s="4">
        <v>11</v>
      </c>
      <c r="AG162" s="4">
        <v>1</v>
      </c>
      <c r="AH162" s="4">
        <v>11</v>
      </c>
      <c r="AK162" s="4">
        <f t="shared" si="10"/>
        <v>3</v>
      </c>
      <c r="AL162" s="4">
        <f t="shared" si="11"/>
        <v>33</v>
      </c>
      <c r="AM162" s="4">
        <f t="shared" si="12"/>
        <v>0</v>
      </c>
      <c r="AN162" s="4">
        <f t="shared" si="13"/>
        <v>0</v>
      </c>
      <c r="AO162" s="4">
        <f t="shared" si="14"/>
        <v>11</v>
      </c>
    </row>
    <row r="163" spans="1:41" x14ac:dyDescent="0.2">
      <c r="A163" s="4" t="s">
        <v>1298</v>
      </c>
      <c r="B163" s="4" t="s">
        <v>1299</v>
      </c>
      <c r="C163" s="4" t="s">
        <v>129</v>
      </c>
      <c r="D163" s="4" t="s">
        <v>315</v>
      </c>
      <c r="U163" s="4">
        <v>2</v>
      </c>
      <c r="V163" s="4">
        <v>22</v>
      </c>
      <c r="AK163" s="4">
        <f t="shared" si="10"/>
        <v>2</v>
      </c>
      <c r="AL163" s="4">
        <f t="shared" si="11"/>
        <v>22</v>
      </c>
      <c r="AM163" s="4">
        <f t="shared" si="12"/>
        <v>0</v>
      </c>
      <c r="AN163" s="4">
        <f t="shared" si="13"/>
        <v>0</v>
      </c>
      <c r="AO163" s="4">
        <f t="shared" si="14"/>
        <v>22</v>
      </c>
    </row>
    <row r="164" spans="1:41" x14ac:dyDescent="0.2">
      <c r="A164" s="4" t="s">
        <v>1300</v>
      </c>
      <c r="B164" s="4" t="s">
        <v>1301</v>
      </c>
      <c r="C164" s="4" t="s">
        <v>129</v>
      </c>
      <c r="D164" s="4" t="s">
        <v>925</v>
      </c>
      <c r="Q164" s="4">
        <v>1</v>
      </c>
      <c r="R164" s="4">
        <v>16</v>
      </c>
      <c r="Y164" s="4">
        <v>1</v>
      </c>
      <c r="Z164" s="4">
        <v>16</v>
      </c>
      <c r="AA164" s="4">
        <v>1</v>
      </c>
      <c r="AB164" s="4">
        <v>16</v>
      </c>
      <c r="AC164" s="4">
        <v>1</v>
      </c>
      <c r="AD164" s="4">
        <v>16</v>
      </c>
      <c r="AK164" s="4">
        <f t="shared" si="10"/>
        <v>4</v>
      </c>
      <c r="AL164" s="4">
        <f t="shared" si="11"/>
        <v>64</v>
      </c>
      <c r="AM164" s="4">
        <f t="shared" si="12"/>
        <v>0</v>
      </c>
      <c r="AN164" s="4">
        <f t="shared" si="13"/>
        <v>0</v>
      </c>
      <c r="AO164" s="4">
        <f t="shared" si="14"/>
        <v>16</v>
      </c>
    </row>
    <row r="165" spans="1:41" x14ac:dyDescent="0.2">
      <c r="A165" s="4" t="s">
        <v>1302</v>
      </c>
      <c r="B165" s="4" t="s">
        <v>1303</v>
      </c>
      <c r="C165" s="4" t="s">
        <v>129</v>
      </c>
      <c r="D165" s="4" t="s">
        <v>925</v>
      </c>
      <c r="M165" s="4">
        <v>1</v>
      </c>
      <c r="N165" s="4">
        <v>16</v>
      </c>
      <c r="AK165" s="4">
        <f t="shared" si="10"/>
        <v>1</v>
      </c>
      <c r="AL165" s="4">
        <f t="shared" si="11"/>
        <v>16</v>
      </c>
      <c r="AM165" s="4">
        <f t="shared" si="12"/>
        <v>0</v>
      </c>
      <c r="AN165" s="4">
        <f t="shared" si="13"/>
        <v>0</v>
      </c>
      <c r="AO165" s="4">
        <f t="shared" si="14"/>
        <v>16</v>
      </c>
    </row>
    <row r="166" spans="1:41" x14ac:dyDescent="0.2">
      <c r="A166" s="4" t="s">
        <v>1304</v>
      </c>
      <c r="B166" s="4" t="s">
        <v>1305</v>
      </c>
      <c r="C166" s="4" t="s">
        <v>129</v>
      </c>
      <c r="D166" s="4" t="s">
        <v>925</v>
      </c>
      <c r="I166" s="4">
        <v>1</v>
      </c>
      <c r="J166" s="4">
        <v>16</v>
      </c>
      <c r="M166" s="4">
        <v>3</v>
      </c>
      <c r="N166" s="4">
        <v>48</v>
      </c>
      <c r="AK166" s="4">
        <f t="shared" si="10"/>
        <v>4</v>
      </c>
      <c r="AL166" s="4">
        <f t="shared" si="11"/>
        <v>64</v>
      </c>
      <c r="AM166" s="4">
        <f t="shared" si="12"/>
        <v>0</v>
      </c>
      <c r="AN166" s="4">
        <f t="shared" si="13"/>
        <v>0</v>
      </c>
      <c r="AO166" s="4">
        <f t="shared" si="14"/>
        <v>32</v>
      </c>
    </row>
    <row r="167" spans="1:41" x14ac:dyDescent="0.2">
      <c r="A167" s="4" t="s">
        <v>1306</v>
      </c>
      <c r="B167" s="4" t="s">
        <v>1307</v>
      </c>
      <c r="C167" s="4" t="s">
        <v>129</v>
      </c>
      <c r="D167" s="4" t="s">
        <v>925</v>
      </c>
      <c r="E167" s="4">
        <v>3</v>
      </c>
      <c r="F167" s="4">
        <v>48</v>
      </c>
      <c r="U167" s="4">
        <v>1</v>
      </c>
      <c r="V167" s="4">
        <v>16</v>
      </c>
      <c r="AK167" s="4">
        <f t="shared" si="10"/>
        <v>4</v>
      </c>
      <c r="AL167" s="4">
        <f t="shared" si="11"/>
        <v>64</v>
      </c>
      <c r="AM167" s="4">
        <f t="shared" si="12"/>
        <v>0</v>
      </c>
      <c r="AN167" s="4">
        <f t="shared" si="13"/>
        <v>0</v>
      </c>
      <c r="AO167" s="4">
        <f t="shared" si="14"/>
        <v>32</v>
      </c>
    </row>
    <row r="168" spans="1:41" x14ac:dyDescent="0.2">
      <c r="A168" s="4" t="s">
        <v>1308</v>
      </c>
      <c r="B168" s="4" t="s">
        <v>1309</v>
      </c>
      <c r="C168" s="4" t="s">
        <v>129</v>
      </c>
      <c r="D168" s="4" t="s">
        <v>925</v>
      </c>
      <c r="E168" s="4">
        <v>7</v>
      </c>
      <c r="F168" s="4">
        <v>77</v>
      </c>
      <c r="I168" s="4">
        <v>8</v>
      </c>
      <c r="J168" s="4">
        <v>88</v>
      </c>
      <c r="M168" s="4">
        <v>1</v>
      </c>
      <c r="N168" s="4">
        <v>11</v>
      </c>
      <c r="Q168" s="4">
        <v>5</v>
      </c>
      <c r="R168" s="4">
        <v>55</v>
      </c>
      <c r="U168" s="4">
        <v>1</v>
      </c>
      <c r="V168" s="4">
        <v>11</v>
      </c>
      <c r="AK168" s="4">
        <f t="shared" si="10"/>
        <v>22</v>
      </c>
      <c r="AL168" s="4">
        <f t="shared" si="11"/>
        <v>242</v>
      </c>
      <c r="AM168" s="4">
        <f t="shared" si="12"/>
        <v>0</v>
      </c>
      <c r="AN168" s="4">
        <f t="shared" si="13"/>
        <v>0</v>
      </c>
      <c r="AO168" s="4">
        <f t="shared" si="14"/>
        <v>48.4</v>
      </c>
    </row>
    <row r="169" spans="1:41" x14ac:dyDescent="0.2">
      <c r="A169" s="4" t="s">
        <v>1310</v>
      </c>
      <c r="B169" s="4" t="s">
        <v>1311</v>
      </c>
      <c r="C169" s="4" t="s">
        <v>129</v>
      </c>
      <c r="D169" s="4" t="s">
        <v>925</v>
      </c>
      <c r="E169" s="4">
        <v>1</v>
      </c>
      <c r="F169" s="4">
        <v>11</v>
      </c>
      <c r="AK169" s="4">
        <f t="shared" si="10"/>
        <v>1</v>
      </c>
      <c r="AL169" s="4">
        <f t="shared" si="11"/>
        <v>11</v>
      </c>
      <c r="AM169" s="4">
        <f t="shared" si="12"/>
        <v>0</v>
      </c>
      <c r="AN169" s="4">
        <f t="shared" si="13"/>
        <v>0</v>
      </c>
      <c r="AO169" s="4">
        <f t="shared" si="14"/>
        <v>11</v>
      </c>
    </row>
    <row r="170" spans="1:41" x14ac:dyDescent="0.2">
      <c r="A170" s="4" t="s">
        <v>1312</v>
      </c>
      <c r="B170" s="4" t="s">
        <v>1313</v>
      </c>
      <c r="C170" s="4" t="s">
        <v>129</v>
      </c>
      <c r="D170" s="4" t="s">
        <v>925</v>
      </c>
      <c r="E170" s="4">
        <v>8</v>
      </c>
      <c r="F170" s="4">
        <v>88</v>
      </c>
      <c r="I170" s="4">
        <v>5</v>
      </c>
      <c r="J170" s="4">
        <v>55</v>
      </c>
      <c r="U170" s="4">
        <v>7</v>
      </c>
      <c r="V170" s="4">
        <v>77</v>
      </c>
      <c r="W170" s="4">
        <v>2</v>
      </c>
      <c r="X170" s="4">
        <v>22</v>
      </c>
      <c r="AK170" s="4">
        <f t="shared" si="10"/>
        <v>22</v>
      </c>
      <c r="AL170" s="4">
        <f t="shared" si="11"/>
        <v>242</v>
      </c>
      <c r="AM170" s="4">
        <f t="shared" si="12"/>
        <v>0</v>
      </c>
      <c r="AN170" s="4">
        <f t="shared" si="13"/>
        <v>0</v>
      </c>
      <c r="AO170" s="4">
        <f t="shared" si="14"/>
        <v>60.5</v>
      </c>
    </row>
    <row r="171" spans="1:41" x14ac:dyDescent="0.2">
      <c r="A171" s="4" t="s">
        <v>1314</v>
      </c>
      <c r="B171" s="4" t="s">
        <v>1315</v>
      </c>
      <c r="C171" s="4" t="s">
        <v>129</v>
      </c>
      <c r="D171" s="4" t="s">
        <v>925</v>
      </c>
      <c r="U171" s="4">
        <v>4</v>
      </c>
      <c r="V171" s="4">
        <v>44</v>
      </c>
      <c r="AK171" s="4">
        <f t="shared" si="10"/>
        <v>4</v>
      </c>
      <c r="AL171" s="4">
        <f t="shared" si="11"/>
        <v>44</v>
      </c>
      <c r="AM171" s="4">
        <f t="shared" si="12"/>
        <v>0</v>
      </c>
      <c r="AN171" s="4">
        <f t="shared" si="13"/>
        <v>0</v>
      </c>
      <c r="AO171" s="4">
        <f t="shared" si="14"/>
        <v>44</v>
      </c>
    </row>
    <row r="172" spans="1:41" x14ac:dyDescent="0.2">
      <c r="A172" s="4" t="s">
        <v>1316</v>
      </c>
      <c r="B172" s="4" t="s">
        <v>1317</v>
      </c>
      <c r="C172" s="4" t="s">
        <v>129</v>
      </c>
      <c r="D172" s="4" t="s">
        <v>925</v>
      </c>
      <c r="I172" s="4">
        <v>1</v>
      </c>
      <c r="J172" s="4">
        <v>11</v>
      </c>
      <c r="AK172" s="4">
        <f t="shared" si="10"/>
        <v>1</v>
      </c>
      <c r="AL172" s="4">
        <f t="shared" si="11"/>
        <v>11</v>
      </c>
      <c r="AM172" s="4">
        <f t="shared" si="12"/>
        <v>0</v>
      </c>
      <c r="AN172" s="4">
        <f t="shared" si="13"/>
        <v>0</v>
      </c>
      <c r="AO172" s="4">
        <f t="shared" si="14"/>
        <v>11</v>
      </c>
    </row>
    <row r="173" spans="1:41" x14ac:dyDescent="0.2">
      <c r="A173" s="4" t="s">
        <v>1318</v>
      </c>
      <c r="B173" s="4" t="s">
        <v>1319</v>
      </c>
      <c r="C173" s="4" t="s">
        <v>129</v>
      </c>
      <c r="D173" s="4" t="s">
        <v>925</v>
      </c>
      <c r="E173" s="4">
        <v>1</v>
      </c>
      <c r="F173" s="4">
        <v>11</v>
      </c>
      <c r="W173" s="4">
        <v>3</v>
      </c>
      <c r="X173" s="4">
        <v>33</v>
      </c>
      <c r="AK173" s="4">
        <f t="shared" si="10"/>
        <v>4</v>
      </c>
      <c r="AL173" s="4">
        <f t="shared" si="11"/>
        <v>44</v>
      </c>
      <c r="AM173" s="4">
        <f t="shared" si="12"/>
        <v>0</v>
      </c>
      <c r="AN173" s="4">
        <f t="shared" si="13"/>
        <v>0</v>
      </c>
      <c r="AO173" s="4">
        <f t="shared" si="14"/>
        <v>22</v>
      </c>
    </row>
    <row r="174" spans="1:41" x14ac:dyDescent="0.2">
      <c r="A174" s="4" t="s">
        <v>1320</v>
      </c>
      <c r="B174" s="4" t="s">
        <v>1321</v>
      </c>
      <c r="C174" s="4" t="s">
        <v>129</v>
      </c>
      <c r="D174" s="4" t="s">
        <v>925</v>
      </c>
      <c r="E174" s="4">
        <v>1</v>
      </c>
      <c r="F174" s="4">
        <v>16</v>
      </c>
      <c r="I174" s="4">
        <v>1</v>
      </c>
      <c r="J174" s="4">
        <v>16</v>
      </c>
      <c r="M174" s="4">
        <v>1</v>
      </c>
      <c r="N174" s="4">
        <v>16</v>
      </c>
      <c r="Q174" s="4">
        <v>2</v>
      </c>
      <c r="R174" s="4">
        <v>32</v>
      </c>
      <c r="W174" s="4">
        <v>1</v>
      </c>
      <c r="X174" s="4">
        <v>16</v>
      </c>
      <c r="Y174" s="4">
        <v>1</v>
      </c>
      <c r="Z174" s="4">
        <v>16</v>
      </c>
      <c r="AC174" s="4">
        <v>2</v>
      </c>
      <c r="AD174" s="4">
        <v>32</v>
      </c>
      <c r="AG174" s="4">
        <v>3</v>
      </c>
      <c r="AH174" s="4">
        <v>48</v>
      </c>
      <c r="AI174" s="4">
        <v>2</v>
      </c>
      <c r="AJ174" s="4">
        <v>32</v>
      </c>
      <c r="AK174" s="4">
        <f t="shared" si="10"/>
        <v>14</v>
      </c>
      <c r="AL174" s="4">
        <f t="shared" si="11"/>
        <v>224</v>
      </c>
      <c r="AM174" s="4">
        <f t="shared" si="12"/>
        <v>0</v>
      </c>
      <c r="AN174" s="4">
        <f t="shared" si="13"/>
        <v>0</v>
      </c>
      <c r="AO174" s="4">
        <f t="shared" si="14"/>
        <v>24.888888888888889</v>
      </c>
    </row>
    <row r="175" spans="1:41" x14ac:dyDescent="0.2">
      <c r="A175" s="4" t="s">
        <v>1322</v>
      </c>
      <c r="B175" s="4" t="s">
        <v>1323</v>
      </c>
      <c r="C175" s="4" t="s">
        <v>129</v>
      </c>
      <c r="D175" s="4" t="s">
        <v>925</v>
      </c>
      <c r="AA175" s="4">
        <v>1</v>
      </c>
      <c r="AB175" s="4">
        <v>16</v>
      </c>
      <c r="AC175" s="4">
        <v>1</v>
      </c>
      <c r="AD175" s="4">
        <v>16</v>
      </c>
      <c r="AI175" s="4">
        <v>1</v>
      </c>
      <c r="AJ175" s="4">
        <v>16</v>
      </c>
      <c r="AK175" s="4">
        <f t="shared" si="10"/>
        <v>3</v>
      </c>
      <c r="AL175" s="4">
        <f t="shared" si="11"/>
        <v>48</v>
      </c>
      <c r="AM175" s="4">
        <f t="shared" si="12"/>
        <v>0</v>
      </c>
      <c r="AN175" s="4">
        <f t="shared" si="13"/>
        <v>0</v>
      </c>
      <c r="AO175" s="4">
        <f t="shared" si="14"/>
        <v>16</v>
      </c>
    </row>
    <row r="176" spans="1:41" x14ac:dyDescent="0.2">
      <c r="A176" s="4" t="s">
        <v>1324</v>
      </c>
      <c r="B176" s="4" t="s">
        <v>1325</v>
      </c>
      <c r="C176" s="4" t="s">
        <v>129</v>
      </c>
      <c r="D176" s="4" t="s">
        <v>925</v>
      </c>
      <c r="E176" s="4">
        <v>2</v>
      </c>
      <c r="F176" s="4">
        <v>32</v>
      </c>
      <c r="I176" s="4">
        <v>2</v>
      </c>
      <c r="J176" s="4">
        <v>32</v>
      </c>
      <c r="M176" s="4">
        <v>3</v>
      </c>
      <c r="N176" s="4">
        <v>48</v>
      </c>
      <c r="AK176" s="4">
        <f t="shared" si="10"/>
        <v>7</v>
      </c>
      <c r="AL176" s="4">
        <f t="shared" si="11"/>
        <v>112</v>
      </c>
      <c r="AM176" s="4">
        <f t="shared" si="12"/>
        <v>0</v>
      </c>
      <c r="AN176" s="4">
        <f t="shared" si="13"/>
        <v>0</v>
      </c>
      <c r="AO176" s="4">
        <f t="shared" si="14"/>
        <v>37.333333333333336</v>
      </c>
    </row>
    <row r="177" spans="1:41" x14ac:dyDescent="0.2">
      <c r="A177" s="4" t="s">
        <v>1326</v>
      </c>
      <c r="B177" s="4" t="s">
        <v>1327</v>
      </c>
      <c r="C177" s="4" t="s">
        <v>129</v>
      </c>
      <c r="D177" s="4" t="s">
        <v>925</v>
      </c>
      <c r="E177" s="4">
        <v>5</v>
      </c>
      <c r="F177" s="4">
        <v>75.2</v>
      </c>
      <c r="I177" s="4">
        <v>1</v>
      </c>
      <c r="J177" s="4">
        <v>16</v>
      </c>
      <c r="M177" s="4">
        <v>3</v>
      </c>
      <c r="N177" s="4">
        <v>48</v>
      </c>
      <c r="Q177" s="4">
        <v>2</v>
      </c>
      <c r="R177" s="4">
        <v>32</v>
      </c>
      <c r="U177" s="4">
        <v>3</v>
      </c>
      <c r="V177" s="4">
        <v>48</v>
      </c>
      <c r="W177" s="4">
        <v>1</v>
      </c>
      <c r="X177" s="4">
        <v>16</v>
      </c>
      <c r="AK177" s="4">
        <f t="shared" si="10"/>
        <v>15</v>
      </c>
      <c r="AL177" s="4">
        <f t="shared" si="11"/>
        <v>235.2</v>
      </c>
      <c r="AM177" s="4">
        <f t="shared" si="12"/>
        <v>0</v>
      </c>
      <c r="AN177" s="4">
        <f t="shared" si="13"/>
        <v>0</v>
      </c>
      <c r="AO177" s="4">
        <f t="shared" si="14"/>
        <v>39.199999999999996</v>
      </c>
    </row>
    <row r="178" spans="1:41" x14ac:dyDescent="0.2">
      <c r="A178" s="4" t="s">
        <v>1328</v>
      </c>
      <c r="B178" s="4" t="s">
        <v>1329</v>
      </c>
      <c r="C178" s="4" t="s">
        <v>129</v>
      </c>
      <c r="D178" s="4" t="s">
        <v>925</v>
      </c>
      <c r="M178" s="4">
        <v>1</v>
      </c>
      <c r="N178" s="4">
        <v>16</v>
      </c>
      <c r="Q178" s="4">
        <v>1</v>
      </c>
      <c r="R178" s="4">
        <v>16</v>
      </c>
      <c r="W178" s="4">
        <v>1</v>
      </c>
      <c r="X178" s="4">
        <v>16</v>
      </c>
      <c r="Y178" s="4">
        <v>1</v>
      </c>
      <c r="Z178" s="4">
        <v>16</v>
      </c>
      <c r="AK178" s="4">
        <f t="shared" si="10"/>
        <v>4</v>
      </c>
      <c r="AL178" s="4">
        <f t="shared" si="11"/>
        <v>64</v>
      </c>
      <c r="AM178" s="4">
        <f t="shared" si="12"/>
        <v>0</v>
      </c>
      <c r="AN178" s="4">
        <f t="shared" si="13"/>
        <v>0</v>
      </c>
      <c r="AO178" s="4">
        <f t="shared" si="14"/>
        <v>16</v>
      </c>
    </row>
    <row r="179" spans="1:41" x14ac:dyDescent="0.2">
      <c r="A179" s="4" t="s">
        <v>1330</v>
      </c>
      <c r="B179" s="4" t="s">
        <v>1331</v>
      </c>
      <c r="C179" s="4" t="s">
        <v>129</v>
      </c>
      <c r="D179" s="4" t="s">
        <v>925</v>
      </c>
      <c r="E179" s="4">
        <v>7</v>
      </c>
      <c r="F179" s="4">
        <v>77</v>
      </c>
      <c r="M179" s="4">
        <v>2</v>
      </c>
      <c r="N179" s="4">
        <v>22</v>
      </c>
      <c r="AK179" s="4">
        <f t="shared" si="10"/>
        <v>9</v>
      </c>
      <c r="AL179" s="4">
        <f t="shared" si="11"/>
        <v>99</v>
      </c>
      <c r="AM179" s="4">
        <f t="shared" si="12"/>
        <v>0</v>
      </c>
      <c r="AN179" s="4">
        <f t="shared" si="13"/>
        <v>0</v>
      </c>
      <c r="AO179" s="4">
        <f t="shared" si="14"/>
        <v>49.5</v>
      </c>
    </row>
    <row r="180" spans="1:41" x14ac:dyDescent="0.2">
      <c r="A180" s="4" t="s">
        <v>1332</v>
      </c>
      <c r="B180" s="4" t="s">
        <v>1333</v>
      </c>
      <c r="C180" s="4" t="s">
        <v>129</v>
      </c>
      <c r="D180" s="4" t="s">
        <v>925</v>
      </c>
      <c r="E180" s="4">
        <v>1</v>
      </c>
      <c r="F180" s="4">
        <v>11</v>
      </c>
      <c r="I180" s="4">
        <v>1</v>
      </c>
      <c r="J180" s="4">
        <v>11</v>
      </c>
      <c r="M180" s="4">
        <v>2</v>
      </c>
      <c r="N180" s="4">
        <v>22</v>
      </c>
      <c r="AK180" s="4">
        <f t="shared" si="10"/>
        <v>4</v>
      </c>
      <c r="AL180" s="4">
        <f t="shared" si="11"/>
        <v>44</v>
      </c>
      <c r="AM180" s="4">
        <f t="shared" si="12"/>
        <v>0</v>
      </c>
      <c r="AN180" s="4">
        <f t="shared" si="13"/>
        <v>0</v>
      </c>
      <c r="AO180" s="4">
        <f t="shared" si="14"/>
        <v>14.666666666666666</v>
      </c>
    </row>
    <row r="181" spans="1:41" x14ac:dyDescent="0.2">
      <c r="A181" s="4" t="s">
        <v>1334</v>
      </c>
      <c r="B181" s="4" t="s">
        <v>1335</v>
      </c>
      <c r="C181" s="4" t="s">
        <v>129</v>
      </c>
      <c r="D181" s="4" t="s">
        <v>925</v>
      </c>
      <c r="W181" s="4">
        <v>1</v>
      </c>
      <c r="X181" s="4">
        <v>10</v>
      </c>
      <c r="Y181" s="4">
        <v>3</v>
      </c>
      <c r="Z181" s="4">
        <v>30</v>
      </c>
      <c r="AK181" s="4">
        <f t="shared" si="10"/>
        <v>4</v>
      </c>
      <c r="AL181" s="4">
        <f t="shared" si="11"/>
        <v>40</v>
      </c>
      <c r="AM181" s="4">
        <f t="shared" si="12"/>
        <v>0</v>
      </c>
      <c r="AN181" s="4">
        <f t="shared" si="13"/>
        <v>0</v>
      </c>
      <c r="AO181" s="4">
        <f t="shared" si="14"/>
        <v>20</v>
      </c>
    </row>
    <row r="182" spans="1:41" x14ac:dyDescent="0.2">
      <c r="A182" s="4" t="s">
        <v>1336</v>
      </c>
      <c r="B182" s="4" t="s">
        <v>1337</v>
      </c>
      <c r="C182" s="4" t="s">
        <v>129</v>
      </c>
      <c r="D182" s="4" t="s">
        <v>925</v>
      </c>
      <c r="W182" s="4">
        <v>2</v>
      </c>
      <c r="X182" s="4">
        <v>20</v>
      </c>
      <c r="AK182" s="4">
        <f t="shared" si="10"/>
        <v>2</v>
      </c>
      <c r="AL182" s="4">
        <f t="shared" si="11"/>
        <v>20</v>
      </c>
      <c r="AM182" s="4">
        <f t="shared" si="12"/>
        <v>0</v>
      </c>
      <c r="AN182" s="4">
        <f t="shared" si="13"/>
        <v>0</v>
      </c>
      <c r="AO182" s="4">
        <f t="shared" si="14"/>
        <v>20</v>
      </c>
    </row>
    <row r="183" spans="1:41" x14ac:dyDescent="0.2">
      <c r="A183" s="4" t="s">
        <v>1338</v>
      </c>
      <c r="B183" s="4" t="s">
        <v>1339</v>
      </c>
      <c r="C183" s="4" t="s">
        <v>129</v>
      </c>
      <c r="D183" s="4" t="s">
        <v>925</v>
      </c>
      <c r="AE183" s="4">
        <v>2</v>
      </c>
      <c r="AF183" s="4">
        <v>18</v>
      </c>
      <c r="AK183" s="4">
        <f t="shared" si="10"/>
        <v>2</v>
      </c>
      <c r="AL183" s="4">
        <f t="shared" si="11"/>
        <v>18</v>
      </c>
      <c r="AM183" s="4">
        <f t="shared" si="12"/>
        <v>0</v>
      </c>
      <c r="AN183" s="4">
        <f t="shared" si="13"/>
        <v>0</v>
      </c>
      <c r="AO183" s="4">
        <f t="shared" si="14"/>
        <v>18</v>
      </c>
    </row>
    <row r="184" spans="1:41" x14ac:dyDescent="0.2">
      <c r="A184" s="4" t="s">
        <v>1340</v>
      </c>
      <c r="B184" s="4" t="s">
        <v>1341</v>
      </c>
      <c r="C184" s="4" t="s">
        <v>129</v>
      </c>
      <c r="D184" s="4" t="s">
        <v>925</v>
      </c>
      <c r="E184" s="4">
        <v>2</v>
      </c>
      <c r="F184" s="4">
        <v>32</v>
      </c>
      <c r="M184" s="4">
        <v>2</v>
      </c>
      <c r="N184" s="4">
        <v>32</v>
      </c>
      <c r="AE184" s="4">
        <v>2</v>
      </c>
      <c r="AF184" s="4">
        <v>32</v>
      </c>
      <c r="AI184" s="4">
        <v>1</v>
      </c>
      <c r="AJ184" s="4">
        <v>16</v>
      </c>
      <c r="AK184" s="4">
        <f t="shared" si="10"/>
        <v>7</v>
      </c>
      <c r="AL184" s="4">
        <f t="shared" si="11"/>
        <v>112</v>
      </c>
      <c r="AM184" s="4">
        <f t="shared" si="12"/>
        <v>0</v>
      </c>
      <c r="AN184" s="4">
        <f t="shared" si="13"/>
        <v>0</v>
      </c>
      <c r="AO184" s="4">
        <f t="shared" si="14"/>
        <v>28</v>
      </c>
    </row>
    <row r="185" spans="1:41" x14ac:dyDescent="0.2">
      <c r="A185" s="4" t="s">
        <v>363</v>
      </c>
      <c r="B185" s="4" t="s">
        <v>364</v>
      </c>
      <c r="C185" s="4" t="s">
        <v>129</v>
      </c>
      <c r="D185" s="4" t="s">
        <v>365</v>
      </c>
      <c r="G185" s="4">
        <v>2</v>
      </c>
      <c r="H185" s="4">
        <v>50</v>
      </c>
      <c r="Y185" s="4">
        <v>1</v>
      </c>
      <c r="Z185" s="4">
        <v>35</v>
      </c>
      <c r="AA185" s="4">
        <v>1</v>
      </c>
      <c r="AB185" s="4">
        <v>25</v>
      </c>
      <c r="AC185" s="4">
        <v>2</v>
      </c>
      <c r="AD185" s="4">
        <v>50</v>
      </c>
      <c r="AI185" s="4">
        <v>1</v>
      </c>
      <c r="AJ185" s="4">
        <v>25</v>
      </c>
      <c r="AK185" s="4">
        <f t="shared" si="10"/>
        <v>5</v>
      </c>
      <c r="AL185" s="4">
        <f t="shared" si="11"/>
        <v>135</v>
      </c>
      <c r="AM185" s="4">
        <f t="shared" si="12"/>
        <v>2</v>
      </c>
      <c r="AN185" s="4">
        <f t="shared" si="13"/>
        <v>50</v>
      </c>
      <c r="AO185" s="4">
        <f t="shared" si="14"/>
        <v>37</v>
      </c>
    </row>
    <row r="186" spans="1:41" x14ac:dyDescent="0.2">
      <c r="A186" s="4" t="s">
        <v>1342</v>
      </c>
      <c r="B186" s="4" t="s">
        <v>1343</v>
      </c>
      <c r="C186" s="4" t="s">
        <v>129</v>
      </c>
      <c r="D186" s="4" t="s">
        <v>315</v>
      </c>
      <c r="E186" s="4">
        <v>1</v>
      </c>
      <c r="F186" s="4">
        <v>30</v>
      </c>
      <c r="I186" s="4">
        <v>1</v>
      </c>
      <c r="J186" s="4">
        <v>30</v>
      </c>
      <c r="U186" s="4">
        <v>1</v>
      </c>
      <c r="V186" s="4">
        <v>30</v>
      </c>
      <c r="AK186" s="4">
        <f t="shared" si="10"/>
        <v>3</v>
      </c>
      <c r="AL186" s="4">
        <f t="shared" si="11"/>
        <v>90</v>
      </c>
      <c r="AM186" s="4">
        <f t="shared" si="12"/>
        <v>0</v>
      </c>
      <c r="AN186" s="4">
        <f t="shared" si="13"/>
        <v>0</v>
      </c>
      <c r="AO186" s="4">
        <f t="shared" si="14"/>
        <v>30</v>
      </c>
    </row>
    <row r="187" spans="1:41" x14ac:dyDescent="0.2">
      <c r="A187" s="4" t="s">
        <v>915</v>
      </c>
      <c r="B187" s="4" t="s">
        <v>916</v>
      </c>
      <c r="C187" s="4" t="s">
        <v>129</v>
      </c>
      <c r="D187" s="4" t="s">
        <v>315</v>
      </c>
      <c r="E187" s="4">
        <v>1</v>
      </c>
      <c r="F187" s="4">
        <v>23</v>
      </c>
      <c r="G187" s="4">
        <v>1</v>
      </c>
      <c r="H187" s="4">
        <v>22</v>
      </c>
      <c r="M187" s="4">
        <v>1</v>
      </c>
      <c r="N187" s="4">
        <v>23</v>
      </c>
      <c r="O187" s="4">
        <v>1</v>
      </c>
      <c r="P187" s="4">
        <v>22</v>
      </c>
      <c r="AC187" s="4">
        <v>1</v>
      </c>
      <c r="AD187" s="4">
        <v>22</v>
      </c>
      <c r="AG187" s="4">
        <v>3</v>
      </c>
      <c r="AH187" s="4">
        <v>66</v>
      </c>
      <c r="AI187" s="4">
        <v>1</v>
      </c>
      <c r="AJ187" s="4">
        <v>22</v>
      </c>
      <c r="AK187" s="4">
        <f t="shared" si="10"/>
        <v>7</v>
      </c>
      <c r="AL187" s="4">
        <f t="shared" si="11"/>
        <v>156</v>
      </c>
      <c r="AM187" s="4">
        <f t="shared" si="12"/>
        <v>2</v>
      </c>
      <c r="AN187" s="4">
        <f t="shared" si="13"/>
        <v>44</v>
      </c>
      <c r="AO187" s="4">
        <f t="shared" si="14"/>
        <v>28.571428571428573</v>
      </c>
    </row>
    <row r="188" spans="1:41" x14ac:dyDescent="0.2">
      <c r="A188" s="4" t="s">
        <v>917</v>
      </c>
      <c r="B188" s="4" t="s">
        <v>918</v>
      </c>
      <c r="C188" s="4" t="s">
        <v>129</v>
      </c>
      <c r="D188" s="4" t="s">
        <v>315</v>
      </c>
      <c r="G188" s="4">
        <v>1</v>
      </c>
      <c r="H188" s="4">
        <v>29</v>
      </c>
      <c r="O188" s="4">
        <v>1</v>
      </c>
      <c r="P188" s="4">
        <v>29</v>
      </c>
      <c r="AC188" s="4">
        <v>3</v>
      </c>
      <c r="AD188" s="4">
        <v>87</v>
      </c>
      <c r="AE188" s="4">
        <v>1</v>
      </c>
      <c r="AF188" s="4">
        <v>29</v>
      </c>
      <c r="AK188" s="4">
        <f t="shared" si="10"/>
        <v>4</v>
      </c>
      <c r="AL188" s="4">
        <f t="shared" si="11"/>
        <v>116</v>
      </c>
      <c r="AM188" s="4">
        <f t="shared" si="12"/>
        <v>2</v>
      </c>
      <c r="AN188" s="4">
        <f t="shared" si="13"/>
        <v>58</v>
      </c>
      <c r="AO188" s="4">
        <f t="shared" si="14"/>
        <v>43.5</v>
      </c>
    </row>
    <row r="189" spans="1:41" x14ac:dyDescent="0.2">
      <c r="A189" s="4" t="s">
        <v>1344</v>
      </c>
      <c r="B189" s="4" t="s">
        <v>1345</v>
      </c>
      <c r="C189" s="4" t="s">
        <v>129</v>
      </c>
      <c r="D189" s="4" t="s">
        <v>315</v>
      </c>
      <c r="W189" s="4">
        <v>1</v>
      </c>
      <c r="X189" s="4">
        <v>27</v>
      </c>
      <c r="AK189" s="4">
        <f t="shared" si="10"/>
        <v>1</v>
      </c>
      <c r="AL189" s="4">
        <f t="shared" si="11"/>
        <v>27</v>
      </c>
      <c r="AM189" s="4">
        <f t="shared" si="12"/>
        <v>0</v>
      </c>
      <c r="AN189" s="4">
        <f t="shared" si="13"/>
        <v>0</v>
      </c>
      <c r="AO189" s="4">
        <f t="shared" si="14"/>
        <v>27</v>
      </c>
    </row>
    <row r="190" spans="1:41" x14ac:dyDescent="0.2">
      <c r="A190" s="4" t="s">
        <v>919</v>
      </c>
      <c r="B190" s="4" t="s">
        <v>920</v>
      </c>
      <c r="C190" s="4" t="s">
        <v>129</v>
      </c>
      <c r="D190" s="4" t="s">
        <v>315</v>
      </c>
      <c r="O190" s="4">
        <v>1</v>
      </c>
      <c r="P190" s="4">
        <v>24</v>
      </c>
      <c r="Q190" s="4">
        <v>4</v>
      </c>
      <c r="R190" s="4">
        <v>96</v>
      </c>
      <c r="S190" s="4">
        <v>2</v>
      </c>
      <c r="T190" s="4">
        <v>48</v>
      </c>
      <c r="AC190" s="4">
        <v>2</v>
      </c>
      <c r="AD190" s="4">
        <v>48</v>
      </c>
      <c r="AE190" s="4">
        <v>1</v>
      </c>
      <c r="AF190" s="4">
        <v>24</v>
      </c>
      <c r="AK190" s="4">
        <f t="shared" si="10"/>
        <v>7</v>
      </c>
      <c r="AL190" s="4">
        <f t="shared" si="11"/>
        <v>168</v>
      </c>
      <c r="AM190" s="4">
        <f t="shared" si="12"/>
        <v>3</v>
      </c>
      <c r="AN190" s="4">
        <f t="shared" si="13"/>
        <v>72</v>
      </c>
      <c r="AO190" s="4">
        <f t="shared" si="14"/>
        <v>48</v>
      </c>
    </row>
    <row r="191" spans="1:41" x14ac:dyDescent="0.2">
      <c r="A191" s="4" t="s">
        <v>1346</v>
      </c>
      <c r="B191" s="4" t="s">
        <v>1347</v>
      </c>
      <c r="C191" s="4" t="s">
        <v>129</v>
      </c>
      <c r="D191" s="4" t="s">
        <v>315</v>
      </c>
      <c r="I191" s="4">
        <v>1</v>
      </c>
      <c r="J191" s="4">
        <v>12</v>
      </c>
      <c r="W191" s="4">
        <v>1</v>
      </c>
      <c r="X191" s="4">
        <v>12</v>
      </c>
      <c r="AK191" s="4">
        <f t="shared" si="10"/>
        <v>2</v>
      </c>
      <c r="AL191" s="4">
        <f t="shared" si="11"/>
        <v>24</v>
      </c>
      <c r="AM191" s="4">
        <f t="shared" si="12"/>
        <v>0</v>
      </c>
      <c r="AN191" s="4">
        <f t="shared" si="13"/>
        <v>0</v>
      </c>
      <c r="AO191" s="4">
        <f t="shared" si="14"/>
        <v>12</v>
      </c>
    </row>
    <row r="192" spans="1:41" x14ac:dyDescent="0.2">
      <c r="A192" s="4" t="s">
        <v>427</v>
      </c>
      <c r="B192" s="4" t="s">
        <v>428</v>
      </c>
      <c r="C192" s="4" t="s">
        <v>129</v>
      </c>
      <c r="D192" s="4" t="s">
        <v>315</v>
      </c>
      <c r="O192" s="4">
        <v>1</v>
      </c>
      <c r="P192" s="4">
        <v>13</v>
      </c>
      <c r="AA192" s="4">
        <v>1</v>
      </c>
      <c r="AB192" s="4">
        <v>13</v>
      </c>
      <c r="AC192" s="4">
        <v>1</v>
      </c>
      <c r="AD192" s="4">
        <v>13</v>
      </c>
      <c r="AG192" s="4">
        <v>1</v>
      </c>
      <c r="AH192" s="4">
        <v>13</v>
      </c>
      <c r="AI192" s="4">
        <v>1</v>
      </c>
      <c r="AJ192" s="4">
        <v>13</v>
      </c>
      <c r="AK192" s="4">
        <f t="shared" si="10"/>
        <v>4</v>
      </c>
      <c r="AL192" s="4">
        <f t="shared" si="11"/>
        <v>52</v>
      </c>
      <c r="AM192" s="4">
        <f t="shared" si="12"/>
        <v>1</v>
      </c>
      <c r="AN192" s="4">
        <f t="shared" si="13"/>
        <v>13</v>
      </c>
      <c r="AO192" s="4">
        <f t="shared" si="14"/>
        <v>13</v>
      </c>
    </row>
    <row r="193" spans="1:41" x14ac:dyDescent="0.2">
      <c r="A193" s="4" t="s">
        <v>1348</v>
      </c>
      <c r="B193" s="4" t="s">
        <v>1349</v>
      </c>
      <c r="C193" s="4" t="s">
        <v>129</v>
      </c>
      <c r="D193" s="4" t="s">
        <v>315</v>
      </c>
      <c r="I193" s="4">
        <v>1</v>
      </c>
      <c r="J193" s="4">
        <v>17</v>
      </c>
      <c r="M193" s="4">
        <v>1</v>
      </c>
      <c r="N193" s="4">
        <v>17</v>
      </c>
      <c r="AK193" s="4">
        <f t="shared" si="10"/>
        <v>2</v>
      </c>
      <c r="AL193" s="4">
        <f t="shared" si="11"/>
        <v>34</v>
      </c>
      <c r="AM193" s="4">
        <f t="shared" si="12"/>
        <v>0</v>
      </c>
      <c r="AN193" s="4">
        <f t="shared" si="13"/>
        <v>0</v>
      </c>
      <c r="AO193" s="4">
        <f t="shared" si="14"/>
        <v>17</v>
      </c>
    </row>
    <row r="194" spans="1:41" x14ac:dyDescent="0.2">
      <c r="A194" s="4" t="s">
        <v>429</v>
      </c>
      <c r="B194" s="4" t="s">
        <v>430</v>
      </c>
      <c r="C194" s="4" t="s">
        <v>129</v>
      </c>
      <c r="D194" s="4" t="s">
        <v>315</v>
      </c>
      <c r="S194" s="4">
        <v>1</v>
      </c>
      <c r="T194" s="4">
        <v>22</v>
      </c>
      <c r="AC194" s="4">
        <v>2</v>
      </c>
      <c r="AD194" s="4">
        <v>44</v>
      </c>
      <c r="AI194" s="4">
        <v>1</v>
      </c>
      <c r="AJ194" s="4">
        <v>22</v>
      </c>
      <c r="AK194" s="4">
        <f t="shared" si="10"/>
        <v>3</v>
      </c>
      <c r="AL194" s="4">
        <f t="shared" si="11"/>
        <v>66</v>
      </c>
      <c r="AM194" s="4">
        <f t="shared" si="12"/>
        <v>1</v>
      </c>
      <c r="AN194" s="4">
        <f t="shared" si="13"/>
        <v>22</v>
      </c>
      <c r="AO194" s="4">
        <f t="shared" si="14"/>
        <v>29.333333333333332</v>
      </c>
    </row>
    <row r="195" spans="1:41" x14ac:dyDescent="0.2">
      <c r="A195" s="4" t="s">
        <v>431</v>
      </c>
      <c r="B195" s="4" t="s">
        <v>432</v>
      </c>
      <c r="C195" s="4" t="s">
        <v>129</v>
      </c>
      <c r="D195" s="4" t="s">
        <v>315</v>
      </c>
      <c r="E195" s="4">
        <v>1</v>
      </c>
      <c r="F195" s="4">
        <v>18</v>
      </c>
      <c r="G195" s="4">
        <v>1</v>
      </c>
      <c r="H195" s="4">
        <v>18</v>
      </c>
      <c r="O195" s="4">
        <v>1</v>
      </c>
      <c r="P195" s="4">
        <v>18</v>
      </c>
      <c r="U195" s="4">
        <v>1</v>
      </c>
      <c r="V195" s="4">
        <v>18</v>
      </c>
      <c r="AC195" s="4">
        <v>1</v>
      </c>
      <c r="AD195" s="4">
        <v>18</v>
      </c>
      <c r="AK195" s="4">
        <f t="shared" si="10"/>
        <v>3</v>
      </c>
      <c r="AL195" s="4">
        <f t="shared" si="11"/>
        <v>54</v>
      </c>
      <c r="AM195" s="4">
        <f t="shared" si="12"/>
        <v>2</v>
      </c>
      <c r="AN195" s="4">
        <f t="shared" si="13"/>
        <v>36</v>
      </c>
      <c r="AO195" s="4">
        <f t="shared" si="14"/>
        <v>18</v>
      </c>
    </row>
    <row r="196" spans="1:41" x14ac:dyDescent="0.2">
      <c r="A196" s="4" t="s">
        <v>1350</v>
      </c>
      <c r="B196" s="4" t="s">
        <v>1351</v>
      </c>
      <c r="C196" s="4" t="s">
        <v>129</v>
      </c>
      <c r="D196" s="4" t="s">
        <v>315</v>
      </c>
      <c r="U196" s="4">
        <v>1</v>
      </c>
      <c r="V196" s="4">
        <v>14</v>
      </c>
      <c r="Y196" s="4">
        <v>2</v>
      </c>
      <c r="Z196" s="4">
        <v>28</v>
      </c>
      <c r="AK196" s="4">
        <f t="shared" si="10"/>
        <v>3</v>
      </c>
      <c r="AL196" s="4">
        <f t="shared" si="11"/>
        <v>42</v>
      </c>
      <c r="AM196" s="4">
        <f t="shared" si="12"/>
        <v>0</v>
      </c>
      <c r="AN196" s="4">
        <f t="shared" si="13"/>
        <v>0</v>
      </c>
      <c r="AO196" s="4">
        <f t="shared" si="14"/>
        <v>21</v>
      </c>
    </row>
    <row r="197" spans="1:41" x14ac:dyDescent="0.2">
      <c r="A197" s="4" t="s">
        <v>1352</v>
      </c>
      <c r="B197" s="4" t="s">
        <v>1353</v>
      </c>
      <c r="C197" s="4" t="s">
        <v>129</v>
      </c>
      <c r="D197" s="4" t="s">
        <v>315</v>
      </c>
      <c r="AC197" s="4">
        <v>1</v>
      </c>
      <c r="AD197" s="4">
        <v>24</v>
      </c>
      <c r="AK197" s="4">
        <f t="shared" ref="AK197:AK260" si="15">SUM(E197,I197,M197,Q197,U197,W197,Y197,AA197,AC197,AE197,AG197,AI197)</f>
        <v>1</v>
      </c>
      <c r="AL197" s="4">
        <f t="shared" ref="AL197:AL260" si="16">SUM(F197,J197,N197,R197,V197,X197,Z197,AB197,AD197,AF197,AH197,AJ197)</f>
        <v>24</v>
      </c>
      <c r="AM197" s="4">
        <f t="shared" ref="AM197:AM260" si="17">SUM(G197,K197,O197,S197)</f>
        <v>0</v>
      </c>
      <c r="AN197" s="4">
        <f t="shared" ref="AN197:AN260" si="18">SUM(H197,L197,P197,T197)</f>
        <v>0</v>
      </c>
      <c r="AO197" s="4">
        <f t="shared" ref="AO197:AO260" si="19">AVERAGE(F197,H197,J197,L197,N197,P197,R197,T197,V197,X197,Z197,AB197,AD197,AF197,AH197,AJ197)</f>
        <v>24</v>
      </c>
    </row>
    <row r="198" spans="1:41" x14ac:dyDescent="0.2">
      <c r="A198" s="4" t="s">
        <v>1354</v>
      </c>
      <c r="B198" s="4" t="s">
        <v>1355</v>
      </c>
      <c r="C198" s="4" t="s">
        <v>129</v>
      </c>
      <c r="D198" s="4" t="s">
        <v>315</v>
      </c>
      <c r="E198" s="4">
        <v>1</v>
      </c>
      <c r="F198" s="4">
        <v>26</v>
      </c>
      <c r="AK198" s="4">
        <f t="shared" si="15"/>
        <v>1</v>
      </c>
      <c r="AL198" s="4">
        <f t="shared" si="16"/>
        <v>26</v>
      </c>
      <c r="AM198" s="4">
        <f t="shared" si="17"/>
        <v>0</v>
      </c>
      <c r="AN198" s="4">
        <f t="shared" si="18"/>
        <v>0</v>
      </c>
      <c r="AO198" s="4">
        <f t="shared" si="19"/>
        <v>26</v>
      </c>
    </row>
    <row r="199" spans="1:41" x14ac:dyDescent="0.2">
      <c r="A199" s="4" t="s">
        <v>433</v>
      </c>
      <c r="B199" s="4" t="s">
        <v>434</v>
      </c>
      <c r="C199" s="4" t="s">
        <v>129</v>
      </c>
      <c r="D199" s="4" t="s">
        <v>315</v>
      </c>
      <c r="G199" s="4">
        <v>1</v>
      </c>
      <c r="H199" s="4">
        <v>15</v>
      </c>
      <c r="S199" s="4">
        <v>2</v>
      </c>
      <c r="T199" s="4">
        <v>30</v>
      </c>
      <c r="U199" s="4">
        <v>3</v>
      </c>
      <c r="V199" s="4">
        <v>40.5</v>
      </c>
      <c r="AA199" s="4">
        <v>1</v>
      </c>
      <c r="AB199" s="4">
        <v>15</v>
      </c>
      <c r="AC199" s="4">
        <v>1</v>
      </c>
      <c r="AD199" s="4">
        <v>15</v>
      </c>
      <c r="AG199" s="4">
        <v>1</v>
      </c>
      <c r="AH199" s="4">
        <v>15</v>
      </c>
      <c r="AI199" s="4">
        <v>1</v>
      </c>
      <c r="AJ199" s="4">
        <v>15</v>
      </c>
      <c r="AK199" s="4">
        <f t="shared" si="15"/>
        <v>7</v>
      </c>
      <c r="AL199" s="4">
        <f t="shared" si="16"/>
        <v>100.5</v>
      </c>
      <c r="AM199" s="4">
        <f t="shared" si="17"/>
        <v>3</v>
      </c>
      <c r="AN199" s="4">
        <f t="shared" si="18"/>
        <v>45</v>
      </c>
      <c r="AO199" s="4">
        <f t="shared" si="19"/>
        <v>20.785714285714285</v>
      </c>
    </row>
    <row r="200" spans="1:41" x14ac:dyDescent="0.2">
      <c r="A200" s="4" t="s">
        <v>1356</v>
      </c>
      <c r="B200" s="4" t="s">
        <v>1357</v>
      </c>
      <c r="C200" s="4" t="s">
        <v>129</v>
      </c>
      <c r="D200" s="4" t="s">
        <v>315</v>
      </c>
      <c r="E200" s="4">
        <v>1</v>
      </c>
      <c r="F200" s="4">
        <v>26</v>
      </c>
      <c r="AK200" s="4">
        <f t="shared" si="15"/>
        <v>1</v>
      </c>
      <c r="AL200" s="4">
        <f t="shared" si="16"/>
        <v>26</v>
      </c>
      <c r="AM200" s="4">
        <f t="shared" si="17"/>
        <v>0</v>
      </c>
      <c r="AN200" s="4">
        <f t="shared" si="18"/>
        <v>0</v>
      </c>
      <c r="AO200" s="4">
        <f t="shared" si="19"/>
        <v>26</v>
      </c>
    </row>
    <row r="201" spans="1:41" x14ac:dyDescent="0.2">
      <c r="A201" s="4" t="s">
        <v>1358</v>
      </c>
      <c r="B201" s="4" t="s">
        <v>1359</v>
      </c>
      <c r="C201" s="4" t="s">
        <v>129</v>
      </c>
      <c r="D201" s="4" t="s">
        <v>315</v>
      </c>
      <c r="E201" s="4">
        <v>1</v>
      </c>
      <c r="F201" s="4">
        <v>34</v>
      </c>
      <c r="AK201" s="4">
        <f t="shared" si="15"/>
        <v>1</v>
      </c>
      <c r="AL201" s="4">
        <f t="shared" si="16"/>
        <v>34</v>
      </c>
      <c r="AM201" s="4">
        <f t="shared" si="17"/>
        <v>0</v>
      </c>
      <c r="AN201" s="4">
        <f t="shared" si="18"/>
        <v>0</v>
      </c>
      <c r="AO201" s="4">
        <f t="shared" si="19"/>
        <v>34</v>
      </c>
    </row>
    <row r="202" spans="1:41" x14ac:dyDescent="0.2">
      <c r="A202" s="4" t="s">
        <v>1360</v>
      </c>
      <c r="B202" s="4" t="s">
        <v>1361</v>
      </c>
      <c r="C202" s="4" t="s">
        <v>129</v>
      </c>
      <c r="D202" s="4" t="s">
        <v>315</v>
      </c>
      <c r="E202" s="4">
        <v>1</v>
      </c>
      <c r="F202" s="4">
        <v>14</v>
      </c>
      <c r="AK202" s="4">
        <f t="shared" si="15"/>
        <v>1</v>
      </c>
      <c r="AL202" s="4">
        <f t="shared" si="16"/>
        <v>14</v>
      </c>
      <c r="AM202" s="4">
        <f t="shared" si="17"/>
        <v>0</v>
      </c>
      <c r="AN202" s="4">
        <f t="shared" si="18"/>
        <v>0</v>
      </c>
      <c r="AO202" s="4">
        <f t="shared" si="19"/>
        <v>14</v>
      </c>
    </row>
    <row r="203" spans="1:41" x14ac:dyDescent="0.2">
      <c r="A203" s="4" t="s">
        <v>1362</v>
      </c>
      <c r="B203" s="4" t="s">
        <v>1363</v>
      </c>
      <c r="C203" s="4" t="s">
        <v>129</v>
      </c>
      <c r="D203" s="4" t="s">
        <v>315</v>
      </c>
      <c r="E203" s="4">
        <v>3</v>
      </c>
      <c r="F203" s="4">
        <v>42</v>
      </c>
      <c r="AK203" s="4">
        <f t="shared" si="15"/>
        <v>3</v>
      </c>
      <c r="AL203" s="4">
        <f t="shared" si="16"/>
        <v>42</v>
      </c>
      <c r="AM203" s="4">
        <f t="shared" si="17"/>
        <v>0</v>
      </c>
      <c r="AN203" s="4">
        <f t="shared" si="18"/>
        <v>0</v>
      </c>
      <c r="AO203" s="4">
        <f t="shared" si="19"/>
        <v>42</v>
      </c>
    </row>
    <row r="204" spans="1:41" x14ac:dyDescent="0.2">
      <c r="A204" s="4" t="s">
        <v>1364</v>
      </c>
      <c r="B204" s="4" t="s">
        <v>1365</v>
      </c>
      <c r="C204" s="4" t="s">
        <v>129</v>
      </c>
      <c r="D204" s="4" t="s">
        <v>315</v>
      </c>
      <c r="E204" s="4">
        <v>1</v>
      </c>
      <c r="F204" s="4">
        <v>16</v>
      </c>
      <c r="AK204" s="4">
        <f t="shared" si="15"/>
        <v>1</v>
      </c>
      <c r="AL204" s="4">
        <f t="shared" si="16"/>
        <v>16</v>
      </c>
      <c r="AM204" s="4">
        <f t="shared" si="17"/>
        <v>0</v>
      </c>
      <c r="AN204" s="4">
        <f t="shared" si="18"/>
        <v>0</v>
      </c>
      <c r="AO204" s="4">
        <f t="shared" si="19"/>
        <v>16</v>
      </c>
    </row>
    <row r="205" spans="1:41" x14ac:dyDescent="0.2">
      <c r="A205" s="4" t="s">
        <v>1366</v>
      </c>
      <c r="B205" s="4" t="s">
        <v>1367</v>
      </c>
      <c r="C205" s="4" t="s">
        <v>129</v>
      </c>
      <c r="D205" s="4" t="s">
        <v>315</v>
      </c>
      <c r="M205" s="4">
        <v>2</v>
      </c>
      <c r="N205" s="4">
        <v>60</v>
      </c>
      <c r="Q205" s="4">
        <v>1</v>
      </c>
      <c r="R205" s="4">
        <v>30</v>
      </c>
      <c r="AK205" s="4">
        <f t="shared" si="15"/>
        <v>3</v>
      </c>
      <c r="AL205" s="4">
        <f t="shared" si="16"/>
        <v>90</v>
      </c>
      <c r="AM205" s="4">
        <f t="shared" si="17"/>
        <v>0</v>
      </c>
      <c r="AN205" s="4">
        <f t="shared" si="18"/>
        <v>0</v>
      </c>
      <c r="AO205" s="4">
        <f t="shared" si="19"/>
        <v>45</v>
      </c>
    </row>
    <row r="206" spans="1:41" x14ac:dyDescent="0.2">
      <c r="A206" s="4" t="s">
        <v>1368</v>
      </c>
      <c r="B206" s="4" t="s">
        <v>1369</v>
      </c>
      <c r="C206" s="4" t="s">
        <v>129</v>
      </c>
      <c r="D206" s="4" t="s">
        <v>315</v>
      </c>
      <c r="E206" s="4">
        <v>1</v>
      </c>
      <c r="F206" s="4">
        <v>31</v>
      </c>
      <c r="I206" s="4">
        <v>1</v>
      </c>
      <c r="J206" s="4">
        <v>31</v>
      </c>
      <c r="AK206" s="4">
        <f t="shared" si="15"/>
        <v>2</v>
      </c>
      <c r="AL206" s="4">
        <f t="shared" si="16"/>
        <v>62</v>
      </c>
      <c r="AM206" s="4">
        <f t="shared" si="17"/>
        <v>0</v>
      </c>
      <c r="AN206" s="4">
        <f t="shared" si="18"/>
        <v>0</v>
      </c>
      <c r="AO206" s="4">
        <f t="shared" si="19"/>
        <v>31</v>
      </c>
    </row>
    <row r="207" spans="1:41" x14ac:dyDescent="0.2">
      <c r="A207" s="4" t="s">
        <v>435</v>
      </c>
      <c r="B207" s="4" t="s">
        <v>436</v>
      </c>
      <c r="C207" s="4" t="s">
        <v>129</v>
      </c>
      <c r="D207" s="4" t="s">
        <v>315</v>
      </c>
      <c r="E207" s="4">
        <v>2</v>
      </c>
      <c r="F207" s="4">
        <v>40</v>
      </c>
      <c r="AC207" s="4">
        <v>2</v>
      </c>
      <c r="AD207" s="4">
        <v>40</v>
      </c>
      <c r="AG207" s="4">
        <v>1</v>
      </c>
      <c r="AH207" s="4">
        <v>20</v>
      </c>
      <c r="AK207" s="4">
        <f t="shared" si="15"/>
        <v>5</v>
      </c>
      <c r="AL207" s="4">
        <f t="shared" si="16"/>
        <v>100</v>
      </c>
      <c r="AM207" s="4">
        <f t="shared" si="17"/>
        <v>0</v>
      </c>
      <c r="AN207" s="4">
        <f t="shared" si="18"/>
        <v>0</v>
      </c>
      <c r="AO207" s="4">
        <f t="shared" si="19"/>
        <v>33.333333333333336</v>
      </c>
    </row>
    <row r="208" spans="1:41" x14ac:dyDescent="0.2">
      <c r="A208" s="4" t="s">
        <v>1370</v>
      </c>
      <c r="B208" s="4" t="s">
        <v>1371</v>
      </c>
      <c r="C208" s="4" t="s">
        <v>129</v>
      </c>
      <c r="D208" s="4" t="s">
        <v>315</v>
      </c>
      <c r="E208" s="4">
        <v>1</v>
      </c>
      <c r="F208" s="4">
        <v>22</v>
      </c>
      <c r="Q208" s="4">
        <v>1</v>
      </c>
      <c r="R208" s="4">
        <v>22</v>
      </c>
      <c r="AK208" s="4">
        <f t="shared" si="15"/>
        <v>2</v>
      </c>
      <c r="AL208" s="4">
        <f t="shared" si="16"/>
        <v>44</v>
      </c>
      <c r="AM208" s="4">
        <f t="shared" si="17"/>
        <v>0</v>
      </c>
      <c r="AN208" s="4">
        <f t="shared" si="18"/>
        <v>0</v>
      </c>
      <c r="AO208" s="4">
        <f t="shared" si="19"/>
        <v>22</v>
      </c>
    </row>
    <row r="209" spans="1:41" x14ac:dyDescent="0.2">
      <c r="A209" s="4" t="s">
        <v>1372</v>
      </c>
      <c r="B209" s="4" t="s">
        <v>1373</v>
      </c>
      <c r="C209" s="4" t="s">
        <v>129</v>
      </c>
      <c r="D209" s="4" t="s">
        <v>315</v>
      </c>
      <c r="E209" s="4">
        <v>1</v>
      </c>
      <c r="F209" s="4">
        <v>15</v>
      </c>
      <c r="AK209" s="4">
        <f t="shared" si="15"/>
        <v>1</v>
      </c>
      <c r="AL209" s="4">
        <f t="shared" si="16"/>
        <v>15</v>
      </c>
      <c r="AM209" s="4">
        <f t="shared" si="17"/>
        <v>0</v>
      </c>
      <c r="AN209" s="4">
        <f t="shared" si="18"/>
        <v>0</v>
      </c>
      <c r="AO209" s="4">
        <f t="shared" si="19"/>
        <v>15</v>
      </c>
    </row>
    <row r="210" spans="1:41" x14ac:dyDescent="0.2">
      <c r="A210" s="4" t="s">
        <v>1374</v>
      </c>
      <c r="B210" s="4" t="s">
        <v>1375</v>
      </c>
      <c r="C210" s="4" t="s">
        <v>129</v>
      </c>
      <c r="D210" s="4" t="s">
        <v>315</v>
      </c>
      <c r="E210" s="4">
        <v>1</v>
      </c>
      <c r="F210" s="4">
        <v>25</v>
      </c>
      <c r="U210" s="4">
        <v>1</v>
      </c>
      <c r="V210" s="4">
        <v>17.5</v>
      </c>
      <c r="W210" s="4">
        <v>1</v>
      </c>
      <c r="X210" s="4">
        <v>25</v>
      </c>
      <c r="Y210" s="4">
        <v>1</v>
      </c>
      <c r="Z210" s="4">
        <v>25</v>
      </c>
      <c r="AK210" s="4">
        <f t="shared" si="15"/>
        <v>4</v>
      </c>
      <c r="AL210" s="4">
        <f t="shared" si="16"/>
        <v>92.5</v>
      </c>
      <c r="AM210" s="4">
        <f t="shared" si="17"/>
        <v>0</v>
      </c>
      <c r="AN210" s="4">
        <f t="shared" si="18"/>
        <v>0</v>
      </c>
      <c r="AO210" s="4">
        <f t="shared" si="19"/>
        <v>23.125</v>
      </c>
    </row>
    <row r="211" spans="1:41" x14ac:dyDescent="0.2">
      <c r="A211" s="4" t="s">
        <v>1376</v>
      </c>
      <c r="B211" s="4" t="s">
        <v>1377</v>
      </c>
      <c r="C211" s="4" t="s">
        <v>129</v>
      </c>
      <c r="D211" s="4" t="s">
        <v>315</v>
      </c>
      <c r="E211" s="4">
        <v>1</v>
      </c>
      <c r="F211" s="4">
        <v>27</v>
      </c>
      <c r="Q211" s="4">
        <v>1</v>
      </c>
      <c r="R211" s="4">
        <v>27</v>
      </c>
      <c r="U211" s="4">
        <v>2</v>
      </c>
      <c r="V211" s="4">
        <v>54</v>
      </c>
      <c r="Y211" s="4">
        <v>2</v>
      </c>
      <c r="Z211" s="4">
        <v>54</v>
      </c>
      <c r="AC211" s="4">
        <v>1</v>
      </c>
      <c r="AD211" s="4">
        <v>27</v>
      </c>
      <c r="AK211" s="4">
        <f t="shared" si="15"/>
        <v>7</v>
      </c>
      <c r="AL211" s="4">
        <f t="shared" si="16"/>
        <v>189</v>
      </c>
      <c r="AM211" s="4">
        <f t="shared" si="17"/>
        <v>0</v>
      </c>
      <c r="AN211" s="4">
        <f t="shared" si="18"/>
        <v>0</v>
      </c>
      <c r="AO211" s="4">
        <f t="shared" si="19"/>
        <v>37.799999999999997</v>
      </c>
    </row>
    <row r="212" spans="1:41" x14ac:dyDescent="0.2">
      <c r="A212" s="4" t="s">
        <v>437</v>
      </c>
      <c r="B212" s="4" t="s">
        <v>438</v>
      </c>
      <c r="C212" s="4" t="s">
        <v>129</v>
      </c>
      <c r="D212" s="4" t="s">
        <v>315</v>
      </c>
      <c r="O212" s="4">
        <v>1</v>
      </c>
      <c r="P212" s="4">
        <v>26</v>
      </c>
      <c r="S212" s="4">
        <v>1</v>
      </c>
      <c r="T212" s="4">
        <v>26</v>
      </c>
      <c r="AC212" s="4">
        <v>2</v>
      </c>
      <c r="AD212" s="4">
        <v>52</v>
      </c>
      <c r="AE212" s="4">
        <v>1</v>
      </c>
      <c r="AF212" s="4">
        <v>26</v>
      </c>
      <c r="AK212" s="4">
        <f t="shared" si="15"/>
        <v>3</v>
      </c>
      <c r="AL212" s="4">
        <f t="shared" si="16"/>
        <v>78</v>
      </c>
      <c r="AM212" s="4">
        <f t="shared" si="17"/>
        <v>2</v>
      </c>
      <c r="AN212" s="4">
        <f t="shared" si="18"/>
        <v>52</v>
      </c>
      <c r="AO212" s="4">
        <f t="shared" si="19"/>
        <v>32.5</v>
      </c>
    </row>
    <row r="213" spans="1:41" x14ac:dyDescent="0.2">
      <c r="A213" s="4" t="s">
        <v>1378</v>
      </c>
      <c r="B213" s="4" t="s">
        <v>1379</v>
      </c>
      <c r="C213" s="4" t="s">
        <v>129</v>
      </c>
      <c r="D213" s="4" t="s">
        <v>315</v>
      </c>
      <c r="I213" s="4">
        <v>1</v>
      </c>
      <c r="J213" s="4">
        <v>20</v>
      </c>
      <c r="AK213" s="4">
        <f t="shared" si="15"/>
        <v>1</v>
      </c>
      <c r="AL213" s="4">
        <f t="shared" si="16"/>
        <v>20</v>
      </c>
      <c r="AM213" s="4">
        <f t="shared" si="17"/>
        <v>0</v>
      </c>
      <c r="AN213" s="4">
        <f t="shared" si="18"/>
        <v>0</v>
      </c>
      <c r="AO213" s="4">
        <f t="shared" si="19"/>
        <v>20</v>
      </c>
    </row>
    <row r="214" spans="1:41" x14ac:dyDescent="0.2">
      <c r="A214" s="4" t="s">
        <v>1380</v>
      </c>
      <c r="B214" s="4" t="s">
        <v>1381</v>
      </c>
      <c r="C214" s="4" t="s">
        <v>129</v>
      </c>
      <c r="D214" s="4" t="s">
        <v>315</v>
      </c>
      <c r="I214" s="4">
        <v>1</v>
      </c>
      <c r="J214" s="4">
        <v>18</v>
      </c>
      <c r="W214" s="4">
        <v>1</v>
      </c>
      <c r="X214" s="4">
        <v>18</v>
      </c>
      <c r="AK214" s="4">
        <f t="shared" si="15"/>
        <v>2</v>
      </c>
      <c r="AL214" s="4">
        <f t="shared" si="16"/>
        <v>36</v>
      </c>
      <c r="AM214" s="4">
        <f t="shared" si="17"/>
        <v>0</v>
      </c>
      <c r="AN214" s="4">
        <f t="shared" si="18"/>
        <v>0</v>
      </c>
      <c r="AO214" s="4">
        <f t="shared" si="19"/>
        <v>18</v>
      </c>
    </row>
    <row r="215" spans="1:41" x14ac:dyDescent="0.2">
      <c r="A215" s="4" t="s">
        <v>921</v>
      </c>
      <c r="B215" s="4" t="s">
        <v>922</v>
      </c>
      <c r="C215" s="4" t="s">
        <v>129</v>
      </c>
      <c r="D215" s="4" t="s">
        <v>315</v>
      </c>
      <c r="I215" s="4">
        <v>1</v>
      </c>
      <c r="J215" s="4">
        <v>12</v>
      </c>
      <c r="K215" s="4">
        <v>1</v>
      </c>
      <c r="L215" s="4">
        <v>12</v>
      </c>
      <c r="AK215" s="4">
        <f t="shared" si="15"/>
        <v>1</v>
      </c>
      <c r="AL215" s="4">
        <f t="shared" si="16"/>
        <v>12</v>
      </c>
      <c r="AM215" s="4">
        <f t="shared" si="17"/>
        <v>1</v>
      </c>
      <c r="AN215" s="4">
        <f t="shared" si="18"/>
        <v>12</v>
      </c>
      <c r="AO215" s="4">
        <f t="shared" si="19"/>
        <v>12</v>
      </c>
    </row>
    <row r="216" spans="1:41" x14ac:dyDescent="0.2">
      <c r="A216" s="4" t="s">
        <v>439</v>
      </c>
      <c r="B216" s="4" t="s">
        <v>440</v>
      </c>
      <c r="C216" s="4" t="s">
        <v>129</v>
      </c>
      <c r="D216" s="4" t="s">
        <v>315</v>
      </c>
      <c r="I216" s="4">
        <v>1</v>
      </c>
      <c r="J216" s="4">
        <v>14</v>
      </c>
      <c r="AA216" s="4">
        <v>1</v>
      </c>
      <c r="AB216" s="4">
        <v>14</v>
      </c>
      <c r="AK216" s="4">
        <f t="shared" si="15"/>
        <v>2</v>
      </c>
      <c r="AL216" s="4">
        <f t="shared" si="16"/>
        <v>28</v>
      </c>
      <c r="AM216" s="4">
        <f t="shared" si="17"/>
        <v>0</v>
      </c>
      <c r="AN216" s="4">
        <f t="shared" si="18"/>
        <v>0</v>
      </c>
      <c r="AO216" s="4">
        <f t="shared" si="19"/>
        <v>14</v>
      </c>
    </row>
    <row r="217" spans="1:41" x14ac:dyDescent="0.2">
      <c r="A217" s="4" t="s">
        <v>441</v>
      </c>
      <c r="B217" s="4" t="s">
        <v>442</v>
      </c>
      <c r="C217" s="4" t="s">
        <v>129</v>
      </c>
      <c r="D217" s="4" t="s">
        <v>315</v>
      </c>
      <c r="E217" s="4">
        <v>1</v>
      </c>
      <c r="F217" s="4">
        <v>12</v>
      </c>
      <c r="O217" s="4">
        <v>1</v>
      </c>
      <c r="P217" s="4">
        <v>12</v>
      </c>
      <c r="AK217" s="4">
        <f t="shared" si="15"/>
        <v>1</v>
      </c>
      <c r="AL217" s="4">
        <f t="shared" si="16"/>
        <v>12</v>
      </c>
      <c r="AM217" s="4">
        <f t="shared" si="17"/>
        <v>1</v>
      </c>
      <c r="AN217" s="4">
        <f t="shared" si="18"/>
        <v>12</v>
      </c>
      <c r="AO217" s="4">
        <f t="shared" si="19"/>
        <v>12</v>
      </c>
    </row>
    <row r="218" spans="1:41" x14ac:dyDescent="0.2">
      <c r="A218" s="4" t="s">
        <v>443</v>
      </c>
      <c r="B218" s="4" t="s">
        <v>444</v>
      </c>
      <c r="C218" s="4" t="s">
        <v>129</v>
      </c>
      <c r="D218" s="4" t="s">
        <v>315</v>
      </c>
      <c r="E218" s="4">
        <v>1</v>
      </c>
      <c r="F218" s="4">
        <v>12</v>
      </c>
      <c r="I218" s="4">
        <v>1</v>
      </c>
      <c r="J218" s="4">
        <v>12</v>
      </c>
      <c r="W218" s="4">
        <v>1</v>
      </c>
      <c r="X218" s="4">
        <v>12</v>
      </c>
      <c r="AG218" s="4">
        <v>1</v>
      </c>
      <c r="AH218" s="4">
        <v>12</v>
      </c>
      <c r="AK218" s="4">
        <f t="shared" si="15"/>
        <v>4</v>
      </c>
      <c r="AL218" s="4">
        <f t="shared" si="16"/>
        <v>48</v>
      </c>
      <c r="AM218" s="4">
        <f t="shared" si="17"/>
        <v>0</v>
      </c>
      <c r="AN218" s="4">
        <f t="shared" si="18"/>
        <v>0</v>
      </c>
      <c r="AO218" s="4">
        <f t="shared" si="19"/>
        <v>12</v>
      </c>
    </row>
    <row r="219" spans="1:41" x14ac:dyDescent="0.2">
      <c r="A219" s="4" t="s">
        <v>1382</v>
      </c>
      <c r="B219" s="4" t="s">
        <v>1383</v>
      </c>
      <c r="C219" s="4" t="s">
        <v>129</v>
      </c>
      <c r="D219" s="4" t="s">
        <v>315</v>
      </c>
      <c r="I219" s="4">
        <v>1</v>
      </c>
      <c r="J219" s="4">
        <v>12</v>
      </c>
      <c r="Q219" s="4">
        <v>1</v>
      </c>
      <c r="R219" s="4">
        <v>12</v>
      </c>
      <c r="AA219" s="4">
        <v>1</v>
      </c>
      <c r="AB219" s="4">
        <v>8.4</v>
      </c>
      <c r="AK219" s="4">
        <f t="shared" si="15"/>
        <v>3</v>
      </c>
      <c r="AL219" s="4">
        <f t="shared" si="16"/>
        <v>32.4</v>
      </c>
      <c r="AM219" s="4">
        <f t="shared" si="17"/>
        <v>0</v>
      </c>
      <c r="AN219" s="4">
        <f t="shared" si="18"/>
        <v>0</v>
      </c>
      <c r="AO219" s="4">
        <f t="shared" si="19"/>
        <v>10.799999999999999</v>
      </c>
    </row>
    <row r="220" spans="1:41" x14ac:dyDescent="0.2">
      <c r="A220" s="4" t="s">
        <v>445</v>
      </c>
      <c r="B220" s="4" t="s">
        <v>446</v>
      </c>
      <c r="C220" s="4" t="s">
        <v>129</v>
      </c>
      <c r="D220" s="4" t="s">
        <v>315</v>
      </c>
      <c r="U220" s="4">
        <v>1</v>
      </c>
      <c r="V220" s="4">
        <v>12</v>
      </c>
      <c r="AK220" s="4">
        <f t="shared" si="15"/>
        <v>1</v>
      </c>
      <c r="AL220" s="4">
        <f t="shared" si="16"/>
        <v>12</v>
      </c>
      <c r="AM220" s="4">
        <f t="shared" si="17"/>
        <v>0</v>
      </c>
      <c r="AN220" s="4">
        <f t="shared" si="18"/>
        <v>0</v>
      </c>
      <c r="AO220" s="4">
        <f t="shared" si="19"/>
        <v>12</v>
      </c>
    </row>
    <row r="221" spans="1:41" x14ac:dyDescent="0.2">
      <c r="A221" s="4" t="s">
        <v>1384</v>
      </c>
      <c r="B221" s="4" t="s">
        <v>1385</v>
      </c>
      <c r="C221" s="4" t="s">
        <v>129</v>
      </c>
      <c r="D221" s="4" t="s">
        <v>315</v>
      </c>
      <c r="I221" s="4">
        <v>1</v>
      </c>
      <c r="J221" s="4">
        <v>12</v>
      </c>
      <c r="AK221" s="4">
        <f t="shared" si="15"/>
        <v>1</v>
      </c>
      <c r="AL221" s="4">
        <f t="shared" si="16"/>
        <v>12</v>
      </c>
      <c r="AM221" s="4">
        <f t="shared" si="17"/>
        <v>0</v>
      </c>
      <c r="AN221" s="4">
        <f t="shared" si="18"/>
        <v>0</v>
      </c>
      <c r="AO221" s="4">
        <f t="shared" si="19"/>
        <v>12</v>
      </c>
    </row>
    <row r="222" spans="1:41" x14ac:dyDescent="0.2">
      <c r="A222" s="4" t="s">
        <v>1386</v>
      </c>
      <c r="B222" s="4" t="s">
        <v>1387</v>
      </c>
      <c r="C222" s="4" t="s">
        <v>129</v>
      </c>
      <c r="D222" s="4" t="s">
        <v>315</v>
      </c>
      <c r="M222" s="4">
        <v>2</v>
      </c>
      <c r="N222" s="4">
        <v>24</v>
      </c>
      <c r="U222" s="4">
        <v>1</v>
      </c>
      <c r="V222" s="4">
        <v>12</v>
      </c>
      <c r="W222" s="4">
        <v>1</v>
      </c>
      <c r="X222" s="4">
        <v>12</v>
      </c>
      <c r="AK222" s="4">
        <f t="shared" si="15"/>
        <v>4</v>
      </c>
      <c r="AL222" s="4">
        <f t="shared" si="16"/>
        <v>48</v>
      </c>
      <c r="AM222" s="4">
        <f t="shared" si="17"/>
        <v>0</v>
      </c>
      <c r="AN222" s="4">
        <f t="shared" si="18"/>
        <v>0</v>
      </c>
      <c r="AO222" s="4">
        <f t="shared" si="19"/>
        <v>16</v>
      </c>
    </row>
    <row r="223" spans="1:41" x14ac:dyDescent="0.2">
      <c r="A223" s="4" t="s">
        <v>447</v>
      </c>
      <c r="B223" s="4" t="s">
        <v>448</v>
      </c>
      <c r="C223" s="4" t="s">
        <v>129</v>
      </c>
      <c r="D223" s="4" t="s">
        <v>315</v>
      </c>
      <c r="U223" s="4">
        <v>1</v>
      </c>
      <c r="V223" s="4">
        <v>12</v>
      </c>
      <c r="AK223" s="4">
        <f t="shared" si="15"/>
        <v>1</v>
      </c>
      <c r="AL223" s="4">
        <f t="shared" si="16"/>
        <v>12</v>
      </c>
      <c r="AM223" s="4">
        <f t="shared" si="17"/>
        <v>0</v>
      </c>
      <c r="AN223" s="4">
        <f t="shared" si="18"/>
        <v>0</v>
      </c>
      <c r="AO223" s="4">
        <f t="shared" si="19"/>
        <v>12</v>
      </c>
    </row>
    <row r="224" spans="1:41" x14ac:dyDescent="0.2">
      <c r="A224" s="4" t="s">
        <v>1388</v>
      </c>
      <c r="B224" s="4" t="s">
        <v>1389</v>
      </c>
      <c r="C224" s="4" t="s">
        <v>129</v>
      </c>
      <c r="D224" s="4" t="s">
        <v>315</v>
      </c>
      <c r="E224" s="4">
        <v>1</v>
      </c>
      <c r="F224" s="4">
        <v>12</v>
      </c>
      <c r="AK224" s="4">
        <f t="shared" si="15"/>
        <v>1</v>
      </c>
      <c r="AL224" s="4">
        <f t="shared" si="16"/>
        <v>12</v>
      </c>
      <c r="AM224" s="4">
        <f t="shared" si="17"/>
        <v>0</v>
      </c>
      <c r="AN224" s="4">
        <f t="shared" si="18"/>
        <v>0</v>
      </c>
      <c r="AO224" s="4">
        <f t="shared" si="19"/>
        <v>12</v>
      </c>
    </row>
    <row r="225" spans="1:41" x14ac:dyDescent="0.2">
      <c r="A225" s="4" t="s">
        <v>449</v>
      </c>
      <c r="B225" s="4" t="s">
        <v>450</v>
      </c>
      <c r="C225" s="4" t="s">
        <v>129</v>
      </c>
      <c r="D225" s="4" t="s">
        <v>315</v>
      </c>
      <c r="I225" s="4">
        <v>2</v>
      </c>
      <c r="J225" s="4">
        <v>24</v>
      </c>
      <c r="AG225" s="4">
        <v>1</v>
      </c>
      <c r="AH225" s="4">
        <v>12</v>
      </c>
      <c r="AK225" s="4">
        <f t="shared" si="15"/>
        <v>3</v>
      </c>
      <c r="AL225" s="4">
        <f t="shared" si="16"/>
        <v>36</v>
      </c>
      <c r="AM225" s="4">
        <f t="shared" si="17"/>
        <v>0</v>
      </c>
      <c r="AN225" s="4">
        <f t="shared" si="18"/>
        <v>0</v>
      </c>
      <c r="AO225" s="4">
        <f t="shared" si="19"/>
        <v>18</v>
      </c>
    </row>
    <row r="226" spans="1:41" x14ac:dyDescent="0.2">
      <c r="A226" s="4" t="s">
        <v>1390</v>
      </c>
      <c r="B226" s="4" t="s">
        <v>1391</v>
      </c>
      <c r="C226" s="4" t="s">
        <v>129</v>
      </c>
      <c r="D226" s="4" t="s">
        <v>315</v>
      </c>
      <c r="I226" s="4">
        <v>1</v>
      </c>
      <c r="J226" s="4">
        <v>12</v>
      </c>
      <c r="Q226" s="4">
        <v>1</v>
      </c>
      <c r="R226" s="4">
        <v>12</v>
      </c>
      <c r="AK226" s="4">
        <f t="shared" si="15"/>
        <v>2</v>
      </c>
      <c r="AL226" s="4">
        <f t="shared" si="16"/>
        <v>24</v>
      </c>
      <c r="AM226" s="4">
        <f t="shared" si="17"/>
        <v>0</v>
      </c>
      <c r="AN226" s="4">
        <f t="shared" si="18"/>
        <v>0</v>
      </c>
      <c r="AO226" s="4">
        <f t="shared" si="19"/>
        <v>12</v>
      </c>
    </row>
    <row r="227" spans="1:41" x14ac:dyDescent="0.2">
      <c r="A227" s="4" t="s">
        <v>451</v>
      </c>
      <c r="B227" s="4" t="s">
        <v>452</v>
      </c>
      <c r="C227" s="4" t="s">
        <v>129</v>
      </c>
      <c r="D227" s="4" t="s">
        <v>315</v>
      </c>
      <c r="AA227" s="4">
        <v>2</v>
      </c>
      <c r="AB227" s="4">
        <v>24</v>
      </c>
      <c r="AK227" s="4">
        <f t="shared" si="15"/>
        <v>2</v>
      </c>
      <c r="AL227" s="4">
        <f t="shared" si="16"/>
        <v>24</v>
      </c>
      <c r="AM227" s="4">
        <f t="shared" si="17"/>
        <v>0</v>
      </c>
      <c r="AN227" s="4">
        <f t="shared" si="18"/>
        <v>0</v>
      </c>
      <c r="AO227" s="4">
        <f t="shared" si="19"/>
        <v>24</v>
      </c>
    </row>
    <row r="228" spans="1:41" x14ac:dyDescent="0.2">
      <c r="A228" s="4" t="s">
        <v>1392</v>
      </c>
      <c r="B228" s="4" t="s">
        <v>1393</v>
      </c>
      <c r="C228" s="4" t="s">
        <v>129</v>
      </c>
      <c r="D228" s="4" t="s">
        <v>315</v>
      </c>
      <c r="U228" s="4">
        <v>1</v>
      </c>
      <c r="V228" s="4">
        <v>29</v>
      </c>
      <c r="AK228" s="4">
        <f t="shared" si="15"/>
        <v>1</v>
      </c>
      <c r="AL228" s="4">
        <f t="shared" si="16"/>
        <v>29</v>
      </c>
      <c r="AM228" s="4">
        <f t="shared" si="17"/>
        <v>0</v>
      </c>
      <c r="AN228" s="4">
        <f t="shared" si="18"/>
        <v>0</v>
      </c>
      <c r="AO228" s="4">
        <f t="shared" si="19"/>
        <v>29</v>
      </c>
    </row>
    <row r="229" spans="1:41" x14ac:dyDescent="0.2">
      <c r="A229" s="4" t="s">
        <v>455</v>
      </c>
      <c r="B229" s="4" t="s">
        <v>456</v>
      </c>
      <c r="C229" s="4" t="s">
        <v>129</v>
      </c>
      <c r="D229" s="4" t="s">
        <v>315</v>
      </c>
      <c r="I229" s="4">
        <v>1</v>
      </c>
      <c r="J229" s="4">
        <v>40</v>
      </c>
      <c r="AK229" s="4">
        <f t="shared" si="15"/>
        <v>1</v>
      </c>
      <c r="AL229" s="4">
        <f t="shared" si="16"/>
        <v>40</v>
      </c>
      <c r="AM229" s="4">
        <f t="shared" si="17"/>
        <v>0</v>
      </c>
      <c r="AN229" s="4">
        <f t="shared" si="18"/>
        <v>0</v>
      </c>
      <c r="AO229" s="4">
        <f t="shared" si="19"/>
        <v>40</v>
      </c>
    </row>
    <row r="230" spans="1:41" x14ac:dyDescent="0.2">
      <c r="A230" s="4" t="s">
        <v>457</v>
      </c>
      <c r="B230" s="4" t="s">
        <v>458</v>
      </c>
      <c r="C230" s="4" t="s">
        <v>129</v>
      </c>
      <c r="D230" s="4" t="s">
        <v>315</v>
      </c>
      <c r="AA230" s="4">
        <v>1</v>
      </c>
      <c r="AB230" s="4">
        <v>17</v>
      </c>
      <c r="AK230" s="4">
        <f t="shared" si="15"/>
        <v>1</v>
      </c>
      <c r="AL230" s="4">
        <f t="shared" si="16"/>
        <v>17</v>
      </c>
      <c r="AM230" s="4">
        <f t="shared" si="17"/>
        <v>0</v>
      </c>
      <c r="AN230" s="4">
        <f t="shared" si="18"/>
        <v>0</v>
      </c>
      <c r="AO230" s="4">
        <f t="shared" si="19"/>
        <v>17</v>
      </c>
    </row>
    <row r="231" spans="1:41" x14ac:dyDescent="0.2">
      <c r="A231" s="4" t="s">
        <v>1394</v>
      </c>
      <c r="B231" s="4" t="s">
        <v>1395</v>
      </c>
      <c r="C231" s="4" t="s">
        <v>129</v>
      </c>
      <c r="D231" s="4" t="s">
        <v>315</v>
      </c>
      <c r="Q231" s="4">
        <v>1</v>
      </c>
      <c r="R231" s="4">
        <v>15</v>
      </c>
      <c r="U231" s="4">
        <v>2</v>
      </c>
      <c r="V231" s="4">
        <v>30</v>
      </c>
      <c r="AK231" s="4">
        <f t="shared" si="15"/>
        <v>3</v>
      </c>
      <c r="AL231" s="4">
        <f t="shared" si="16"/>
        <v>45</v>
      </c>
      <c r="AM231" s="4">
        <f t="shared" si="17"/>
        <v>0</v>
      </c>
      <c r="AN231" s="4">
        <f t="shared" si="18"/>
        <v>0</v>
      </c>
      <c r="AO231" s="4">
        <f t="shared" si="19"/>
        <v>22.5</v>
      </c>
    </row>
    <row r="232" spans="1:41" x14ac:dyDescent="0.2">
      <c r="A232" s="4" t="s">
        <v>1396</v>
      </c>
      <c r="B232" s="4" t="s">
        <v>1397</v>
      </c>
      <c r="C232" s="4" t="s">
        <v>129</v>
      </c>
      <c r="D232" s="4" t="s">
        <v>315</v>
      </c>
      <c r="U232" s="4">
        <v>1</v>
      </c>
      <c r="V232" s="4">
        <v>21</v>
      </c>
      <c r="AK232" s="4">
        <f t="shared" si="15"/>
        <v>1</v>
      </c>
      <c r="AL232" s="4">
        <f t="shared" si="16"/>
        <v>21</v>
      </c>
      <c r="AM232" s="4">
        <f t="shared" si="17"/>
        <v>0</v>
      </c>
      <c r="AN232" s="4">
        <f t="shared" si="18"/>
        <v>0</v>
      </c>
      <c r="AO232" s="4">
        <f t="shared" si="19"/>
        <v>21</v>
      </c>
    </row>
    <row r="233" spans="1:41" x14ac:dyDescent="0.2">
      <c r="A233" s="4" t="s">
        <v>1398</v>
      </c>
      <c r="B233" s="4" t="s">
        <v>1399</v>
      </c>
      <c r="C233" s="4" t="s">
        <v>129</v>
      </c>
      <c r="D233" s="4" t="s">
        <v>315</v>
      </c>
      <c r="E233" s="4">
        <v>1</v>
      </c>
      <c r="F233" s="4">
        <v>20</v>
      </c>
      <c r="AK233" s="4">
        <f t="shared" si="15"/>
        <v>1</v>
      </c>
      <c r="AL233" s="4">
        <f t="shared" si="16"/>
        <v>20</v>
      </c>
      <c r="AM233" s="4">
        <f t="shared" si="17"/>
        <v>0</v>
      </c>
      <c r="AN233" s="4">
        <f t="shared" si="18"/>
        <v>0</v>
      </c>
      <c r="AO233" s="4">
        <f t="shared" si="19"/>
        <v>20</v>
      </c>
    </row>
    <row r="234" spans="1:41" x14ac:dyDescent="0.2">
      <c r="A234" s="4" t="s">
        <v>1400</v>
      </c>
      <c r="B234" s="4" t="s">
        <v>1401</v>
      </c>
      <c r="C234" s="4" t="s">
        <v>129</v>
      </c>
      <c r="D234" s="4" t="s">
        <v>315</v>
      </c>
      <c r="E234" s="4">
        <v>1</v>
      </c>
      <c r="F234" s="4">
        <v>12</v>
      </c>
      <c r="M234" s="4">
        <v>1</v>
      </c>
      <c r="N234" s="4">
        <v>12</v>
      </c>
      <c r="AK234" s="4">
        <f t="shared" si="15"/>
        <v>2</v>
      </c>
      <c r="AL234" s="4">
        <f t="shared" si="16"/>
        <v>24</v>
      </c>
      <c r="AM234" s="4">
        <f t="shared" si="17"/>
        <v>0</v>
      </c>
      <c r="AN234" s="4">
        <f t="shared" si="18"/>
        <v>0</v>
      </c>
      <c r="AO234" s="4">
        <f t="shared" si="19"/>
        <v>12</v>
      </c>
    </row>
    <row r="235" spans="1:41" x14ac:dyDescent="0.2">
      <c r="A235" s="4" t="s">
        <v>1402</v>
      </c>
      <c r="B235" s="4" t="s">
        <v>1403</v>
      </c>
      <c r="C235" s="4" t="s">
        <v>129</v>
      </c>
      <c r="D235" s="4" t="s">
        <v>315</v>
      </c>
      <c r="E235" s="4">
        <v>1</v>
      </c>
      <c r="F235" s="4">
        <v>6</v>
      </c>
      <c r="AK235" s="4">
        <f t="shared" si="15"/>
        <v>1</v>
      </c>
      <c r="AL235" s="4">
        <f t="shared" si="16"/>
        <v>6</v>
      </c>
      <c r="AM235" s="4">
        <f t="shared" si="17"/>
        <v>0</v>
      </c>
      <c r="AN235" s="4">
        <f t="shared" si="18"/>
        <v>0</v>
      </c>
      <c r="AO235" s="4">
        <f t="shared" si="19"/>
        <v>6</v>
      </c>
    </row>
    <row r="236" spans="1:41" x14ac:dyDescent="0.2">
      <c r="A236" s="4" t="s">
        <v>1404</v>
      </c>
      <c r="B236" s="4" t="s">
        <v>1405</v>
      </c>
      <c r="C236" s="4" t="s">
        <v>129</v>
      </c>
      <c r="D236" s="4" t="s">
        <v>315</v>
      </c>
      <c r="E236" s="4">
        <v>1</v>
      </c>
      <c r="F236" s="4">
        <v>6</v>
      </c>
      <c r="AK236" s="4">
        <f t="shared" si="15"/>
        <v>1</v>
      </c>
      <c r="AL236" s="4">
        <f t="shared" si="16"/>
        <v>6</v>
      </c>
      <c r="AM236" s="4">
        <f t="shared" si="17"/>
        <v>0</v>
      </c>
      <c r="AN236" s="4">
        <f t="shared" si="18"/>
        <v>0</v>
      </c>
      <c r="AO236" s="4">
        <f t="shared" si="19"/>
        <v>6</v>
      </c>
    </row>
    <row r="237" spans="1:41" x14ac:dyDescent="0.2">
      <c r="A237" s="4" t="s">
        <v>1406</v>
      </c>
      <c r="B237" s="4" t="s">
        <v>1407</v>
      </c>
      <c r="C237" s="4" t="s">
        <v>129</v>
      </c>
      <c r="D237" s="4" t="s">
        <v>315</v>
      </c>
      <c r="E237" s="4">
        <v>3</v>
      </c>
      <c r="F237" s="4">
        <v>18</v>
      </c>
      <c r="AK237" s="4">
        <f t="shared" si="15"/>
        <v>3</v>
      </c>
      <c r="AL237" s="4">
        <f t="shared" si="16"/>
        <v>18</v>
      </c>
      <c r="AM237" s="4">
        <f t="shared" si="17"/>
        <v>0</v>
      </c>
      <c r="AN237" s="4">
        <f t="shared" si="18"/>
        <v>0</v>
      </c>
      <c r="AO237" s="4">
        <f t="shared" si="19"/>
        <v>18</v>
      </c>
    </row>
    <row r="238" spans="1:41" x14ac:dyDescent="0.2">
      <c r="A238" s="4" t="s">
        <v>1408</v>
      </c>
      <c r="B238" s="4" t="s">
        <v>1409</v>
      </c>
      <c r="C238" s="4" t="s">
        <v>129</v>
      </c>
      <c r="D238" s="4" t="s">
        <v>315</v>
      </c>
      <c r="E238" s="4">
        <v>1</v>
      </c>
      <c r="F238" s="4">
        <v>6</v>
      </c>
      <c r="AK238" s="4">
        <f t="shared" si="15"/>
        <v>1</v>
      </c>
      <c r="AL238" s="4">
        <f t="shared" si="16"/>
        <v>6</v>
      </c>
      <c r="AM238" s="4">
        <f t="shared" si="17"/>
        <v>0</v>
      </c>
      <c r="AN238" s="4">
        <f t="shared" si="18"/>
        <v>0</v>
      </c>
      <c r="AO238" s="4">
        <f t="shared" si="19"/>
        <v>6</v>
      </c>
    </row>
    <row r="239" spans="1:41" x14ac:dyDescent="0.2">
      <c r="A239" s="4" t="s">
        <v>1410</v>
      </c>
      <c r="B239" s="4" t="s">
        <v>1411</v>
      </c>
      <c r="C239" s="4" t="s">
        <v>129</v>
      </c>
      <c r="D239" s="4" t="s">
        <v>315</v>
      </c>
      <c r="E239" s="4">
        <v>1</v>
      </c>
      <c r="F239" s="4">
        <v>14</v>
      </c>
      <c r="AK239" s="4">
        <f t="shared" si="15"/>
        <v>1</v>
      </c>
      <c r="AL239" s="4">
        <f t="shared" si="16"/>
        <v>14</v>
      </c>
      <c r="AM239" s="4">
        <f t="shared" si="17"/>
        <v>0</v>
      </c>
      <c r="AN239" s="4">
        <f t="shared" si="18"/>
        <v>0</v>
      </c>
      <c r="AO239" s="4">
        <f t="shared" si="19"/>
        <v>14</v>
      </c>
    </row>
    <row r="240" spans="1:41" x14ac:dyDescent="0.2">
      <c r="A240" s="4" t="s">
        <v>459</v>
      </c>
      <c r="B240" s="4" t="s">
        <v>460</v>
      </c>
      <c r="C240" s="4" t="s">
        <v>129</v>
      </c>
      <c r="D240" s="4" t="s">
        <v>315</v>
      </c>
      <c r="O240" s="4">
        <v>1</v>
      </c>
      <c r="P240" s="4">
        <v>18</v>
      </c>
      <c r="Q240" s="4">
        <v>4</v>
      </c>
      <c r="R240" s="4">
        <v>72</v>
      </c>
      <c r="U240" s="4">
        <v>2</v>
      </c>
      <c r="V240" s="4">
        <v>36</v>
      </c>
      <c r="AC240" s="4">
        <v>3</v>
      </c>
      <c r="AD240" s="4">
        <v>54</v>
      </c>
      <c r="AE240" s="4">
        <v>1</v>
      </c>
      <c r="AF240" s="4">
        <v>18</v>
      </c>
      <c r="AK240" s="4">
        <f t="shared" si="15"/>
        <v>10</v>
      </c>
      <c r="AL240" s="4">
        <f t="shared" si="16"/>
        <v>180</v>
      </c>
      <c r="AM240" s="4">
        <f t="shared" si="17"/>
        <v>1</v>
      </c>
      <c r="AN240" s="4">
        <f t="shared" si="18"/>
        <v>18</v>
      </c>
      <c r="AO240" s="4">
        <f t="shared" si="19"/>
        <v>39.6</v>
      </c>
    </row>
    <row r="241" spans="1:41" x14ac:dyDescent="0.2">
      <c r="A241" s="4" t="s">
        <v>1412</v>
      </c>
      <c r="B241" s="4" t="s">
        <v>1413</v>
      </c>
      <c r="C241" s="4" t="s">
        <v>129</v>
      </c>
      <c r="D241" s="4" t="s">
        <v>315</v>
      </c>
      <c r="E241" s="4">
        <v>1</v>
      </c>
      <c r="F241" s="4">
        <v>24</v>
      </c>
      <c r="Q241" s="4">
        <v>1</v>
      </c>
      <c r="R241" s="4">
        <v>24</v>
      </c>
      <c r="AK241" s="4">
        <f t="shared" si="15"/>
        <v>2</v>
      </c>
      <c r="AL241" s="4">
        <f t="shared" si="16"/>
        <v>48</v>
      </c>
      <c r="AM241" s="4">
        <f t="shared" si="17"/>
        <v>0</v>
      </c>
      <c r="AN241" s="4">
        <f t="shared" si="18"/>
        <v>0</v>
      </c>
      <c r="AO241" s="4">
        <f t="shared" si="19"/>
        <v>24</v>
      </c>
    </row>
    <row r="242" spans="1:41" x14ac:dyDescent="0.2">
      <c r="A242" s="4" t="s">
        <v>1414</v>
      </c>
      <c r="B242" s="4" t="s">
        <v>1415</v>
      </c>
      <c r="C242" s="4" t="s">
        <v>129</v>
      </c>
      <c r="D242" s="4" t="s">
        <v>315</v>
      </c>
      <c r="E242" s="4">
        <v>1</v>
      </c>
      <c r="F242" s="4">
        <v>18</v>
      </c>
      <c r="AK242" s="4">
        <f t="shared" si="15"/>
        <v>1</v>
      </c>
      <c r="AL242" s="4">
        <f t="shared" si="16"/>
        <v>18</v>
      </c>
      <c r="AM242" s="4">
        <f t="shared" si="17"/>
        <v>0</v>
      </c>
      <c r="AN242" s="4">
        <f t="shared" si="18"/>
        <v>0</v>
      </c>
      <c r="AO242" s="4">
        <f t="shared" si="19"/>
        <v>18</v>
      </c>
    </row>
    <row r="243" spans="1:41" x14ac:dyDescent="0.2">
      <c r="A243" s="4" t="s">
        <v>1416</v>
      </c>
      <c r="B243" s="4" t="s">
        <v>1417</v>
      </c>
      <c r="C243" s="4" t="s">
        <v>129</v>
      </c>
      <c r="D243" s="4" t="s">
        <v>315</v>
      </c>
      <c r="I243" s="4">
        <v>2</v>
      </c>
      <c r="J243" s="4">
        <v>62</v>
      </c>
      <c r="AK243" s="4">
        <f t="shared" si="15"/>
        <v>2</v>
      </c>
      <c r="AL243" s="4">
        <f t="shared" si="16"/>
        <v>62</v>
      </c>
      <c r="AM243" s="4">
        <f t="shared" si="17"/>
        <v>0</v>
      </c>
      <c r="AN243" s="4">
        <f t="shared" si="18"/>
        <v>0</v>
      </c>
      <c r="AO243" s="4">
        <f t="shared" si="19"/>
        <v>62</v>
      </c>
    </row>
    <row r="244" spans="1:41" x14ac:dyDescent="0.2">
      <c r="A244" s="4" t="s">
        <v>461</v>
      </c>
      <c r="B244" s="4" t="s">
        <v>462</v>
      </c>
      <c r="C244" s="4" t="s">
        <v>129</v>
      </c>
      <c r="D244" s="4" t="s">
        <v>315</v>
      </c>
      <c r="S244" s="4">
        <v>1</v>
      </c>
      <c r="T244" s="4">
        <v>19</v>
      </c>
      <c r="AG244" s="4">
        <v>2</v>
      </c>
      <c r="AH244" s="4">
        <v>38</v>
      </c>
      <c r="AK244" s="4">
        <f t="shared" si="15"/>
        <v>2</v>
      </c>
      <c r="AL244" s="4">
        <f t="shared" si="16"/>
        <v>38</v>
      </c>
      <c r="AM244" s="4">
        <f t="shared" si="17"/>
        <v>1</v>
      </c>
      <c r="AN244" s="4">
        <f t="shared" si="18"/>
        <v>19</v>
      </c>
      <c r="AO244" s="4">
        <f t="shared" si="19"/>
        <v>28.5</v>
      </c>
    </row>
    <row r="245" spans="1:41" x14ac:dyDescent="0.2">
      <c r="A245" s="4" t="s">
        <v>463</v>
      </c>
      <c r="B245" s="4" t="s">
        <v>464</v>
      </c>
      <c r="C245" s="4" t="s">
        <v>129</v>
      </c>
      <c r="D245" s="4" t="s">
        <v>315</v>
      </c>
      <c r="AC245" s="4">
        <v>2</v>
      </c>
      <c r="AD245" s="4">
        <v>38</v>
      </c>
      <c r="AK245" s="4">
        <f t="shared" si="15"/>
        <v>2</v>
      </c>
      <c r="AL245" s="4">
        <f t="shared" si="16"/>
        <v>38</v>
      </c>
      <c r="AM245" s="4">
        <f t="shared" si="17"/>
        <v>0</v>
      </c>
      <c r="AN245" s="4">
        <f t="shared" si="18"/>
        <v>0</v>
      </c>
      <c r="AO245" s="4">
        <f t="shared" si="19"/>
        <v>38</v>
      </c>
    </row>
    <row r="246" spans="1:41" x14ac:dyDescent="0.2">
      <c r="A246" s="4" t="s">
        <v>465</v>
      </c>
      <c r="B246" s="4" t="s">
        <v>466</v>
      </c>
      <c r="C246" s="4" t="s">
        <v>129</v>
      </c>
      <c r="D246" s="4" t="s">
        <v>315</v>
      </c>
      <c r="AC246" s="4">
        <v>1</v>
      </c>
      <c r="AD246" s="4">
        <v>19</v>
      </c>
      <c r="AG246" s="4">
        <v>1</v>
      </c>
      <c r="AH246" s="4">
        <v>19</v>
      </c>
      <c r="AK246" s="4">
        <f t="shared" si="15"/>
        <v>2</v>
      </c>
      <c r="AL246" s="4">
        <f t="shared" si="16"/>
        <v>38</v>
      </c>
      <c r="AM246" s="4">
        <f t="shared" si="17"/>
        <v>0</v>
      </c>
      <c r="AN246" s="4">
        <f t="shared" si="18"/>
        <v>0</v>
      </c>
      <c r="AO246" s="4">
        <f t="shared" si="19"/>
        <v>19</v>
      </c>
    </row>
    <row r="247" spans="1:41" x14ac:dyDescent="0.2">
      <c r="A247" s="4" t="s">
        <v>467</v>
      </c>
      <c r="B247" s="4" t="s">
        <v>468</v>
      </c>
      <c r="C247" s="4" t="s">
        <v>129</v>
      </c>
      <c r="D247" s="4" t="s">
        <v>315</v>
      </c>
      <c r="U247" s="4">
        <v>1</v>
      </c>
      <c r="V247" s="4">
        <v>23</v>
      </c>
      <c r="AA247" s="4">
        <v>1</v>
      </c>
      <c r="AB247" s="4">
        <v>23</v>
      </c>
      <c r="AC247" s="4">
        <v>2</v>
      </c>
      <c r="AD247" s="4">
        <v>46</v>
      </c>
      <c r="AE247" s="4">
        <v>1</v>
      </c>
      <c r="AF247" s="4">
        <v>23</v>
      </c>
      <c r="AK247" s="4">
        <f t="shared" si="15"/>
        <v>5</v>
      </c>
      <c r="AL247" s="4">
        <f t="shared" si="16"/>
        <v>115</v>
      </c>
      <c r="AM247" s="4">
        <f t="shared" si="17"/>
        <v>0</v>
      </c>
      <c r="AN247" s="4">
        <f t="shared" si="18"/>
        <v>0</v>
      </c>
      <c r="AO247" s="4">
        <f t="shared" si="19"/>
        <v>28.75</v>
      </c>
    </row>
    <row r="248" spans="1:41" x14ac:dyDescent="0.2">
      <c r="A248" s="4" t="s">
        <v>1418</v>
      </c>
      <c r="B248" s="4" t="s">
        <v>1419</v>
      </c>
      <c r="C248" s="4" t="s">
        <v>129</v>
      </c>
      <c r="D248" s="4" t="s">
        <v>315</v>
      </c>
      <c r="U248" s="4">
        <v>3</v>
      </c>
      <c r="V248" s="4">
        <v>42</v>
      </c>
      <c r="AK248" s="4">
        <f t="shared" si="15"/>
        <v>3</v>
      </c>
      <c r="AL248" s="4">
        <f t="shared" si="16"/>
        <v>42</v>
      </c>
      <c r="AM248" s="4">
        <f t="shared" si="17"/>
        <v>0</v>
      </c>
      <c r="AN248" s="4">
        <f t="shared" si="18"/>
        <v>0</v>
      </c>
      <c r="AO248" s="4">
        <f t="shared" si="19"/>
        <v>42</v>
      </c>
    </row>
    <row r="249" spans="1:41" x14ac:dyDescent="0.2">
      <c r="A249" s="4" t="s">
        <v>1420</v>
      </c>
      <c r="B249" s="4" t="s">
        <v>1421</v>
      </c>
      <c r="C249" s="4" t="s">
        <v>129</v>
      </c>
      <c r="D249" s="4" t="s">
        <v>315</v>
      </c>
      <c r="W249" s="4">
        <v>2</v>
      </c>
      <c r="X249" s="4">
        <v>24</v>
      </c>
      <c r="Y249" s="4">
        <v>2</v>
      </c>
      <c r="Z249" s="4">
        <v>24</v>
      </c>
      <c r="AA249" s="4">
        <v>1</v>
      </c>
      <c r="AB249" s="4">
        <v>12</v>
      </c>
      <c r="AK249" s="4">
        <f t="shared" si="15"/>
        <v>5</v>
      </c>
      <c r="AL249" s="4">
        <f t="shared" si="16"/>
        <v>60</v>
      </c>
      <c r="AM249" s="4">
        <f t="shared" si="17"/>
        <v>0</v>
      </c>
      <c r="AN249" s="4">
        <f t="shared" si="18"/>
        <v>0</v>
      </c>
      <c r="AO249" s="4">
        <f t="shared" si="19"/>
        <v>20</v>
      </c>
    </row>
    <row r="250" spans="1:41" x14ac:dyDescent="0.2">
      <c r="A250" s="4" t="s">
        <v>469</v>
      </c>
      <c r="B250" s="4" t="s">
        <v>470</v>
      </c>
      <c r="C250" s="4" t="s">
        <v>129</v>
      </c>
      <c r="D250" s="4" t="s">
        <v>315</v>
      </c>
      <c r="K250" s="4">
        <v>1</v>
      </c>
      <c r="L250" s="4">
        <v>28</v>
      </c>
      <c r="S250" s="4">
        <v>1</v>
      </c>
      <c r="T250" s="4">
        <v>28</v>
      </c>
      <c r="AC250" s="4">
        <v>2</v>
      </c>
      <c r="AD250" s="4">
        <v>56</v>
      </c>
      <c r="AE250" s="4">
        <v>1</v>
      </c>
      <c r="AF250" s="4">
        <v>28</v>
      </c>
      <c r="AK250" s="4">
        <f t="shared" si="15"/>
        <v>3</v>
      </c>
      <c r="AL250" s="4">
        <f t="shared" si="16"/>
        <v>84</v>
      </c>
      <c r="AM250" s="4">
        <f t="shared" si="17"/>
        <v>2</v>
      </c>
      <c r="AN250" s="4">
        <f t="shared" si="18"/>
        <v>56</v>
      </c>
      <c r="AO250" s="4">
        <f t="shared" si="19"/>
        <v>35</v>
      </c>
    </row>
    <row r="251" spans="1:41" x14ac:dyDescent="0.2">
      <c r="A251" s="4" t="s">
        <v>1422</v>
      </c>
      <c r="B251" s="4" t="s">
        <v>1423</v>
      </c>
      <c r="C251" s="4" t="s">
        <v>129</v>
      </c>
      <c r="D251" s="4" t="s">
        <v>315</v>
      </c>
      <c r="W251" s="4">
        <v>1</v>
      </c>
      <c r="X251" s="4">
        <v>24</v>
      </c>
      <c r="Y251" s="4">
        <v>1</v>
      </c>
      <c r="Z251" s="4">
        <v>24</v>
      </c>
      <c r="AK251" s="4">
        <f t="shared" si="15"/>
        <v>2</v>
      </c>
      <c r="AL251" s="4">
        <f t="shared" si="16"/>
        <v>48</v>
      </c>
      <c r="AM251" s="4">
        <f t="shared" si="17"/>
        <v>0</v>
      </c>
      <c r="AN251" s="4">
        <f t="shared" si="18"/>
        <v>0</v>
      </c>
      <c r="AO251" s="4">
        <f t="shared" si="19"/>
        <v>24</v>
      </c>
    </row>
    <row r="252" spans="1:41" x14ac:dyDescent="0.2">
      <c r="A252" s="4" t="s">
        <v>1424</v>
      </c>
      <c r="B252" s="4" t="s">
        <v>1425</v>
      </c>
      <c r="C252" s="4" t="s">
        <v>129</v>
      </c>
      <c r="D252" s="4" t="s">
        <v>925</v>
      </c>
      <c r="E252" s="4">
        <v>2</v>
      </c>
      <c r="F252" s="4">
        <v>32</v>
      </c>
      <c r="I252" s="4">
        <v>1</v>
      </c>
      <c r="J252" s="4">
        <v>16</v>
      </c>
      <c r="U252" s="4">
        <v>3</v>
      </c>
      <c r="V252" s="4">
        <v>48</v>
      </c>
      <c r="AC252" s="4">
        <v>4</v>
      </c>
      <c r="AD252" s="4">
        <v>64</v>
      </c>
      <c r="AE252" s="4">
        <v>5</v>
      </c>
      <c r="AF252" s="4">
        <v>80</v>
      </c>
      <c r="AG252" s="4">
        <v>1</v>
      </c>
      <c r="AH252" s="4">
        <v>16</v>
      </c>
      <c r="AI252" s="4">
        <v>2</v>
      </c>
      <c r="AJ252" s="4">
        <v>32</v>
      </c>
      <c r="AK252" s="4">
        <f t="shared" si="15"/>
        <v>18</v>
      </c>
      <c r="AL252" s="4">
        <f t="shared" si="16"/>
        <v>288</v>
      </c>
      <c r="AM252" s="4">
        <f t="shared" si="17"/>
        <v>0</v>
      </c>
      <c r="AN252" s="4">
        <f t="shared" si="18"/>
        <v>0</v>
      </c>
      <c r="AO252" s="4">
        <f t="shared" si="19"/>
        <v>41.142857142857146</v>
      </c>
    </row>
    <row r="253" spans="1:41" x14ac:dyDescent="0.2">
      <c r="A253" s="4" t="s">
        <v>1426</v>
      </c>
      <c r="B253" s="4" t="s">
        <v>1427</v>
      </c>
      <c r="C253" s="4" t="s">
        <v>129</v>
      </c>
      <c r="D253" s="4" t="s">
        <v>925</v>
      </c>
      <c r="E253" s="4">
        <v>2</v>
      </c>
      <c r="F253" s="4">
        <v>22</v>
      </c>
      <c r="I253" s="4">
        <v>3</v>
      </c>
      <c r="J253" s="4">
        <v>33</v>
      </c>
      <c r="M253" s="4">
        <v>6</v>
      </c>
      <c r="N253" s="4">
        <v>66</v>
      </c>
      <c r="Q253" s="4">
        <v>1</v>
      </c>
      <c r="R253" s="4">
        <v>11</v>
      </c>
      <c r="U253" s="4">
        <v>2</v>
      </c>
      <c r="V253" s="4">
        <v>22</v>
      </c>
      <c r="W253" s="4">
        <v>5</v>
      </c>
      <c r="X253" s="4">
        <v>55</v>
      </c>
      <c r="Y253" s="4">
        <v>2</v>
      </c>
      <c r="Z253" s="4">
        <v>22</v>
      </c>
      <c r="AC253" s="4">
        <v>1</v>
      </c>
      <c r="AD253" s="4">
        <v>11</v>
      </c>
      <c r="AK253" s="4">
        <f t="shared" si="15"/>
        <v>22</v>
      </c>
      <c r="AL253" s="4">
        <f t="shared" si="16"/>
        <v>242</v>
      </c>
      <c r="AM253" s="4">
        <f t="shared" si="17"/>
        <v>0</v>
      </c>
      <c r="AN253" s="4">
        <f t="shared" si="18"/>
        <v>0</v>
      </c>
      <c r="AO253" s="4">
        <f t="shared" si="19"/>
        <v>30.25</v>
      </c>
    </row>
    <row r="254" spans="1:41" x14ac:dyDescent="0.2">
      <c r="A254" s="4" t="s">
        <v>1428</v>
      </c>
      <c r="B254" s="4" t="s">
        <v>1429</v>
      </c>
      <c r="C254" s="4" t="s">
        <v>129</v>
      </c>
      <c r="D254" s="4" t="s">
        <v>925</v>
      </c>
      <c r="E254" s="4">
        <v>2</v>
      </c>
      <c r="F254" s="4">
        <v>22</v>
      </c>
      <c r="I254" s="4">
        <v>4</v>
      </c>
      <c r="J254" s="4">
        <v>44</v>
      </c>
      <c r="M254" s="4">
        <v>4</v>
      </c>
      <c r="N254" s="4">
        <v>44</v>
      </c>
      <c r="Q254" s="4">
        <v>1</v>
      </c>
      <c r="R254" s="4">
        <v>11</v>
      </c>
      <c r="U254" s="4">
        <v>1</v>
      </c>
      <c r="V254" s="4">
        <v>11</v>
      </c>
      <c r="W254" s="4">
        <v>3</v>
      </c>
      <c r="X254" s="4">
        <v>33</v>
      </c>
      <c r="AK254" s="4">
        <f t="shared" si="15"/>
        <v>15</v>
      </c>
      <c r="AL254" s="4">
        <f t="shared" si="16"/>
        <v>165</v>
      </c>
      <c r="AM254" s="4">
        <f t="shared" si="17"/>
        <v>0</v>
      </c>
      <c r="AN254" s="4">
        <f t="shared" si="18"/>
        <v>0</v>
      </c>
      <c r="AO254" s="4">
        <f t="shared" si="19"/>
        <v>27.5</v>
      </c>
    </row>
    <row r="255" spans="1:41" x14ac:dyDescent="0.2">
      <c r="A255" s="4" t="s">
        <v>1430</v>
      </c>
      <c r="B255" s="4" t="s">
        <v>1431</v>
      </c>
      <c r="C255" s="4" t="s">
        <v>129</v>
      </c>
      <c r="D255" s="4" t="s">
        <v>925</v>
      </c>
      <c r="E255" s="4">
        <v>2</v>
      </c>
      <c r="F255" s="4">
        <v>32</v>
      </c>
      <c r="I255" s="4">
        <v>4</v>
      </c>
      <c r="J255" s="4">
        <v>64</v>
      </c>
      <c r="M255" s="4">
        <v>1</v>
      </c>
      <c r="N255" s="4">
        <v>16</v>
      </c>
      <c r="Q255" s="4">
        <v>2</v>
      </c>
      <c r="R255" s="4">
        <v>32</v>
      </c>
      <c r="W255" s="4">
        <v>1</v>
      </c>
      <c r="X255" s="4">
        <v>16</v>
      </c>
      <c r="AK255" s="4">
        <f t="shared" si="15"/>
        <v>10</v>
      </c>
      <c r="AL255" s="4">
        <f t="shared" si="16"/>
        <v>160</v>
      </c>
      <c r="AM255" s="4">
        <f t="shared" si="17"/>
        <v>0</v>
      </c>
      <c r="AN255" s="4">
        <f t="shared" si="18"/>
        <v>0</v>
      </c>
      <c r="AO255" s="4">
        <f t="shared" si="19"/>
        <v>32</v>
      </c>
    </row>
    <row r="256" spans="1:41" x14ac:dyDescent="0.2">
      <c r="A256" s="4" t="s">
        <v>1432</v>
      </c>
      <c r="B256" s="4" t="s">
        <v>1433</v>
      </c>
      <c r="C256" s="4" t="s">
        <v>129</v>
      </c>
      <c r="D256" s="4" t="s">
        <v>925</v>
      </c>
      <c r="I256" s="4">
        <v>2</v>
      </c>
      <c r="J256" s="4">
        <v>22</v>
      </c>
      <c r="AK256" s="4">
        <f t="shared" si="15"/>
        <v>2</v>
      </c>
      <c r="AL256" s="4">
        <f t="shared" si="16"/>
        <v>22</v>
      </c>
      <c r="AM256" s="4">
        <f t="shared" si="17"/>
        <v>0</v>
      </c>
      <c r="AN256" s="4">
        <f t="shared" si="18"/>
        <v>0</v>
      </c>
      <c r="AO256" s="4">
        <f t="shared" si="19"/>
        <v>22</v>
      </c>
    </row>
    <row r="257" spans="1:41" x14ac:dyDescent="0.2">
      <c r="A257" s="4" t="s">
        <v>923</v>
      </c>
      <c r="B257" s="4" t="s">
        <v>924</v>
      </c>
      <c r="C257" s="4" t="s">
        <v>129</v>
      </c>
      <c r="D257" s="4" t="s">
        <v>925</v>
      </c>
      <c r="G257" s="4">
        <v>1</v>
      </c>
      <c r="H257" s="4">
        <v>11</v>
      </c>
      <c r="K257" s="4">
        <v>1</v>
      </c>
      <c r="L257" s="4">
        <v>11</v>
      </c>
      <c r="M257" s="4">
        <v>1</v>
      </c>
      <c r="N257" s="4">
        <v>11</v>
      </c>
      <c r="Q257" s="4">
        <v>2</v>
      </c>
      <c r="R257" s="4">
        <v>22</v>
      </c>
      <c r="U257" s="4">
        <v>3</v>
      </c>
      <c r="V257" s="4">
        <v>33</v>
      </c>
      <c r="W257" s="4">
        <v>2</v>
      </c>
      <c r="X257" s="4">
        <v>22</v>
      </c>
      <c r="AA257" s="4">
        <v>2</v>
      </c>
      <c r="AB257" s="4">
        <v>22</v>
      </c>
      <c r="AC257" s="4">
        <v>4</v>
      </c>
      <c r="AD257" s="4">
        <v>44</v>
      </c>
      <c r="AE257" s="4">
        <v>1</v>
      </c>
      <c r="AF257" s="4">
        <v>11</v>
      </c>
      <c r="AI257" s="4">
        <v>1</v>
      </c>
      <c r="AJ257" s="4">
        <v>11</v>
      </c>
      <c r="AK257" s="4">
        <f t="shared" si="15"/>
        <v>16</v>
      </c>
      <c r="AL257" s="4">
        <f t="shared" si="16"/>
        <v>176</v>
      </c>
      <c r="AM257" s="4">
        <f t="shared" si="17"/>
        <v>2</v>
      </c>
      <c r="AN257" s="4">
        <f t="shared" si="18"/>
        <v>22</v>
      </c>
      <c r="AO257" s="4">
        <f t="shared" si="19"/>
        <v>19.8</v>
      </c>
    </row>
    <row r="258" spans="1:41" x14ac:dyDescent="0.2">
      <c r="A258" s="4" t="s">
        <v>926</v>
      </c>
      <c r="B258" s="4" t="s">
        <v>927</v>
      </c>
      <c r="C258" s="4" t="s">
        <v>129</v>
      </c>
      <c r="D258" s="4" t="s">
        <v>315</v>
      </c>
      <c r="K258" s="4">
        <v>1</v>
      </c>
      <c r="L258" s="4">
        <v>18</v>
      </c>
      <c r="O258" s="4">
        <v>2</v>
      </c>
      <c r="P258" s="4">
        <v>36</v>
      </c>
      <c r="AC258" s="4">
        <v>1</v>
      </c>
      <c r="AD258" s="4">
        <v>18</v>
      </c>
      <c r="AE258" s="4">
        <v>2</v>
      </c>
      <c r="AF258" s="4">
        <v>36</v>
      </c>
      <c r="AK258" s="4">
        <f t="shared" si="15"/>
        <v>3</v>
      </c>
      <c r="AL258" s="4">
        <f t="shared" si="16"/>
        <v>54</v>
      </c>
      <c r="AM258" s="4">
        <f t="shared" si="17"/>
        <v>3</v>
      </c>
      <c r="AN258" s="4">
        <f t="shared" si="18"/>
        <v>54</v>
      </c>
      <c r="AO258" s="4">
        <f t="shared" si="19"/>
        <v>27</v>
      </c>
    </row>
    <row r="259" spans="1:41" x14ac:dyDescent="0.2">
      <c r="A259" s="4" t="s">
        <v>527</v>
      </c>
      <c r="B259" s="4" t="s">
        <v>528</v>
      </c>
      <c r="C259" s="4" t="s">
        <v>129</v>
      </c>
      <c r="D259" s="4" t="s">
        <v>315</v>
      </c>
      <c r="K259" s="4">
        <v>1</v>
      </c>
      <c r="L259" s="4">
        <v>19</v>
      </c>
      <c r="O259" s="4">
        <v>2</v>
      </c>
      <c r="P259" s="4">
        <v>38</v>
      </c>
      <c r="AC259" s="4">
        <v>1</v>
      </c>
      <c r="AD259" s="4">
        <v>19</v>
      </c>
      <c r="AE259" s="4">
        <v>1</v>
      </c>
      <c r="AF259" s="4">
        <v>19</v>
      </c>
      <c r="AK259" s="4">
        <f t="shared" si="15"/>
        <v>2</v>
      </c>
      <c r="AL259" s="4">
        <f t="shared" si="16"/>
        <v>38</v>
      </c>
      <c r="AM259" s="4">
        <f t="shared" si="17"/>
        <v>3</v>
      </c>
      <c r="AN259" s="4">
        <f t="shared" si="18"/>
        <v>57</v>
      </c>
      <c r="AO259" s="4">
        <f t="shared" si="19"/>
        <v>23.75</v>
      </c>
    </row>
    <row r="260" spans="1:41" x14ac:dyDescent="0.2">
      <c r="A260" s="4" t="s">
        <v>928</v>
      </c>
      <c r="B260" s="4" t="s">
        <v>929</v>
      </c>
      <c r="C260" s="4" t="s">
        <v>129</v>
      </c>
      <c r="D260" s="4" t="s">
        <v>315</v>
      </c>
      <c r="K260" s="4">
        <v>2</v>
      </c>
      <c r="L260" s="4">
        <v>18</v>
      </c>
      <c r="O260" s="4">
        <v>2</v>
      </c>
      <c r="P260" s="4">
        <v>18</v>
      </c>
      <c r="AC260" s="4">
        <v>1</v>
      </c>
      <c r="AD260" s="4">
        <v>9</v>
      </c>
      <c r="AE260" s="4">
        <v>1</v>
      </c>
      <c r="AF260" s="4">
        <v>9</v>
      </c>
      <c r="AK260" s="4">
        <f t="shared" si="15"/>
        <v>2</v>
      </c>
      <c r="AL260" s="4">
        <f t="shared" si="16"/>
        <v>18</v>
      </c>
      <c r="AM260" s="4">
        <f t="shared" si="17"/>
        <v>4</v>
      </c>
      <c r="AN260" s="4">
        <f t="shared" si="18"/>
        <v>36</v>
      </c>
      <c r="AO260" s="4">
        <f t="shared" si="19"/>
        <v>13.5</v>
      </c>
    </row>
    <row r="261" spans="1:41" x14ac:dyDescent="0.2">
      <c r="A261" s="4" t="s">
        <v>930</v>
      </c>
      <c r="B261" s="4" t="s">
        <v>931</v>
      </c>
      <c r="C261" s="4" t="s">
        <v>129</v>
      </c>
      <c r="D261" s="4" t="s">
        <v>315</v>
      </c>
      <c r="K261" s="4">
        <v>1</v>
      </c>
      <c r="L261" s="4">
        <v>19</v>
      </c>
      <c r="O261" s="4">
        <v>1</v>
      </c>
      <c r="P261" s="4">
        <v>19</v>
      </c>
      <c r="S261" s="4">
        <v>1</v>
      </c>
      <c r="T261" s="4">
        <v>19</v>
      </c>
      <c r="AE261" s="4">
        <v>2</v>
      </c>
      <c r="AF261" s="4">
        <v>38</v>
      </c>
      <c r="AG261" s="4">
        <v>1</v>
      </c>
      <c r="AH261" s="4">
        <v>19</v>
      </c>
      <c r="AK261" s="4">
        <f t="shared" ref="AK261:AK324" si="20">SUM(E261,I261,M261,Q261,U261,W261,Y261,AA261,AC261,AE261,AG261,AI261)</f>
        <v>3</v>
      </c>
      <c r="AL261" s="4">
        <f t="shared" ref="AL261:AL324" si="21">SUM(F261,J261,N261,R261,V261,X261,Z261,AB261,AD261,AF261,AH261,AJ261)</f>
        <v>57</v>
      </c>
      <c r="AM261" s="4">
        <f t="shared" ref="AM261:AM324" si="22">SUM(G261,K261,O261,S261)</f>
        <v>3</v>
      </c>
      <c r="AN261" s="4">
        <f t="shared" ref="AN261:AN324" si="23">SUM(H261,L261,P261,T261)</f>
        <v>57</v>
      </c>
      <c r="AO261" s="4">
        <f t="shared" ref="AO261:AO324" si="24">AVERAGE(F261,H261,J261,L261,N261,P261,R261,T261,V261,X261,Z261,AB261,AD261,AF261,AH261,AJ261)</f>
        <v>22.8</v>
      </c>
    </row>
    <row r="262" spans="1:41" x14ac:dyDescent="0.2">
      <c r="A262" s="4" t="s">
        <v>529</v>
      </c>
      <c r="B262" s="4" t="s">
        <v>530</v>
      </c>
      <c r="C262" s="4" t="s">
        <v>129</v>
      </c>
      <c r="D262" s="4" t="s">
        <v>315</v>
      </c>
      <c r="AC262" s="4">
        <v>1</v>
      </c>
      <c r="AD262" s="4">
        <v>27</v>
      </c>
      <c r="AE262" s="4">
        <v>1</v>
      </c>
      <c r="AF262" s="4">
        <v>27</v>
      </c>
      <c r="AG262" s="4">
        <v>1</v>
      </c>
      <c r="AH262" s="4">
        <v>27</v>
      </c>
      <c r="AK262" s="4">
        <f t="shared" si="20"/>
        <v>3</v>
      </c>
      <c r="AL262" s="4">
        <f t="shared" si="21"/>
        <v>81</v>
      </c>
      <c r="AM262" s="4">
        <f t="shared" si="22"/>
        <v>0</v>
      </c>
      <c r="AN262" s="4">
        <f t="shared" si="23"/>
        <v>0</v>
      </c>
      <c r="AO262" s="4">
        <f t="shared" si="24"/>
        <v>27</v>
      </c>
    </row>
    <row r="263" spans="1:41" x14ac:dyDescent="0.2">
      <c r="A263" s="4" t="s">
        <v>531</v>
      </c>
      <c r="B263" s="4" t="s">
        <v>532</v>
      </c>
      <c r="C263" s="4" t="s">
        <v>129</v>
      </c>
      <c r="D263" s="4" t="s">
        <v>315</v>
      </c>
      <c r="G263" s="4">
        <v>1</v>
      </c>
      <c r="H263" s="4">
        <v>40</v>
      </c>
      <c r="AK263" s="4">
        <f t="shared" si="20"/>
        <v>0</v>
      </c>
      <c r="AL263" s="4">
        <f t="shared" si="21"/>
        <v>0</v>
      </c>
      <c r="AM263" s="4">
        <f t="shared" si="22"/>
        <v>1</v>
      </c>
      <c r="AN263" s="4">
        <f t="shared" si="23"/>
        <v>40</v>
      </c>
      <c r="AO263" s="4">
        <f t="shared" si="24"/>
        <v>40</v>
      </c>
    </row>
    <row r="264" spans="1:41" x14ac:dyDescent="0.2">
      <c r="A264" s="4" t="s">
        <v>533</v>
      </c>
      <c r="B264" s="4" t="s">
        <v>534</v>
      </c>
      <c r="C264" s="4" t="s">
        <v>129</v>
      </c>
      <c r="D264" s="4" t="s">
        <v>315</v>
      </c>
      <c r="O264" s="4">
        <v>2</v>
      </c>
      <c r="P264" s="4">
        <v>20</v>
      </c>
      <c r="AE264" s="4">
        <v>1</v>
      </c>
      <c r="AF264" s="4">
        <v>7</v>
      </c>
      <c r="AG264" s="4">
        <v>1</v>
      </c>
      <c r="AH264" s="4">
        <v>10</v>
      </c>
      <c r="AK264" s="4">
        <f t="shared" si="20"/>
        <v>2</v>
      </c>
      <c r="AL264" s="4">
        <f t="shared" si="21"/>
        <v>17</v>
      </c>
      <c r="AM264" s="4">
        <f t="shared" si="22"/>
        <v>2</v>
      </c>
      <c r="AN264" s="4">
        <f t="shared" si="23"/>
        <v>20</v>
      </c>
      <c r="AO264" s="4">
        <f t="shared" si="24"/>
        <v>12.333333333333334</v>
      </c>
    </row>
    <row r="265" spans="1:41" x14ac:dyDescent="0.2">
      <c r="A265" s="4" t="s">
        <v>535</v>
      </c>
      <c r="B265" s="4" t="s">
        <v>536</v>
      </c>
      <c r="C265" s="4" t="s">
        <v>129</v>
      </c>
      <c r="D265" s="4" t="s">
        <v>315</v>
      </c>
      <c r="O265" s="4">
        <v>1</v>
      </c>
      <c r="P265" s="4">
        <v>23</v>
      </c>
      <c r="AK265" s="4">
        <f t="shared" si="20"/>
        <v>0</v>
      </c>
      <c r="AL265" s="4">
        <f t="shared" si="21"/>
        <v>0</v>
      </c>
      <c r="AM265" s="4">
        <f t="shared" si="22"/>
        <v>1</v>
      </c>
      <c r="AN265" s="4">
        <f t="shared" si="23"/>
        <v>23</v>
      </c>
      <c r="AO265" s="4">
        <f t="shared" si="24"/>
        <v>23</v>
      </c>
    </row>
    <row r="266" spans="1:41" x14ac:dyDescent="0.2">
      <c r="A266" s="4" t="s">
        <v>932</v>
      </c>
      <c r="B266" s="4" t="s">
        <v>933</v>
      </c>
      <c r="C266" s="4" t="s">
        <v>129</v>
      </c>
      <c r="D266" s="4" t="s">
        <v>315</v>
      </c>
      <c r="I266" s="4">
        <v>2</v>
      </c>
      <c r="J266" s="4">
        <v>52</v>
      </c>
      <c r="K266" s="4">
        <v>1</v>
      </c>
      <c r="L266" s="4">
        <v>26</v>
      </c>
      <c r="M266" s="4">
        <v>3</v>
      </c>
      <c r="N266" s="4">
        <v>78</v>
      </c>
      <c r="O266" s="4">
        <v>2</v>
      </c>
      <c r="P266" s="4">
        <v>52</v>
      </c>
      <c r="AC266" s="4">
        <v>1</v>
      </c>
      <c r="AD266" s="4">
        <v>26</v>
      </c>
      <c r="AG266" s="4">
        <v>2</v>
      </c>
      <c r="AH266" s="4">
        <v>52</v>
      </c>
      <c r="AK266" s="4">
        <f t="shared" si="20"/>
        <v>8</v>
      </c>
      <c r="AL266" s="4">
        <f t="shared" si="21"/>
        <v>208</v>
      </c>
      <c r="AM266" s="4">
        <f t="shared" si="22"/>
        <v>3</v>
      </c>
      <c r="AN266" s="4">
        <f t="shared" si="23"/>
        <v>78</v>
      </c>
      <c r="AO266" s="4">
        <f t="shared" si="24"/>
        <v>47.666666666666664</v>
      </c>
    </row>
    <row r="267" spans="1:41" x14ac:dyDescent="0.2">
      <c r="A267" s="4" t="s">
        <v>934</v>
      </c>
      <c r="B267" s="4" t="s">
        <v>935</v>
      </c>
      <c r="C267" s="4" t="s">
        <v>129</v>
      </c>
      <c r="D267" s="4" t="s">
        <v>315</v>
      </c>
      <c r="K267" s="4">
        <v>1</v>
      </c>
      <c r="L267" s="4">
        <v>25</v>
      </c>
      <c r="O267" s="4">
        <v>3</v>
      </c>
      <c r="P267" s="4">
        <v>75</v>
      </c>
      <c r="S267" s="4">
        <v>1</v>
      </c>
      <c r="T267" s="4">
        <v>25</v>
      </c>
      <c r="AG267" s="4">
        <v>1</v>
      </c>
      <c r="AH267" s="4">
        <v>25</v>
      </c>
      <c r="AK267" s="4">
        <f t="shared" si="20"/>
        <v>1</v>
      </c>
      <c r="AL267" s="4">
        <f t="shared" si="21"/>
        <v>25</v>
      </c>
      <c r="AM267" s="4">
        <f t="shared" si="22"/>
        <v>5</v>
      </c>
      <c r="AN267" s="4">
        <f t="shared" si="23"/>
        <v>125</v>
      </c>
      <c r="AO267" s="4">
        <f t="shared" si="24"/>
        <v>37.5</v>
      </c>
    </row>
    <row r="268" spans="1:41" x14ac:dyDescent="0.2">
      <c r="A268" s="4" t="s">
        <v>537</v>
      </c>
      <c r="B268" s="4" t="s">
        <v>538</v>
      </c>
      <c r="C268" s="4" t="s">
        <v>129</v>
      </c>
      <c r="D268" s="4" t="s">
        <v>315</v>
      </c>
      <c r="O268" s="4">
        <v>1</v>
      </c>
      <c r="P268" s="4">
        <v>23</v>
      </c>
      <c r="AE268" s="4">
        <v>1</v>
      </c>
      <c r="AF268" s="4">
        <v>23</v>
      </c>
      <c r="AG268" s="4">
        <v>1</v>
      </c>
      <c r="AH268" s="4">
        <v>23</v>
      </c>
      <c r="AK268" s="4">
        <f t="shared" si="20"/>
        <v>2</v>
      </c>
      <c r="AL268" s="4">
        <f t="shared" si="21"/>
        <v>46</v>
      </c>
      <c r="AM268" s="4">
        <f t="shared" si="22"/>
        <v>1</v>
      </c>
      <c r="AN268" s="4">
        <f t="shared" si="23"/>
        <v>23</v>
      </c>
      <c r="AO268" s="4">
        <f t="shared" si="24"/>
        <v>23</v>
      </c>
    </row>
    <row r="269" spans="1:41" x14ac:dyDescent="0.2">
      <c r="A269" s="4" t="s">
        <v>539</v>
      </c>
      <c r="B269" s="4" t="s">
        <v>540</v>
      </c>
      <c r="C269" s="4" t="s">
        <v>129</v>
      </c>
      <c r="D269" s="4" t="s">
        <v>315</v>
      </c>
      <c r="G269" s="4">
        <v>1</v>
      </c>
      <c r="H269" s="4">
        <v>19</v>
      </c>
      <c r="K269" s="4">
        <v>1</v>
      </c>
      <c r="L269" s="4">
        <v>19</v>
      </c>
      <c r="AK269" s="4">
        <f t="shared" si="20"/>
        <v>0</v>
      </c>
      <c r="AL269" s="4">
        <f t="shared" si="21"/>
        <v>0</v>
      </c>
      <c r="AM269" s="4">
        <f t="shared" si="22"/>
        <v>2</v>
      </c>
      <c r="AN269" s="4">
        <f t="shared" si="23"/>
        <v>38</v>
      </c>
      <c r="AO269" s="4">
        <f t="shared" si="24"/>
        <v>19</v>
      </c>
    </row>
    <row r="270" spans="1:41" x14ac:dyDescent="0.2">
      <c r="A270" s="4" t="s">
        <v>543</v>
      </c>
      <c r="B270" s="4" t="s">
        <v>544</v>
      </c>
      <c r="C270" s="4" t="s">
        <v>129</v>
      </c>
      <c r="D270" s="4" t="s">
        <v>315</v>
      </c>
      <c r="K270" s="4">
        <v>1</v>
      </c>
      <c r="L270" s="4">
        <v>20</v>
      </c>
      <c r="S270" s="4">
        <v>1</v>
      </c>
      <c r="T270" s="4">
        <v>13</v>
      </c>
      <c r="AK270" s="4">
        <f t="shared" si="20"/>
        <v>0</v>
      </c>
      <c r="AL270" s="4">
        <f t="shared" si="21"/>
        <v>0</v>
      </c>
      <c r="AM270" s="4">
        <f t="shared" si="22"/>
        <v>2</v>
      </c>
      <c r="AN270" s="4">
        <f t="shared" si="23"/>
        <v>33</v>
      </c>
      <c r="AO270" s="4">
        <f t="shared" si="24"/>
        <v>16.5</v>
      </c>
    </row>
    <row r="271" spans="1:41" x14ac:dyDescent="0.2">
      <c r="A271" s="4" t="s">
        <v>545</v>
      </c>
      <c r="B271" s="4" t="s">
        <v>546</v>
      </c>
      <c r="C271" s="4" t="s">
        <v>129</v>
      </c>
      <c r="D271" s="4" t="s">
        <v>315</v>
      </c>
      <c r="K271" s="4">
        <v>1</v>
      </c>
      <c r="L271" s="4">
        <v>13</v>
      </c>
      <c r="O271" s="4">
        <v>1</v>
      </c>
      <c r="P271" s="4">
        <v>13</v>
      </c>
      <c r="S271" s="4">
        <v>3</v>
      </c>
      <c r="T271" s="4">
        <v>39</v>
      </c>
      <c r="AE271" s="4">
        <v>1</v>
      </c>
      <c r="AF271" s="4">
        <v>13</v>
      </c>
      <c r="AI271" s="4">
        <v>1</v>
      </c>
      <c r="AJ271" s="4">
        <v>13</v>
      </c>
      <c r="AK271" s="4">
        <f t="shared" si="20"/>
        <v>2</v>
      </c>
      <c r="AL271" s="4">
        <f t="shared" si="21"/>
        <v>26</v>
      </c>
      <c r="AM271" s="4">
        <f t="shared" si="22"/>
        <v>5</v>
      </c>
      <c r="AN271" s="4">
        <f t="shared" si="23"/>
        <v>65</v>
      </c>
      <c r="AO271" s="4">
        <f t="shared" si="24"/>
        <v>18.2</v>
      </c>
    </row>
    <row r="272" spans="1:41" x14ac:dyDescent="0.2">
      <c r="A272" s="4" t="s">
        <v>547</v>
      </c>
      <c r="B272" s="4" t="s">
        <v>548</v>
      </c>
      <c r="C272" s="4" t="s">
        <v>129</v>
      </c>
      <c r="D272" s="4" t="s">
        <v>315</v>
      </c>
      <c r="O272" s="4">
        <v>1</v>
      </c>
      <c r="P272" s="4">
        <v>13</v>
      </c>
      <c r="AE272" s="4">
        <v>1</v>
      </c>
      <c r="AF272" s="4">
        <v>13</v>
      </c>
      <c r="AG272" s="4">
        <v>1</v>
      </c>
      <c r="AH272" s="4">
        <v>13</v>
      </c>
      <c r="AK272" s="4">
        <f t="shared" si="20"/>
        <v>2</v>
      </c>
      <c r="AL272" s="4">
        <f t="shared" si="21"/>
        <v>26</v>
      </c>
      <c r="AM272" s="4">
        <f t="shared" si="22"/>
        <v>1</v>
      </c>
      <c r="AN272" s="4">
        <f t="shared" si="23"/>
        <v>13</v>
      </c>
      <c r="AO272" s="4">
        <f t="shared" si="24"/>
        <v>13</v>
      </c>
    </row>
    <row r="273" spans="1:41" x14ac:dyDescent="0.2">
      <c r="A273" s="4" t="s">
        <v>549</v>
      </c>
      <c r="B273" s="4" t="s">
        <v>936</v>
      </c>
      <c r="C273" s="4" t="s">
        <v>129</v>
      </c>
      <c r="D273" s="4" t="s">
        <v>315</v>
      </c>
      <c r="O273" s="4">
        <v>1</v>
      </c>
      <c r="P273" s="4">
        <v>13</v>
      </c>
      <c r="S273" s="4">
        <v>2</v>
      </c>
      <c r="T273" s="4">
        <v>26</v>
      </c>
      <c r="AE273" s="4">
        <v>1</v>
      </c>
      <c r="AF273" s="4">
        <v>13</v>
      </c>
      <c r="AK273" s="4">
        <f t="shared" si="20"/>
        <v>1</v>
      </c>
      <c r="AL273" s="4">
        <f t="shared" si="21"/>
        <v>13</v>
      </c>
      <c r="AM273" s="4">
        <f t="shared" si="22"/>
        <v>3</v>
      </c>
      <c r="AN273" s="4">
        <f t="shared" si="23"/>
        <v>39</v>
      </c>
      <c r="AO273" s="4">
        <f t="shared" si="24"/>
        <v>17.333333333333332</v>
      </c>
    </row>
    <row r="274" spans="1:41" x14ac:dyDescent="0.2">
      <c r="A274" s="4" t="s">
        <v>561</v>
      </c>
      <c r="B274" s="4" t="s">
        <v>562</v>
      </c>
      <c r="C274" s="4" t="s">
        <v>129</v>
      </c>
      <c r="D274" s="4" t="s">
        <v>315</v>
      </c>
      <c r="O274" s="4">
        <v>1</v>
      </c>
      <c r="P274" s="4">
        <v>13</v>
      </c>
      <c r="S274" s="4">
        <v>4</v>
      </c>
      <c r="T274" s="4">
        <v>52</v>
      </c>
      <c r="AG274" s="4">
        <v>1</v>
      </c>
      <c r="AH274" s="4">
        <v>13</v>
      </c>
      <c r="AK274" s="4">
        <f t="shared" si="20"/>
        <v>1</v>
      </c>
      <c r="AL274" s="4">
        <f t="shared" si="21"/>
        <v>13</v>
      </c>
      <c r="AM274" s="4">
        <f t="shared" si="22"/>
        <v>5</v>
      </c>
      <c r="AN274" s="4">
        <f t="shared" si="23"/>
        <v>65</v>
      </c>
      <c r="AO274" s="4">
        <f t="shared" si="24"/>
        <v>26</v>
      </c>
    </row>
    <row r="275" spans="1:41" x14ac:dyDescent="0.2">
      <c r="A275" s="4" t="s">
        <v>563</v>
      </c>
      <c r="B275" s="4" t="s">
        <v>564</v>
      </c>
      <c r="C275" s="4" t="s">
        <v>129</v>
      </c>
      <c r="D275" s="4" t="s">
        <v>315</v>
      </c>
      <c r="O275" s="4">
        <v>1</v>
      </c>
      <c r="P275" s="4">
        <v>21</v>
      </c>
      <c r="AE275" s="4">
        <v>1</v>
      </c>
      <c r="AF275" s="4">
        <v>21</v>
      </c>
      <c r="AK275" s="4">
        <f t="shared" si="20"/>
        <v>1</v>
      </c>
      <c r="AL275" s="4">
        <f t="shared" si="21"/>
        <v>21</v>
      </c>
      <c r="AM275" s="4">
        <f t="shared" si="22"/>
        <v>1</v>
      </c>
      <c r="AN275" s="4">
        <f t="shared" si="23"/>
        <v>21</v>
      </c>
      <c r="AO275" s="4">
        <f t="shared" si="24"/>
        <v>21</v>
      </c>
    </row>
    <row r="276" spans="1:41" x14ac:dyDescent="0.2">
      <c r="A276" s="4" t="s">
        <v>565</v>
      </c>
      <c r="B276" s="4" t="s">
        <v>566</v>
      </c>
      <c r="C276" s="4" t="s">
        <v>129</v>
      </c>
      <c r="D276" s="4" t="s">
        <v>315</v>
      </c>
      <c r="O276" s="4">
        <v>1</v>
      </c>
      <c r="P276" s="4">
        <v>25</v>
      </c>
      <c r="AE276" s="4">
        <v>1</v>
      </c>
      <c r="AF276" s="4">
        <v>25</v>
      </c>
      <c r="AK276" s="4">
        <f t="shared" si="20"/>
        <v>1</v>
      </c>
      <c r="AL276" s="4">
        <f t="shared" si="21"/>
        <v>25</v>
      </c>
      <c r="AM276" s="4">
        <f t="shared" si="22"/>
        <v>1</v>
      </c>
      <c r="AN276" s="4">
        <f t="shared" si="23"/>
        <v>25</v>
      </c>
      <c r="AO276" s="4">
        <f t="shared" si="24"/>
        <v>25</v>
      </c>
    </row>
    <row r="277" spans="1:41" x14ac:dyDescent="0.2">
      <c r="A277" s="4" t="s">
        <v>567</v>
      </c>
      <c r="B277" s="4" t="s">
        <v>568</v>
      </c>
      <c r="C277" s="4" t="s">
        <v>129</v>
      </c>
      <c r="D277" s="4" t="s">
        <v>315</v>
      </c>
      <c r="O277" s="4">
        <v>1</v>
      </c>
      <c r="P277" s="4">
        <v>16</v>
      </c>
      <c r="AG277" s="4">
        <v>1</v>
      </c>
      <c r="AH277" s="4">
        <v>16</v>
      </c>
      <c r="AK277" s="4">
        <f t="shared" si="20"/>
        <v>1</v>
      </c>
      <c r="AL277" s="4">
        <f t="shared" si="21"/>
        <v>16</v>
      </c>
      <c r="AM277" s="4">
        <f t="shared" si="22"/>
        <v>1</v>
      </c>
      <c r="AN277" s="4">
        <f t="shared" si="23"/>
        <v>16</v>
      </c>
      <c r="AO277" s="4">
        <f t="shared" si="24"/>
        <v>16</v>
      </c>
    </row>
    <row r="278" spans="1:41" x14ac:dyDescent="0.2">
      <c r="A278" s="4" t="s">
        <v>569</v>
      </c>
      <c r="B278" s="4" t="s">
        <v>570</v>
      </c>
      <c r="C278" s="4" t="s">
        <v>129</v>
      </c>
      <c r="D278" s="4" t="s">
        <v>315</v>
      </c>
      <c r="O278" s="4">
        <v>2</v>
      </c>
      <c r="P278" s="4">
        <v>38</v>
      </c>
      <c r="S278" s="4">
        <v>1</v>
      </c>
      <c r="T278" s="4">
        <v>19</v>
      </c>
      <c r="AI278" s="4">
        <v>1</v>
      </c>
      <c r="AJ278" s="4">
        <v>19</v>
      </c>
      <c r="AK278" s="4">
        <f t="shared" si="20"/>
        <v>1</v>
      </c>
      <c r="AL278" s="4">
        <f t="shared" si="21"/>
        <v>19</v>
      </c>
      <c r="AM278" s="4">
        <f t="shared" si="22"/>
        <v>3</v>
      </c>
      <c r="AN278" s="4">
        <f t="shared" si="23"/>
        <v>57</v>
      </c>
      <c r="AO278" s="4">
        <f t="shared" si="24"/>
        <v>25.333333333333332</v>
      </c>
    </row>
    <row r="279" spans="1:41" x14ac:dyDescent="0.2">
      <c r="A279" s="4" t="s">
        <v>573</v>
      </c>
      <c r="B279" s="4" t="s">
        <v>574</v>
      </c>
      <c r="C279" s="4" t="s">
        <v>129</v>
      </c>
      <c r="D279" s="4" t="s">
        <v>315</v>
      </c>
      <c r="K279" s="4">
        <v>1</v>
      </c>
      <c r="L279" s="4">
        <v>19</v>
      </c>
      <c r="AK279" s="4">
        <f t="shared" si="20"/>
        <v>0</v>
      </c>
      <c r="AL279" s="4">
        <f t="shared" si="21"/>
        <v>0</v>
      </c>
      <c r="AM279" s="4">
        <f t="shared" si="22"/>
        <v>1</v>
      </c>
      <c r="AN279" s="4">
        <f t="shared" si="23"/>
        <v>19</v>
      </c>
      <c r="AO279" s="4">
        <f t="shared" si="24"/>
        <v>19</v>
      </c>
    </row>
    <row r="280" spans="1:41" x14ac:dyDescent="0.2">
      <c r="A280" s="4" t="s">
        <v>579</v>
      </c>
      <c r="B280" s="4" t="s">
        <v>580</v>
      </c>
      <c r="C280" s="4" t="s">
        <v>129</v>
      </c>
      <c r="D280" s="4" t="s">
        <v>315</v>
      </c>
      <c r="Y280" s="4">
        <v>1</v>
      </c>
      <c r="Z280" s="4">
        <v>20</v>
      </c>
      <c r="AA280" s="4">
        <v>1</v>
      </c>
      <c r="AB280" s="4">
        <v>20</v>
      </c>
      <c r="AG280" s="4">
        <v>1</v>
      </c>
      <c r="AH280" s="4">
        <v>20</v>
      </c>
      <c r="AK280" s="4">
        <f t="shared" si="20"/>
        <v>3</v>
      </c>
      <c r="AL280" s="4">
        <f t="shared" si="21"/>
        <v>60</v>
      </c>
      <c r="AM280" s="4">
        <f t="shared" si="22"/>
        <v>0</v>
      </c>
      <c r="AN280" s="4">
        <f t="shared" si="23"/>
        <v>0</v>
      </c>
      <c r="AO280" s="4">
        <f t="shared" si="24"/>
        <v>20</v>
      </c>
    </row>
    <row r="281" spans="1:41" x14ac:dyDescent="0.2">
      <c r="A281" s="4" t="s">
        <v>1434</v>
      </c>
      <c r="B281" s="4" t="s">
        <v>755</v>
      </c>
      <c r="C281" s="4" t="s">
        <v>129</v>
      </c>
      <c r="D281" s="4" t="s">
        <v>315</v>
      </c>
      <c r="W281" s="4">
        <v>4</v>
      </c>
      <c r="X281" s="4">
        <v>80</v>
      </c>
      <c r="Y281" s="4">
        <v>1</v>
      </c>
      <c r="Z281" s="4">
        <v>20</v>
      </c>
      <c r="AK281" s="4">
        <f t="shared" si="20"/>
        <v>5</v>
      </c>
      <c r="AL281" s="4">
        <f t="shared" si="21"/>
        <v>100</v>
      </c>
      <c r="AM281" s="4">
        <f t="shared" si="22"/>
        <v>0</v>
      </c>
      <c r="AN281" s="4">
        <f t="shared" si="23"/>
        <v>0</v>
      </c>
      <c r="AO281" s="4">
        <f t="shared" si="24"/>
        <v>50</v>
      </c>
    </row>
    <row r="282" spans="1:41" x14ac:dyDescent="0.2">
      <c r="A282" s="4" t="s">
        <v>937</v>
      </c>
      <c r="B282" s="4" t="s">
        <v>938</v>
      </c>
      <c r="C282" s="4" t="s">
        <v>129</v>
      </c>
      <c r="D282" s="4" t="s">
        <v>315</v>
      </c>
      <c r="K282" s="4">
        <v>1</v>
      </c>
      <c r="L282" s="4">
        <v>26</v>
      </c>
      <c r="W282" s="4">
        <v>1</v>
      </c>
      <c r="X282" s="4">
        <v>26</v>
      </c>
      <c r="Y282" s="4">
        <v>2</v>
      </c>
      <c r="Z282" s="4">
        <v>52</v>
      </c>
      <c r="AA282" s="4">
        <v>1</v>
      </c>
      <c r="AB282" s="4">
        <v>26</v>
      </c>
      <c r="AK282" s="4">
        <f t="shared" si="20"/>
        <v>4</v>
      </c>
      <c r="AL282" s="4">
        <f t="shared" si="21"/>
        <v>104</v>
      </c>
      <c r="AM282" s="4">
        <f t="shared" si="22"/>
        <v>1</v>
      </c>
      <c r="AN282" s="4">
        <f t="shared" si="23"/>
        <v>26</v>
      </c>
      <c r="AO282" s="4">
        <f t="shared" si="24"/>
        <v>32.5</v>
      </c>
    </row>
    <row r="283" spans="1:41" x14ac:dyDescent="0.2">
      <c r="A283" s="4" t="s">
        <v>1435</v>
      </c>
      <c r="B283" s="4" t="s">
        <v>1436</v>
      </c>
      <c r="C283" s="4" t="s">
        <v>129</v>
      </c>
      <c r="D283" s="4" t="s">
        <v>315</v>
      </c>
      <c r="M283" s="4">
        <v>3</v>
      </c>
      <c r="N283" s="4">
        <v>51</v>
      </c>
      <c r="Q283" s="4">
        <v>2</v>
      </c>
      <c r="R283" s="4">
        <v>34</v>
      </c>
      <c r="AK283" s="4">
        <f t="shared" si="20"/>
        <v>5</v>
      </c>
      <c r="AL283" s="4">
        <f t="shared" si="21"/>
        <v>85</v>
      </c>
      <c r="AM283" s="4">
        <f t="shared" si="22"/>
        <v>0</v>
      </c>
      <c r="AN283" s="4">
        <f t="shared" si="23"/>
        <v>0</v>
      </c>
      <c r="AO283" s="4">
        <f t="shared" si="24"/>
        <v>42.5</v>
      </c>
    </row>
    <row r="284" spans="1:41" x14ac:dyDescent="0.2">
      <c r="A284" s="4" t="s">
        <v>1437</v>
      </c>
      <c r="B284" s="4" t="s">
        <v>1438</v>
      </c>
      <c r="C284" s="4" t="s">
        <v>129</v>
      </c>
      <c r="D284" s="4" t="s">
        <v>315</v>
      </c>
      <c r="I284" s="4">
        <v>1</v>
      </c>
      <c r="J284" s="4">
        <v>28</v>
      </c>
      <c r="M284" s="4">
        <v>2</v>
      </c>
      <c r="N284" s="4">
        <v>56</v>
      </c>
      <c r="Q284" s="4">
        <v>1</v>
      </c>
      <c r="R284" s="4">
        <v>28</v>
      </c>
      <c r="AK284" s="4">
        <f t="shared" si="20"/>
        <v>4</v>
      </c>
      <c r="AL284" s="4">
        <f t="shared" si="21"/>
        <v>112</v>
      </c>
      <c r="AM284" s="4">
        <f t="shared" si="22"/>
        <v>0</v>
      </c>
      <c r="AN284" s="4">
        <f t="shared" si="23"/>
        <v>0</v>
      </c>
      <c r="AO284" s="4">
        <f t="shared" si="24"/>
        <v>37.333333333333336</v>
      </c>
    </row>
    <row r="285" spans="1:41" x14ac:dyDescent="0.2">
      <c r="A285" s="4" t="s">
        <v>1439</v>
      </c>
      <c r="B285" s="4" t="s">
        <v>1440</v>
      </c>
      <c r="C285" s="4" t="s">
        <v>129</v>
      </c>
      <c r="D285" s="4" t="s">
        <v>315</v>
      </c>
      <c r="Q285" s="4">
        <v>2</v>
      </c>
      <c r="R285" s="4">
        <v>48</v>
      </c>
      <c r="U285" s="4">
        <v>1</v>
      </c>
      <c r="V285" s="4">
        <v>24</v>
      </c>
      <c r="W285" s="4">
        <v>1</v>
      </c>
      <c r="X285" s="4">
        <v>24</v>
      </c>
      <c r="AK285" s="4">
        <f t="shared" si="20"/>
        <v>4</v>
      </c>
      <c r="AL285" s="4">
        <f t="shared" si="21"/>
        <v>96</v>
      </c>
      <c r="AM285" s="4">
        <f t="shared" si="22"/>
        <v>0</v>
      </c>
      <c r="AN285" s="4">
        <f t="shared" si="23"/>
        <v>0</v>
      </c>
      <c r="AO285" s="4">
        <f t="shared" si="24"/>
        <v>32</v>
      </c>
    </row>
    <row r="286" spans="1:41" x14ac:dyDescent="0.2">
      <c r="A286" s="4" t="s">
        <v>1441</v>
      </c>
      <c r="B286" s="4" t="s">
        <v>1442</v>
      </c>
      <c r="C286" s="4" t="s">
        <v>129</v>
      </c>
      <c r="D286" s="4" t="s">
        <v>315</v>
      </c>
      <c r="I286" s="4">
        <v>1</v>
      </c>
      <c r="J286" s="4">
        <v>26</v>
      </c>
      <c r="M286" s="4">
        <v>3</v>
      </c>
      <c r="N286" s="4">
        <v>78</v>
      </c>
      <c r="Q286" s="4">
        <v>2</v>
      </c>
      <c r="R286" s="4">
        <v>52</v>
      </c>
      <c r="U286" s="4">
        <v>2</v>
      </c>
      <c r="V286" s="4">
        <v>52</v>
      </c>
      <c r="Y286" s="4">
        <v>2</v>
      </c>
      <c r="Z286" s="4">
        <v>52</v>
      </c>
      <c r="AC286" s="4">
        <v>2</v>
      </c>
      <c r="AD286" s="4">
        <v>52</v>
      </c>
      <c r="AK286" s="4">
        <f t="shared" si="20"/>
        <v>12</v>
      </c>
      <c r="AL286" s="4">
        <f t="shared" si="21"/>
        <v>312</v>
      </c>
      <c r="AM286" s="4">
        <f t="shared" si="22"/>
        <v>0</v>
      </c>
      <c r="AN286" s="4">
        <f t="shared" si="23"/>
        <v>0</v>
      </c>
      <c r="AO286" s="4">
        <f t="shared" si="24"/>
        <v>52</v>
      </c>
    </row>
    <row r="287" spans="1:41" x14ac:dyDescent="0.2">
      <c r="A287" s="4" t="s">
        <v>939</v>
      </c>
      <c r="B287" s="4" t="s">
        <v>940</v>
      </c>
      <c r="C287" s="4" t="s">
        <v>129</v>
      </c>
      <c r="D287" s="4" t="s">
        <v>315</v>
      </c>
      <c r="O287" s="4">
        <v>1</v>
      </c>
      <c r="P287" s="4">
        <v>28</v>
      </c>
      <c r="Q287" s="4">
        <v>4</v>
      </c>
      <c r="R287" s="4">
        <v>112</v>
      </c>
      <c r="U287" s="4">
        <v>1</v>
      </c>
      <c r="V287" s="4">
        <v>28</v>
      </c>
      <c r="AK287" s="4">
        <f t="shared" si="20"/>
        <v>5</v>
      </c>
      <c r="AL287" s="4">
        <f t="shared" si="21"/>
        <v>140</v>
      </c>
      <c r="AM287" s="4">
        <f t="shared" si="22"/>
        <v>1</v>
      </c>
      <c r="AN287" s="4">
        <f t="shared" si="23"/>
        <v>28</v>
      </c>
      <c r="AO287" s="4">
        <f t="shared" si="24"/>
        <v>56</v>
      </c>
    </row>
    <row r="288" spans="1:41" x14ac:dyDescent="0.2">
      <c r="A288" s="4" t="s">
        <v>1443</v>
      </c>
      <c r="B288" s="4" t="s">
        <v>1444</v>
      </c>
      <c r="C288" s="4" t="s">
        <v>129</v>
      </c>
      <c r="D288" s="4" t="s">
        <v>315</v>
      </c>
      <c r="U288" s="4">
        <v>3</v>
      </c>
      <c r="V288" s="4">
        <v>45.9</v>
      </c>
      <c r="AK288" s="4">
        <f t="shared" si="20"/>
        <v>3</v>
      </c>
      <c r="AL288" s="4">
        <f t="shared" si="21"/>
        <v>45.9</v>
      </c>
      <c r="AM288" s="4">
        <f t="shared" si="22"/>
        <v>0</v>
      </c>
      <c r="AN288" s="4">
        <f t="shared" si="23"/>
        <v>0</v>
      </c>
      <c r="AO288" s="4">
        <f t="shared" si="24"/>
        <v>45.9</v>
      </c>
    </row>
    <row r="289" spans="1:41" x14ac:dyDescent="0.2">
      <c r="A289" s="4" t="s">
        <v>1445</v>
      </c>
      <c r="B289" s="4" t="s">
        <v>1446</v>
      </c>
      <c r="C289" s="4" t="s">
        <v>129</v>
      </c>
      <c r="D289" s="4" t="s">
        <v>315</v>
      </c>
      <c r="U289" s="4">
        <v>1</v>
      </c>
      <c r="V289" s="4">
        <v>22</v>
      </c>
      <c r="AK289" s="4">
        <f t="shared" si="20"/>
        <v>1</v>
      </c>
      <c r="AL289" s="4">
        <f t="shared" si="21"/>
        <v>22</v>
      </c>
      <c r="AM289" s="4">
        <f t="shared" si="22"/>
        <v>0</v>
      </c>
      <c r="AN289" s="4">
        <f t="shared" si="23"/>
        <v>0</v>
      </c>
      <c r="AO289" s="4">
        <f t="shared" si="24"/>
        <v>22</v>
      </c>
    </row>
    <row r="290" spans="1:41" x14ac:dyDescent="0.2">
      <c r="A290" s="4" t="s">
        <v>1447</v>
      </c>
      <c r="B290" s="4" t="s">
        <v>1448</v>
      </c>
      <c r="C290" s="4" t="s">
        <v>129</v>
      </c>
      <c r="D290" s="4" t="s">
        <v>315</v>
      </c>
      <c r="M290" s="4">
        <v>1</v>
      </c>
      <c r="N290" s="4">
        <v>32</v>
      </c>
      <c r="AA290" s="4">
        <v>1</v>
      </c>
      <c r="AB290" s="4">
        <v>32</v>
      </c>
      <c r="AK290" s="4">
        <f t="shared" si="20"/>
        <v>2</v>
      </c>
      <c r="AL290" s="4">
        <f t="shared" si="21"/>
        <v>64</v>
      </c>
      <c r="AM290" s="4">
        <f t="shared" si="22"/>
        <v>0</v>
      </c>
      <c r="AN290" s="4">
        <f t="shared" si="23"/>
        <v>0</v>
      </c>
      <c r="AO290" s="4">
        <f t="shared" si="24"/>
        <v>32</v>
      </c>
    </row>
    <row r="291" spans="1:41" x14ac:dyDescent="0.2">
      <c r="A291" s="4" t="s">
        <v>1449</v>
      </c>
      <c r="B291" s="4" t="s">
        <v>1450</v>
      </c>
      <c r="C291" s="4" t="s">
        <v>129</v>
      </c>
      <c r="D291" s="4" t="s">
        <v>315</v>
      </c>
      <c r="M291" s="4">
        <v>1</v>
      </c>
      <c r="N291" s="4">
        <v>26</v>
      </c>
      <c r="Q291" s="4">
        <v>1</v>
      </c>
      <c r="R291" s="4">
        <v>26</v>
      </c>
      <c r="AK291" s="4">
        <f t="shared" si="20"/>
        <v>2</v>
      </c>
      <c r="AL291" s="4">
        <f t="shared" si="21"/>
        <v>52</v>
      </c>
      <c r="AM291" s="4">
        <f t="shared" si="22"/>
        <v>0</v>
      </c>
      <c r="AN291" s="4">
        <f t="shared" si="23"/>
        <v>0</v>
      </c>
      <c r="AO291" s="4">
        <f t="shared" si="24"/>
        <v>26</v>
      </c>
    </row>
    <row r="292" spans="1:41" x14ac:dyDescent="0.2">
      <c r="A292" s="4" t="s">
        <v>1451</v>
      </c>
      <c r="B292" s="4" t="s">
        <v>1452</v>
      </c>
      <c r="C292" s="4" t="s">
        <v>129</v>
      </c>
      <c r="D292" s="4" t="s">
        <v>315</v>
      </c>
      <c r="M292" s="4">
        <v>1</v>
      </c>
      <c r="N292" s="4">
        <v>14</v>
      </c>
      <c r="AK292" s="4">
        <f t="shared" si="20"/>
        <v>1</v>
      </c>
      <c r="AL292" s="4">
        <f t="shared" si="21"/>
        <v>14</v>
      </c>
      <c r="AM292" s="4">
        <f t="shared" si="22"/>
        <v>0</v>
      </c>
      <c r="AN292" s="4">
        <f t="shared" si="23"/>
        <v>0</v>
      </c>
      <c r="AO292" s="4">
        <f t="shared" si="24"/>
        <v>14</v>
      </c>
    </row>
    <row r="293" spans="1:41" x14ac:dyDescent="0.2">
      <c r="A293" s="4" t="s">
        <v>1453</v>
      </c>
      <c r="B293" s="4" t="s">
        <v>1454</v>
      </c>
      <c r="C293" s="4" t="s">
        <v>129</v>
      </c>
      <c r="D293" s="4" t="s">
        <v>315</v>
      </c>
      <c r="M293" s="4">
        <v>1</v>
      </c>
      <c r="N293" s="4">
        <v>9</v>
      </c>
      <c r="U293" s="4">
        <v>1</v>
      </c>
      <c r="V293" s="4">
        <v>9</v>
      </c>
      <c r="AK293" s="4">
        <f t="shared" si="20"/>
        <v>2</v>
      </c>
      <c r="AL293" s="4">
        <f t="shared" si="21"/>
        <v>18</v>
      </c>
      <c r="AM293" s="4">
        <f t="shared" si="22"/>
        <v>0</v>
      </c>
      <c r="AN293" s="4">
        <f t="shared" si="23"/>
        <v>0</v>
      </c>
      <c r="AO293" s="4">
        <f t="shared" si="24"/>
        <v>9</v>
      </c>
    </row>
    <row r="294" spans="1:41" x14ac:dyDescent="0.2">
      <c r="A294" s="4" t="s">
        <v>1455</v>
      </c>
      <c r="B294" s="4" t="s">
        <v>1456</v>
      </c>
      <c r="C294" s="4" t="s">
        <v>129</v>
      </c>
      <c r="D294" s="4" t="s">
        <v>315</v>
      </c>
      <c r="M294" s="4">
        <v>1</v>
      </c>
      <c r="N294" s="4">
        <v>24</v>
      </c>
      <c r="AK294" s="4">
        <f t="shared" si="20"/>
        <v>1</v>
      </c>
      <c r="AL294" s="4">
        <f t="shared" si="21"/>
        <v>24</v>
      </c>
      <c r="AM294" s="4">
        <f t="shared" si="22"/>
        <v>0</v>
      </c>
      <c r="AN294" s="4">
        <f t="shared" si="23"/>
        <v>0</v>
      </c>
      <c r="AO294" s="4">
        <f t="shared" si="24"/>
        <v>24</v>
      </c>
    </row>
    <row r="295" spans="1:41" x14ac:dyDescent="0.2">
      <c r="A295" s="4" t="s">
        <v>1457</v>
      </c>
      <c r="B295" s="4" t="s">
        <v>1458</v>
      </c>
      <c r="C295" s="4" t="s">
        <v>129</v>
      </c>
      <c r="D295" s="4" t="s">
        <v>315</v>
      </c>
      <c r="M295" s="4">
        <v>1</v>
      </c>
      <c r="N295" s="4">
        <v>24</v>
      </c>
      <c r="U295" s="4">
        <v>1</v>
      </c>
      <c r="V295" s="4">
        <v>24</v>
      </c>
      <c r="AK295" s="4">
        <f t="shared" si="20"/>
        <v>2</v>
      </c>
      <c r="AL295" s="4">
        <f t="shared" si="21"/>
        <v>48</v>
      </c>
      <c r="AM295" s="4">
        <f t="shared" si="22"/>
        <v>0</v>
      </c>
      <c r="AN295" s="4">
        <f t="shared" si="23"/>
        <v>0</v>
      </c>
      <c r="AO295" s="4">
        <f t="shared" si="24"/>
        <v>24</v>
      </c>
    </row>
    <row r="296" spans="1:41" x14ac:dyDescent="0.2">
      <c r="A296" s="4" t="s">
        <v>1459</v>
      </c>
      <c r="B296" s="4" t="s">
        <v>1460</v>
      </c>
      <c r="C296" s="4" t="s">
        <v>129</v>
      </c>
      <c r="D296" s="4" t="s">
        <v>315</v>
      </c>
      <c r="U296" s="4">
        <v>1</v>
      </c>
      <c r="V296" s="4">
        <v>10</v>
      </c>
      <c r="AK296" s="4">
        <f t="shared" si="20"/>
        <v>1</v>
      </c>
      <c r="AL296" s="4">
        <f t="shared" si="21"/>
        <v>10</v>
      </c>
      <c r="AM296" s="4">
        <f t="shared" si="22"/>
        <v>0</v>
      </c>
      <c r="AN296" s="4">
        <f t="shared" si="23"/>
        <v>0</v>
      </c>
      <c r="AO296" s="4">
        <f t="shared" si="24"/>
        <v>10</v>
      </c>
    </row>
    <row r="297" spans="1:41" x14ac:dyDescent="0.2">
      <c r="A297" s="4" t="s">
        <v>1461</v>
      </c>
      <c r="B297" s="4" t="s">
        <v>1462</v>
      </c>
      <c r="C297" s="4" t="s">
        <v>129</v>
      </c>
      <c r="D297" s="4" t="s">
        <v>315</v>
      </c>
      <c r="Q297" s="4">
        <v>2</v>
      </c>
      <c r="R297" s="4">
        <v>60</v>
      </c>
      <c r="AK297" s="4">
        <f t="shared" si="20"/>
        <v>2</v>
      </c>
      <c r="AL297" s="4">
        <f t="shared" si="21"/>
        <v>60</v>
      </c>
      <c r="AM297" s="4">
        <f t="shared" si="22"/>
        <v>0</v>
      </c>
      <c r="AN297" s="4">
        <f t="shared" si="23"/>
        <v>0</v>
      </c>
      <c r="AO297" s="4">
        <f t="shared" si="24"/>
        <v>60</v>
      </c>
    </row>
    <row r="298" spans="1:41" x14ac:dyDescent="0.2">
      <c r="A298" s="4" t="s">
        <v>1463</v>
      </c>
      <c r="B298" s="4" t="s">
        <v>1464</v>
      </c>
      <c r="C298" s="4" t="s">
        <v>129</v>
      </c>
      <c r="D298" s="4" t="s">
        <v>315</v>
      </c>
      <c r="U298" s="4">
        <v>1</v>
      </c>
      <c r="V298" s="4">
        <v>24</v>
      </c>
      <c r="AC298" s="4">
        <v>1</v>
      </c>
      <c r="AD298" s="4">
        <v>24</v>
      </c>
      <c r="AK298" s="4">
        <f t="shared" si="20"/>
        <v>2</v>
      </c>
      <c r="AL298" s="4">
        <f t="shared" si="21"/>
        <v>48</v>
      </c>
      <c r="AM298" s="4">
        <f t="shared" si="22"/>
        <v>0</v>
      </c>
      <c r="AN298" s="4">
        <f t="shared" si="23"/>
        <v>0</v>
      </c>
      <c r="AO298" s="4">
        <f t="shared" si="24"/>
        <v>24</v>
      </c>
    </row>
    <row r="299" spans="1:41" x14ac:dyDescent="0.2">
      <c r="A299" s="4" t="s">
        <v>1465</v>
      </c>
      <c r="B299" s="4" t="s">
        <v>1466</v>
      </c>
      <c r="C299" s="4" t="s">
        <v>129</v>
      </c>
      <c r="D299" s="4" t="s">
        <v>315</v>
      </c>
      <c r="U299" s="4">
        <v>1</v>
      </c>
      <c r="V299" s="4">
        <v>8</v>
      </c>
      <c r="AK299" s="4">
        <f t="shared" si="20"/>
        <v>1</v>
      </c>
      <c r="AL299" s="4">
        <f t="shared" si="21"/>
        <v>8</v>
      </c>
      <c r="AM299" s="4">
        <f t="shared" si="22"/>
        <v>0</v>
      </c>
      <c r="AN299" s="4">
        <f t="shared" si="23"/>
        <v>0</v>
      </c>
      <c r="AO299" s="4">
        <f t="shared" si="24"/>
        <v>8</v>
      </c>
    </row>
    <row r="300" spans="1:41" x14ac:dyDescent="0.2">
      <c r="A300" s="4" t="s">
        <v>1467</v>
      </c>
      <c r="B300" s="4" t="s">
        <v>1468</v>
      </c>
      <c r="C300" s="4" t="s">
        <v>129</v>
      </c>
      <c r="D300" s="4" t="s">
        <v>925</v>
      </c>
      <c r="E300" s="4">
        <v>2</v>
      </c>
      <c r="F300" s="4">
        <v>32</v>
      </c>
      <c r="I300" s="4">
        <v>1</v>
      </c>
      <c r="J300" s="4">
        <v>16</v>
      </c>
      <c r="U300" s="4">
        <v>1</v>
      </c>
      <c r="V300" s="4">
        <v>16</v>
      </c>
      <c r="AK300" s="4">
        <f t="shared" si="20"/>
        <v>4</v>
      </c>
      <c r="AL300" s="4">
        <f t="shared" si="21"/>
        <v>64</v>
      </c>
      <c r="AM300" s="4">
        <f t="shared" si="22"/>
        <v>0</v>
      </c>
      <c r="AN300" s="4">
        <f t="shared" si="23"/>
        <v>0</v>
      </c>
      <c r="AO300" s="4">
        <f t="shared" si="24"/>
        <v>21.333333333333332</v>
      </c>
    </row>
    <row r="301" spans="1:41" x14ac:dyDescent="0.2">
      <c r="A301" s="4" t="s">
        <v>1469</v>
      </c>
      <c r="B301" s="4" t="s">
        <v>1470</v>
      </c>
      <c r="C301" s="4" t="s">
        <v>129</v>
      </c>
      <c r="D301" s="4" t="s">
        <v>925</v>
      </c>
      <c r="I301" s="4">
        <v>1</v>
      </c>
      <c r="J301" s="4">
        <v>11</v>
      </c>
      <c r="M301" s="4">
        <v>5</v>
      </c>
      <c r="N301" s="4">
        <v>55</v>
      </c>
      <c r="Q301" s="4">
        <v>2</v>
      </c>
      <c r="R301" s="4">
        <v>22</v>
      </c>
      <c r="U301" s="4">
        <v>1</v>
      </c>
      <c r="V301" s="4">
        <v>11</v>
      </c>
      <c r="AK301" s="4">
        <f t="shared" si="20"/>
        <v>9</v>
      </c>
      <c r="AL301" s="4">
        <f t="shared" si="21"/>
        <v>99</v>
      </c>
      <c r="AM301" s="4">
        <f t="shared" si="22"/>
        <v>0</v>
      </c>
      <c r="AN301" s="4">
        <f t="shared" si="23"/>
        <v>0</v>
      </c>
      <c r="AO301" s="4">
        <f t="shared" si="24"/>
        <v>24.75</v>
      </c>
    </row>
    <row r="302" spans="1:41" x14ac:dyDescent="0.2">
      <c r="A302" s="4" t="s">
        <v>1471</v>
      </c>
      <c r="B302" s="4" t="s">
        <v>1472</v>
      </c>
      <c r="C302" s="4" t="s">
        <v>129</v>
      </c>
      <c r="D302" s="4" t="s">
        <v>925</v>
      </c>
      <c r="E302" s="4">
        <v>1</v>
      </c>
      <c r="F302" s="4">
        <v>11</v>
      </c>
      <c r="U302" s="4">
        <v>1</v>
      </c>
      <c r="V302" s="4">
        <v>11</v>
      </c>
      <c r="AK302" s="4">
        <f t="shared" si="20"/>
        <v>2</v>
      </c>
      <c r="AL302" s="4">
        <f t="shared" si="21"/>
        <v>22</v>
      </c>
      <c r="AM302" s="4">
        <f t="shared" si="22"/>
        <v>0</v>
      </c>
      <c r="AN302" s="4">
        <f t="shared" si="23"/>
        <v>0</v>
      </c>
      <c r="AO302" s="4">
        <f t="shared" si="24"/>
        <v>11</v>
      </c>
    </row>
    <row r="303" spans="1:41" x14ac:dyDescent="0.2">
      <c r="A303" s="4" t="s">
        <v>1473</v>
      </c>
      <c r="B303" s="4" t="s">
        <v>1474</v>
      </c>
      <c r="C303" s="4" t="s">
        <v>129</v>
      </c>
      <c r="D303" s="4" t="s">
        <v>315</v>
      </c>
      <c r="M303" s="4">
        <v>4</v>
      </c>
      <c r="N303" s="4">
        <v>60</v>
      </c>
      <c r="Q303" s="4">
        <v>1</v>
      </c>
      <c r="R303" s="4">
        <v>15</v>
      </c>
      <c r="AK303" s="4">
        <f t="shared" si="20"/>
        <v>5</v>
      </c>
      <c r="AL303" s="4">
        <f t="shared" si="21"/>
        <v>75</v>
      </c>
      <c r="AM303" s="4">
        <f t="shared" si="22"/>
        <v>0</v>
      </c>
      <c r="AN303" s="4">
        <f t="shared" si="23"/>
        <v>0</v>
      </c>
      <c r="AO303" s="4">
        <f t="shared" si="24"/>
        <v>37.5</v>
      </c>
    </row>
    <row r="304" spans="1:41" x14ac:dyDescent="0.2">
      <c r="A304" s="4" t="s">
        <v>1475</v>
      </c>
      <c r="B304" s="4" t="s">
        <v>1476</v>
      </c>
      <c r="C304" s="4" t="s">
        <v>129</v>
      </c>
      <c r="D304" s="4" t="s">
        <v>315</v>
      </c>
      <c r="M304" s="4">
        <v>1</v>
      </c>
      <c r="N304" s="4">
        <v>11</v>
      </c>
      <c r="Q304" s="4">
        <v>3</v>
      </c>
      <c r="R304" s="4">
        <v>33</v>
      </c>
      <c r="U304" s="4">
        <v>1</v>
      </c>
      <c r="V304" s="4">
        <v>7.7</v>
      </c>
      <c r="AK304" s="4">
        <f t="shared" si="20"/>
        <v>5</v>
      </c>
      <c r="AL304" s="4">
        <f t="shared" si="21"/>
        <v>51.7</v>
      </c>
      <c r="AM304" s="4">
        <f t="shared" si="22"/>
        <v>0</v>
      </c>
      <c r="AN304" s="4">
        <f t="shared" si="23"/>
        <v>0</v>
      </c>
      <c r="AO304" s="4">
        <f t="shared" si="24"/>
        <v>17.233333333333334</v>
      </c>
    </row>
    <row r="305" spans="1:41" x14ac:dyDescent="0.2">
      <c r="A305" s="4" t="s">
        <v>1477</v>
      </c>
      <c r="B305" s="4" t="s">
        <v>1478</v>
      </c>
      <c r="C305" s="4" t="s">
        <v>129</v>
      </c>
      <c r="D305" s="4" t="s">
        <v>315</v>
      </c>
      <c r="M305" s="4">
        <v>3</v>
      </c>
      <c r="N305" s="4">
        <v>42</v>
      </c>
      <c r="Q305" s="4">
        <v>2</v>
      </c>
      <c r="R305" s="4">
        <v>28</v>
      </c>
      <c r="AK305" s="4">
        <f t="shared" si="20"/>
        <v>5</v>
      </c>
      <c r="AL305" s="4">
        <f t="shared" si="21"/>
        <v>70</v>
      </c>
      <c r="AM305" s="4">
        <f t="shared" si="22"/>
        <v>0</v>
      </c>
      <c r="AN305" s="4">
        <f t="shared" si="23"/>
        <v>0</v>
      </c>
      <c r="AO305" s="4">
        <f t="shared" si="24"/>
        <v>35</v>
      </c>
    </row>
    <row r="306" spans="1:41" x14ac:dyDescent="0.2">
      <c r="A306" s="4" t="s">
        <v>1479</v>
      </c>
      <c r="B306" s="4" t="s">
        <v>1480</v>
      </c>
      <c r="C306" s="4" t="s">
        <v>129</v>
      </c>
      <c r="D306" s="4" t="s">
        <v>315</v>
      </c>
      <c r="M306" s="4">
        <v>1</v>
      </c>
      <c r="N306" s="4">
        <v>14</v>
      </c>
      <c r="Q306" s="4">
        <v>2</v>
      </c>
      <c r="R306" s="4">
        <v>28</v>
      </c>
      <c r="AK306" s="4">
        <f t="shared" si="20"/>
        <v>3</v>
      </c>
      <c r="AL306" s="4">
        <f t="shared" si="21"/>
        <v>42</v>
      </c>
      <c r="AM306" s="4">
        <f t="shared" si="22"/>
        <v>0</v>
      </c>
      <c r="AN306" s="4">
        <f t="shared" si="23"/>
        <v>0</v>
      </c>
      <c r="AO306" s="4">
        <f t="shared" si="24"/>
        <v>21</v>
      </c>
    </row>
    <row r="307" spans="1:41" x14ac:dyDescent="0.2">
      <c r="A307" s="4" t="s">
        <v>1481</v>
      </c>
      <c r="B307" s="4" t="s">
        <v>1482</v>
      </c>
      <c r="C307" s="4" t="s">
        <v>129</v>
      </c>
      <c r="D307" s="4" t="s">
        <v>315</v>
      </c>
      <c r="Q307" s="4">
        <v>1</v>
      </c>
      <c r="R307" s="4">
        <v>14</v>
      </c>
      <c r="AK307" s="4">
        <f t="shared" si="20"/>
        <v>1</v>
      </c>
      <c r="AL307" s="4">
        <f t="shared" si="21"/>
        <v>14</v>
      </c>
      <c r="AM307" s="4">
        <f t="shared" si="22"/>
        <v>0</v>
      </c>
      <c r="AN307" s="4">
        <f t="shared" si="23"/>
        <v>0</v>
      </c>
      <c r="AO307" s="4">
        <f t="shared" si="24"/>
        <v>14</v>
      </c>
    </row>
    <row r="308" spans="1:41" x14ac:dyDescent="0.2">
      <c r="A308" s="4" t="s">
        <v>1483</v>
      </c>
      <c r="B308" s="4" t="s">
        <v>1484</v>
      </c>
      <c r="C308" s="4" t="s">
        <v>129</v>
      </c>
      <c r="D308" s="4" t="s">
        <v>315</v>
      </c>
      <c r="M308" s="4">
        <v>1</v>
      </c>
      <c r="N308" s="4">
        <v>12</v>
      </c>
      <c r="W308" s="4">
        <v>1</v>
      </c>
      <c r="X308" s="4">
        <v>12</v>
      </c>
      <c r="AK308" s="4">
        <f t="shared" si="20"/>
        <v>2</v>
      </c>
      <c r="AL308" s="4">
        <f t="shared" si="21"/>
        <v>24</v>
      </c>
      <c r="AM308" s="4">
        <f t="shared" si="22"/>
        <v>0</v>
      </c>
      <c r="AN308" s="4">
        <f t="shared" si="23"/>
        <v>0</v>
      </c>
      <c r="AO308" s="4">
        <f t="shared" si="24"/>
        <v>12</v>
      </c>
    </row>
    <row r="309" spans="1:41" x14ac:dyDescent="0.2">
      <c r="A309" s="4" t="s">
        <v>1485</v>
      </c>
      <c r="B309" s="4" t="s">
        <v>1486</v>
      </c>
      <c r="C309" s="4" t="s">
        <v>129</v>
      </c>
      <c r="D309" s="4" t="s">
        <v>315</v>
      </c>
      <c r="M309" s="4">
        <v>1</v>
      </c>
      <c r="N309" s="4">
        <v>15</v>
      </c>
      <c r="Q309" s="4">
        <v>1</v>
      </c>
      <c r="R309" s="4">
        <v>15</v>
      </c>
      <c r="AK309" s="4">
        <f t="shared" si="20"/>
        <v>2</v>
      </c>
      <c r="AL309" s="4">
        <f t="shared" si="21"/>
        <v>30</v>
      </c>
      <c r="AM309" s="4">
        <f t="shared" si="22"/>
        <v>0</v>
      </c>
      <c r="AN309" s="4">
        <f t="shared" si="23"/>
        <v>0</v>
      </c>
      <c r="AO309" s="4">
        <f t="shared" si="24"/>
        <v>15</v>
      </c>
    </row>
    <row r="310" spans="1:41" x14ac:dyDescent="0.2">
      <c r="A310" s="4" t="s">
        <v>583</v>
      </c>
      <c r="B310" s="4" t="s">
        <v>584</v>
      </c>
      <c r="C310" s="4" t="s">
        <v>129</v>
      </c>
      <c r="D310" s="4" t="s">
        <v>315</v>
      </c>
      <c r="G310" s="4">
        <v>5</v>
      </c>
      <c r="H310" s="4">
        <v>70</v>
      </c>
      <c r="K310" s="4">
        <v>1</v>
      </c>
      <c r="L310" s="4">
        <v>14</v>
      </c>
      <c r="W310" s="4">
        <v>2</v>
      </c>
      <c r="X310" s="4">
        <v>28</v>
      </c>
      <c r="Y310" s="4">
        <v>1</v>
      </c>
      <c r="Z310" s="4">
        <v>14</v>
      </c>
      <c r="AA310" s="4">
        <v>1</v>
      </c>
      <c r="AB310" s="4">
        <v>14</v>
      </c>
      <c r="AE310" s="4">
        <v>1</v>
      </c>
      <c r="AF310" s="4">
        <v>14</v>
      </c>
      <c r="AK310" s="4">
        <f t="shared" si="20"/>
        <v>5</v>
      </c>
      <c r="AL310" s="4">
        <f t="shared" si="21"/>
        <v>70</v>
      </c>
      <c r="AM310" s="4">
        <f t="shared" si="22"/>
        <v>6</v>
      </c>
      <c r="AN310" s="4">
        <f t="shared" si="23"/>
        <v>84</v>
      </c>
      <c r="AO310" s="4">
        <f t="shared" si="24"/>
        <v>25.666666666666668</v>
      </c>
    </row>
    <row r="311" spans="1:41" x14ac:dyDescent="0.2">
      <c r="A311" s="4" t="s">
        <v>1487</v>
      </c>
      <c r="B311" s="4" t="s">
        <v>1488</v>
      </c>
      <c r="C311" s="4" t="s">
        <v>129</v>
      </c>
      <c r="D311" s="4" t="s">
        <v>315</v>
      </c>
      <c r="W311" s="4">
        <v>2</v>
      </c>
      <c r="X311" s="4">
        <v>34</v>
      </c>
      <c r="AK311" s="4">
        <f t="shared" si="20"/>
        <v>2</v>
      </c>
      <c r="AL311" s="4">
        <f t="shared" si="21"/>
        <v>34</v>
      </c>
      <c r="AM311" s="4">
        <f t="shared" si="22"/>
        <v>0</v>
      </c>
      <c r="AN311" s="4">
        <f t="shared" si="23"/>
        <v>0</v>
      </c>
      <c r="AO311" s="4">
        <f t="shared" si="24"/>
        <v>34</v>
      </c>
    </row>
    <row r="312" spans="1:41" x14ac:dyDescent="0.2">
      <c r="A312" s="4" t="s">
        <v>1489</v>
      </c>
      <c r="B312" s="4" t="s">
        <v>1490</v>
      </c>
      <c r="C312" s="4" t="s">
        <v>129</v>
      </c>
      <c r="D312" s="4" t="s">
        <v>315</v>
      </c>
      <c r="M312" s="4">
        <v>1</v>
      </c>
      <c r="N312" s="4">
        <v>21</v>
      </c>
      <c r="Q312" s="4">
        <v>1</v>
      </c>
      <c r="R312" s="4">
        <v>21</v>
      </c>
      <c r="AK312" s="4">
        <f t="shared" si="20"/>
        <v>2</v>
      </c>
      <c r="AL312" s="4">
        <f t="shared" si="21"/>
        <v>42</v>
      </c>
      <c r="AM312" s="4">
        <f t="shared" si="22"/>
        <v>0</v>
      </c>
      <c r="AN312" s="4">
        <f t="shared" si="23"/>
        <v>0</v>
      </c>
      <c r="AO312" s="4">
        <f t="shared" si="24"/>
        <v>21</v>
      </c>
    </row>
    <row r="313" spans="1:41" x14ac:dyDescent="0.2">
      <c r="A313" s="4" t="s">
        <v>1491</v>
      </c>
      <c r="B313" s="4" t="s">
        <v>1492</v>
      </c>
      <c r="C313" s="4" t="s">
        <v>129</v>
      </c>
      <c r="D313" s="4" t="s">
        <v>315</v>
      </c>
      <c r="M313" s="4">
        <v>1</v>
      </c>
      <c r="N313" s="4">
        <v>14</v>
      </c>
      <c r="AK313" s="4">
        <f t="shared" si="20"/>
        <v>1</v>
      </c>
      <c r="AL313" s="4">
        <f t="shared" si="21"/>
        <v>14</v>
      </c>
      <c r="AM313" s="4">
        <f t="shared" si="22"/>
        <v>0</v>
      </c>
      <c r="AN313" s="4">
        <f t="shared" si="23"/>
        <v>0</v>
      </c>
      <c r="AO313" s="4">
        <f t="shared" si="24"/>
        <v>14</v>
      </c>
    </row>
    <row r="314" spans="1:41" x14ac:dyDescent="0.2">
      <c r="A314" s="4" t="s">
        <v>1493</v>
      </c>
      <c r="B314" s="4" t="s">
        <v>1494</v>
      </c>
      <c r="C314" s="4" t="s">
        <v>129</v>
      </c>
      <c r="D314" s="4" t="s">
        <v>315</v>
      </c>
      <c r="W314" s="4">
        <v>2</v>
      </c>
      <c r="X314" s="4">
        <v>32</v>
      </c>
      <c r="AK314" s="4">
        <f t="shared" si="20"/>
        <v>2</v>
      </c>
      <c r="AL314" s="4">
        <f t="shared" si="21"/>
        <v>32</v>
      </c>
      <c r="AM314" s="4">
        <f t="shared" si="22"/>
        <v>0</v>
      </c>
      <c r="AN314" s="4">
        <f t="shared" si="23"/>
        <v>0</v>
      </c>
      <c r="AO314" s="4">
        <f t="shared" si="24"/>
        <v>32</v>
      </c>
    </row>
    <row r="315" spans="1:41" x14ac:dyDescent="0.2">
      <c r="A315" s="4" t="s">
        <v>1495</v>
      </c>
      <c r="B315" s="4" t="s">
        <v>1496</v>
      </c>
      <c r="C315" s="4" t="s">
        <v>129</v>
      </c>
      <c r="D315" s="4" t="s">
        <v>315</v>
      </c>
      <c r="W315" s="4">
        <v>2</v>
      </c>
      <c r="X315" s="4">
        <v>30</v>
      </c>
      <c r="Y315" s="4">
        <v>1</v>
      </c>
      <c r="Z315" s="4">
        <v>15</v>
      </c>
      <c r="AK315" s="4">
        <f t="shared" si="20"/>
        <v>3</v>
      </c>
      <c r="AL315" s="4">
        <f t="shared" si="21"/>
        <v>45</v>
      </c>
      <c r="AM315" s="4">
        <f t="shared" si="22"/>
        <v>0</v>
      </c>
      <c r="AN315" s="4">
        <f t="shared" si="23"/>
        <v>0</v>
      </c>
      <c r="AO315" s="4">
        <f t="shared" si="24"/>
        <v>22.5</v>
      </c>
    </row>
    <row r="316" spans="1:41" x14ac:dyDescent="0.2">
      <c r="A316" s="4" t="s">
        <v>1497</v>
      </c>
      <c r="B316" s="4" t="s">
        <v>1498</v>
      </c>
      <c r="C316" s="4" t="s">
        <v>129</v>
      </c>
      <c r="D316" s="4" t="s">
        <v>315</v>
      </c>
      <c r="I316" s="4">
        <v>1</v>
      </c>
      <c r="J316" s="4">
        <v>17</v>
      </c>
      <c r="M316" s="4">
        <v>3</v>
      </c>
      <c r="N316" s="4">
        <v>51</v>
      </c>
      <c r="AK316" s="4">
        <f t="shared" si="20"/>
        <v>4</v>
      </c>
      <c r="AL316" s="4">
        <f t="shared" si="21"/>
        <v>68</v>
      </c>
      <c r="AM316" s="4">
        <f t="shared" si="22"/>
        <v>0</v>
      </c>
      <c r="AN316" s="4">
        <f t="shared" si="23"/>
        <v>0</v>
      </c>
      <c r="AO316" s="4">
        <f t="shared" si="24"/>
        <v>34</v>
      </c>
    </row>
    <row r="317" spans="1:41" x14ac:dyDescent="0.2">
      <c r="A317" s="4" t="s">
        <v>1499</v>
      </c>
      <c r="B317" s="4" t="s">
        <v>1500</v>
      </c>
      <c r="C317" s="4" t="s">
        <v>129</v>
      </c>
      <c r="D317" s="4" t="s">
        <v>315</v>
      </c>
      <c r="I317" s="4">
        <v>2</v>
      </c>
      <c r="J317" s="4">
        <v>52</v>
      </c>
      <c r="AK317" s="4">
        <f t="shared" si="20"/>
        <v>2</v>
      </c>
      <c r="AL317" s="4">
        <f t="shared" si="21"/>
        <v>52</v>
      </c>
      <c r="AM317" s="4">
        <f t="shared" si="22"/>
        <v>0</v>
      </c>
      <c r="AN317" s="4">
        <f t="shared" si="23"/>
        <v>0</v>
      </c>
      <c r="AO317" s="4">
        <f t="shared" si="24"/>
        <v>52</v>
      </c>
    </row>
    <row r="318" spans="1:41" x14ac:dyDescent="0.2">
      <c r="A318" s="4" t="s">
        <v>1501</v>
      </c>
      <c r="B318" s="4" t="s">
        <v>1502</v>
      </c>
      <c r="C318" s="4" t="s">
        <v>129</v>
      </c>
      <c r="D318" s="4" t="s">
        <v>315</v>
      </c>
      <c r="M318" s="4">
        <v>1</v>
      </c>
      <c r="N318" s="4">
        <v>15</v>
      </c>
      <c r="W318" s="4">
        <v>1</v>
      </c>
      <c r="X318" s="4">
        <v>15</v>
      </c>
      <c r="AK318" s="4">
        <f t="shared" si="20"/>
        <v>2</v>
      </c>
      <c r="AL318" s="4">
        <f t="shared" si="21"/>
        <v>30</v>
      </c>
      <c r="AM318" s="4">
        <f t="shared" si="22"/>
        <v>0</v>
      </c>
      <c r="AN318" s="4">
        <f t="shared" si="23"/>
        <v>0</v>
      </c>
      <c r="AO318" s="4">
        <f t="shared" si="24"/>
        <v>15</v>
      </c>
    </row>
    <row r="319" spans="1:41" x14ac:dyDescent="0.2">
      <c r="A319" s="4" t="s">
        <v>1503</v>
      </c>
      <c r="B319" s="4" t="s">
        <v>1504</v>
      </c>
      <c r="C319" s="4" t="s">
        <v>129</v>
      </c>
      <c r="D319" s="4" t="s">
        <v>315</v>
      </c>
      <c r="M319" s="4">
        <v>1</v>
      </c>
      <c r="N319" s="4">
        <v>12</v>
      </c>
      <c r="Y319" s="4">
        <v>1</v>
      </c>
      <c r="Z319" s="4">
        <v>12</v>
      </c>
      <c r="AK319" s="4">
        <f t="shared" si="20"/>
        <v>2</v>
      </c>
      <c r="AL319" s="4">
        <f t="shared" si="21"/>
        <v>24</v>
      </c>
      <c r="AM319" s="4">
        <f t="shared" si="22"/>
        <v>0</v>
      </c>
      <c r="AN319" s="4">
        <f t="shared" si="23"/>
        <v>0</v>
      </c>
      <c r="AO319" s="4">
        <f t="shared" si="24"/>
        <v>12</v>
      </c>
    </row>
    <row r="320" spans="1:41" x14ac:dyDescent="0.2">
      <c r="A320" s="4" t="s">
        <v>1505</v>
      </c>
      <c r="B320" s="4" t="s">
        <v>1506</v>
      </c>
      <c r="C320" s="4" t="s">
        <v>129</v>
      </c>
      <c r="D320" s="4" t="s">
        <v>315</v>
      </c>
      <c r="Y320" s="4">
        <v>2</v>
      </c>
      <c r="Z320" s="4">
        <v>42</v>
      </c>
      <c r="AK320" s="4">
        <f t="shared" si="20"/>
        <v>2</v>
      </c>
      <c r="AL320" s="4">
        <f t="shared" si="21"/>
        <v>42</v>
      </c>
      <c r="AM320" s="4">
        <f t="shared" si="22"/>
        <v>0</v>
      </c>
      <c r="AN320" s="4">
        <f t="shared" si="23"/>
        <v>0</v>
      </c>
      <c r="AO320" s="4">
        <f t="shared" si="24"/>
        <v>42</v>
      </c>
    </row>
    <row r="321" spans="1:41" x14ac:dyDescent="0.2">
      <c r="A321" s="4" t="s">
        <v>1507</v>
      </c>
      <c r="B321" s="4" t="s">
        <v>1508</v>
      </c>
      <c r="C321" s="4" t="s">
        <v>129</v>
      </c>
      <c r="D321" s="4" t="s">
        <v>315</v>
      </c>
      <c r="AA321" s="4">
        <v>1</v>
      </c>
      <c r="AB321" s="4">
        <v>15</v>
      </c>
      <c r="AG321" s="4">
        <v>1</v>
      </c>
      <c r="AH321" s="4">
        <v>15</v>
      </c>
      <c r="AK321" s="4">
        <f t="shared" si="20"/>
        <v>2</v>
      </c>
      <c r="AL321" s="4">
        <f t="shared" si="21"/>
        <v>30</v>
      </c>
      <c r="AM321" s="4">
        <f t="shared" si="22"/>
        <v>0</v>
      </c>
      <c r="AN321" s="4">
        <f t="shared" si="23"/>
        <v>0</v>
      </c>
      <c r="AO321" s="4">
        <f t="shared" si="24"/>
        <v>15</v>
      </c>
    </row>
    <row r="322" spans="1:41" x14ac:dyDescent="0.2">
      <c r="A322" s="4" t="s">
        <v>1509</v>
      </c>
      <c r="B322" s="4" t="s">
        <v>1510</v>
      </c>
      <c r="C322" s="4" t="s">
        <v>129</v>
      </c>
      <c r="D322" s="4" t="s">
        <v>315</v>
      </c>
      <c r="W322" s="4">
        <v>1</v>
      </c>
      <c r="X322" s="4">
        <v>8</v>
      </c>
      <c r="AA322" s="4">
        <v>1</v>
      </c>
      <c r="AB322" s="4">
        <v>8</v>
      </c>
      <c r="AK322" s="4">
        <f t="shared" si="20"/>
        <v>2</v>
      </c>
      <c r="AL322" s="4">
        <f t="shared" si="21"/>
        <v>16</v>
      </c>
      <c r="AM322" s="4">
        <f t="shared" si="22"/>
        <v>0</v>
      </c>
      <c r="AN322" s="4">
        <f t="shared" si="23"/>
        <v>0</v>
      </c>
      <c r="AO322" s="4">
        <f t="shared" si="24"/>
        <v>8</v>
      </c>
    </row>
    <row r="323" spans="1:41" x14ac:dyDescent="0.2">
      <c r="A323" s="4" t="s">
        <v>587</v>
      </c>
      <c r="B323" s="4" t="s">
        <v>588</v>
      </c>
      <c r="C323" s="4" t="s">
        <v>129</v>
      </c>
      <c r="D323" s="4" t="s">
        <v>315</v>
      </c>
      <c r="M323" s="4">
        <v>1</v>
      </c>
      <c r="N323" s="4">
        <v>24</v>
      </c>
      <c r="Q323" s="4">
        <v>1</v>
      </c>
      <c r="R323" s="4">
        <v>24</v>
      </c>
      <c r="AI323" s="4">
        <v>1</v>
      </c>
      <c r="AJ323" s="4">
        <v>24</v>
      </c>
      <c r="AK323" s="4">
        <f t="shared" si="20"/>
        <v>3</v>
      </c>
      <c r="AL323" s="4">
        <f t="shared" si="21"/>
        <v>72</v>
      </c>
      <c r="AM323" s="4">
        <f t="shared" si="22"/>
        <v>0</v>
      </c>
      <c r="AN323" s="4">
        <f t="shared" si="23"/>
        <v>0</v>
      </c>
      <c r="AO323" s="4">
        <f t="shared" si="24"/>
        <v>24</v>
      </c>
    </row>
    <row r="324" spans="1:41" x14ac:dyDescent="0.2">
      <c r="A324" s="4" t="s">
        <v>1511</v>
      </c>
      <c r="B324" s="4" t="s">
        <v>751</v>
      </c>
      <c r="C324" s="4" t="s">
        <v>129</v>
      </c>
      <c r="D324" s="4" t="s">
        <v>315</v>
      </c>
      <c r="M324" s="4">
        <v>2</v>
      </c>
      <c r="N324" s="4">
        <v>58</v>
      </c>
      <c r="Q324" s="4">
        <v>2</v>
      </c>
      <c r="R324" s="4">
        <v>58</v>
      </c>
      <c r="U324" s="4">
        <v>1</v>
      </c>
      <c r="V324" s="4">
        <v>29</v>
      </c>
      <c r="Y324" s="4">
        <v>1</v>
      </c>
      <c r="Z324" s="4">
        <v>29</v>
      </c>
      <c r="AA324" s="4">
        <v>1</v>
      </c>
      <c r="AB324" s="4">
        <v>29</v>
      </c>
      <c r="AC324" s="4">
        <v>2</v>
      </c>
      <c r="AD324" s="4">
        <v>52</v>
      </c>
      <c r="AG324" s="4">
        <v>1</v>
      </c>
      <c r="AH324" s="4">
        <v>26</v>
      </c>
      <c r="AK324" s="4">
        <f t="shared" si="20"/>
        <v>10</v>
      </c>
      <c r="AL324" s="4">
        <f t="shared" si="21"/>
        <v>281</v>
      </c>
      <c r="AM324" s="4">
        <f t="shared" si="22"/>
        <v>0</v>
      </c>
      <c r="AN324" s="4">
        <f t="shared" si="23"/>
        <v>0</v>
      </c>
      <c r="AO324" s="4">
        <f t="shared" si="24"/>
        <v>40.142857142857146</v>
      </c>
    </row>
    <row r="325" spans="1:41" x14ac:dyDescent="0.2">
      <c r="A325" s="4" t="s">
        <v>941</v>
      </c>
      <c r="B325" s="4" t="s">
        <v>942</v>
      </c>
      <c r="C325" s="4" t="s">
        <v>129</v>
      </c>
      <c r="D325" s="4" t="s">
        <v>315</v>
      </c>
      <c r="G325" s="4">
        <v>1</v>
      </c>
      <c r="H325" s="4">
        <v>20</v>
      </c>
      <c r="O325" s="4">
        <v>1</v>
      </c>
      <c r="P325" s="4">
        <v>20</v>
      </c>
      <c r="Q325" s="4">
        <v>2</v>
      </c>
      <c r="R325" s="4">
        <v>40</v>
      </c>
      <c r="U325" s="4">
        <v>3</v>
      </c>
      <c r="V325" s="4">
        <v>60</v>
      </c>
      <c r="AC325" s="4">
        <v>1</v>
      </c>
      <c r="AD325" s="4">
        <v>20</v>
      </c>
      <c r="AI325" s="4">
        <v>2</v>
      </c>
      <c r="AJ325" s="4">
        <v>40</v>
      </c>
      <c r="AK325" s="4">
        <f t="shared" ref="AK325:AK388" si="25">SUM(E325,I325,M325,Q325,U325,W325,Y325,AA325,AC325,AE325,AG325,AI325)</f>
        <v>8</v>
      </c>
      <c r="AL325" s="4">
        <f t="shared" ref="AL325:AL388" si="26">SUM(F325,J325,N325,R325,V325,X325,Z325,AB325,AD325,AF325,AH325,AJ325)</f>
        <v>160</v>
      </c>
      <c r="AM325" s="4">
        <f t="shared" ref="AM325:AM388" si="27">SUM(G325,K325,O325,S325)</f>
        <v>2</v>
      </c>
      <c r="AN325" s="4">
        <f t="shared" ref="AN325:AN388" si="28">SUM(H325,L325,P325,T325)</f>
        <v>40</v>
      </c>
      <c r="AO325" s="4">
        <f t="shared" ref="AO325:AO388" si="29">AVERAGE(F325,H325,J325,L325,N325,P325,R325,T325,V325,X325,Z325,AB325,AD325,AF325,AH325,AJ325)</f>
        <v>33.333333333333336</v>
      </c>
    </row>
    <row r="326" spans="1:41" x14ac:dyDescent="0.2">
      <c r="A326" s="4" t="s">
        <v>1512</v>
      </c>
      <c r="B326" s="4" t="s">
        <v>1513</v>
      </c>
      <c r="C326" s="4" t="s">
        <v>129</v>
      </c>
      <c r="D326" s="4" t="s">
        <v>315</v>
      </c>
      <c r="AI326" s="4">
        <v>2</v>
      </c>
      <c r="AJ326" s="4">
        <v>44</v>
      </c>
      <c r="AK326" s="4">
        <f t="shared" si="25"/>
        <v>2</v>
      </c>
      <c r="AL326" s="4">
        <f t="shared" si="26"/>
        <v>44</v>
      </c>
      <c r="AM326" s="4">
        <f t="shared" si="27"/>
        <v>0</v>
      </c>
      <c r="AN326" s="4">
        <f t="shared" si="28"/>
        <v>0</v>
      </c>
      <c r="AO326" s="4">
        <f t="shared" si="29"/>
        <v>44</v>
      </c>
    </row>
    <row r="327" spans="1:41" x14ac:dyDescent="0.2">
      <c r="A327" s="4" t="s">
        <v>943</v>
      </c>
      <c r="B327" s="4" t="s">
        <v>944</v>
      </c>
      <c r="C327" s="4" t="s">
        <v>129</v>
      </c>
      <c r="D327" s="4" t="s">
        <v>315</v>
      </c>
      <c r="O327" s="4">
        <v>1</v>
      </c>
      <c r="P327" s="4">
        <v>30</v>
      </c>
      <c r="Q327" s="4">
        <v>1</v>
      </c>
      <c r="R327" s="4">
        <v>30</v>
      </c>
      <c r="W327" s="4">
        <v>3</v>
      </c>
      <c r="X327" s="4">
        <v>90</v>
      </c>
      <c r="AK327" s="4">
        <f t="shared" si="25"/>
        <v>4</v>
      </c>
      <c r="AL327" s="4">
        <f t="shared" si="26"/>
        <v>120</v>
      </c>
      <c r="AM327" s="4">
        <f t="shared" si="27"/>
        <v>1</v>
      </c>
      <c r="AN327" s="4">
        <f t="shared" si="28"/>
        <v>30</v>
      </c>
      <c r="AO327" s="4">
        <f t="shared" si="29"/>
        <v>50</v>
      </c>
    </row>
    <row r="328" spans="1:41" x14ac:dyDescent="0.2">
      <c r="A328" s="4" t="s">
        <v>1514</v>
      </c>
      <c r="B328" s="4" t="s">
        <v>1515</v>
      </c>
      <c r="C328" s="4" t="s">
        <v>129</v>
      </c>
      <c r="D328" s="4" t="s">
        <v>315</v>
      </c>
      <c r="I328" s="4">
        <v>1</v>
      </c>
      <c r="J328" s="4">
        <v>14</v>
      </c>
      <c r="W328" s="4">
        <v>1</v>
      </c>
      <c r="X328" s="4">
        <v>14</v>
      </c>
      <c r="AK328" s="4">
        <f t="shared" si="25"/>
        <v>2</v>
      </c>
      <c r="AL328" s="4">
        <f t="shared" si="26"/>
        <v>28</v>
      </c>
      <c r="AM328" s="4">
        <f t="shared" si="27"/>
        <v>0</v>
      </c>
      <c r="AN328" s="4">
        <f t="shared" si="28"/>
        <v>0</v>
      </c>
      <c r="AO328" s="4">
        <f t="shared" si="29"/>
        <v>14</v>
      </c>
    </row>
    <row r="329" spans="1:41" x14ac:dyDescent="0.2">
      <c r="A329" s="4" t="s">
        <v>1516</v>
      </c>
      <c r="B329" s="4" t="s">
        <v>1517</v>
      </c>
      <c r="C329" s="4" t="s">
        <v>129</v>
      </c>
      <c r="D329" s="4" t="s">
        <v>315</v>
      </c>
      <c r="U329" s="4">
        <v>1</v>
      </c>
      <c r="V329" s="4">
        <v>17</v>
      </c>
      <c r="W329" s="4">
        <v>1</v>
      </c>
      <c r="X329" s="4">
        <v>17</v>
      </c>
      <c r="AK329" s="4">
        <f t="shared" si="25"/>
        <v>2</v>
      </c>
      <c r="AL329" s="4">
        <f t="shared" si="26"/>
        <v>34</v>
      </c>
      <c r="AM329" s="4">
        <f t="shared" si="27"/>
        <v>0</v>
      </c>
      <c r="AN329" s="4">
        <f t="shared" si="28"/>
        <v>0</v>
      </c>
      <c r="AO329" s="4">
        <f t="shared" si="29"/>
        <v>17</v>
      </c>
    </row>
    <row r="330" spans="1:41" x14ac:dyDescent="0.2">
      <c r="A330" s="4" t="s">
        <v>1518</v>
      </c>
      <c r="B330" s="4" t="s">
        <v>1519</v>
      </c>
      <c r="C330" s="4" t="s">
        <v>129</v>
      </c>
      <c r="D330" s="4" t="s">
        <v>315</v>
      </c>
      <c r="I330" s="4">
        <v>2</v>
      </c>
      <c r="J330" s="4">
        <v>24</v>
      </c>
      <c r="AA330" s="4">
        <v>2</v>
      </c>
      <c r="AB330" s="4">
        <v>24</v>
      </c>
      <c r="AK330" s="4">
        <f t="shared" si="25"/>
        <v>4</v>
      </c>
      <c r="AL330" s="4">
        <f t="shared" si="26"/>
        <v>48</v>
      </c>
      <c r="AM330" s="4">
        <f t="shared" si="27"/>
        <v>0</v>
      </c>
      <c r="AN330" s="4">
        <f t="shared" si="28"/>
        <v>0</v>
      </c>
      <c r="AO330" s="4">
        <f t="shared" si="29"/>
        <v>24</v>
      </c>
    </row>
    <row r="331" spans="1:41" x14ac:dyDescent="0.2">
      <c r="A331" s="4" t="s">
        <v>1520</v>
      </c>
      <c r="B331" s="4" t="s">
        <v>1521</v>
      </c>
      <c r="C331" s="4" t="s">
        <v>129</v>
      </c>
      <c r="D331" s="4" t="s">
        <v>315</v>
      </c>
      <c r="M331" s="4">
        <v>1</v>
      </c>
      <c r="N331" s="4">
        <v>16</v>
      </c>
      <c r="Q331" s="4">
        <v>3</v>
      </c>
      <c r="R331" s="4">
        <v>48</v>
      </c>
      <c r="AK331" s="4">
        <f t="shared" si="25"/>
        <v>4</v>
      </c>
      <c r="AL331" s="4">
        <f t="shared" si="26"/>
        <v>64</v>
      </c>
      <c r="AM331" s="4">
        <f t="shared" si="27"/>
        <v>0</v>
      </c>
      <c r="AN331" s="4">
        <f t="shared" si="28"/>
        <v>0</v>
      </c>
      <c r="AO331" s="4">
        <f t="shared" si="29"/>
        <v>32</v>
      </c>
    </row>
    <row r="332" spans="1:41" x14ac:dyDescent="0.2">
      <c r="A332" s="4" t="s">
        <v>1522</v>
      </c>
      <c r="B332" s="4" t="s">
        <v>1523</v>
      </c>
      <c r="C332" s="4" t="s">
        <v>129</v>
      </c>
      <c r="D332" s="4" t="s">
        <v>315</v>
      </c>
      <c r="AC332" s="4">
        <v>1</v>
      </c>
      <c r="AD332" s="4">
        <v>20</v>
      </c>
      <c r="AK332" s="4">
        <f t="shared" si="25"/>
        <v>1</v>
      </c>
      <c r="AL332" s="4">
        <f t="shared" si="26"/>
        <v>20</v>
      </c>
      <c r="AM332" s="4">
        <f t="shared" si="27"/>
        <v>0</v>
      </c>
      <c r="AN332" s="4">
        <f t="shared" si="28"/>
        <v>0</v>
      </c>
      <c r="AO332" s="4">
        <f t="shared" si="29"/>
        <v>20</v>
      </c>
    </row>
    <row r="333" spans="1:41" x14ac:dyDescent="0.2">
      <c r="A333" s="4" t="s">
        <v>1524</v>
      </c>
      <c r="B333" s="4" t="s">
        <v>1525</v>
      </c>
      <c r="C333" s="4" t="s">
        <v>129</v>
      </c>
      <c r="D333" s="4" t="s">
        <v>315</v>
      </c>
      <c r="M333" s="4">
        <v>1</v>
      </c>
      <c r="N333" s="4">
        <v>15</v>
      </c>
      <c r="U333" s="4">
        <v>1</v>
      </c>
      <c r="V333" s="4">
        <v>15</v>
      </c>
      <c r="W333" s="4">
        <v>2</v>
      </c>
      <c r="X333" s="4">
        <v>30</v>
      </c>
      <c r="AA333" s="4">
        <v>2</v>
      </c>
      <c r="AB333" s="4">
        <v>30</v>
      </c>
      <c r="AK333" s="4">
        <f t="shared" si="25"/>
        <v>6</v>
      </c>
      <c r="AL333" s="4">
        <f t="shared" si="26"/>
        <v>90</v>
      </c>
      <c r="AM333" s="4">
        <f t="shared" si="27"/>
        <v>0</v>
      </c>
      <c r="AN333" s="4">
        <f t="shared" si="28"/>
        <v>0</v>
      </c>
      <c r="AO333" s="4">
        <f t="shared" si="29"/>
        <v>22.5</v>
      </c>
    </row>
    <row r="334" spans="1:41" x14ac:dyDescent="0.2">
      <c r="A334" s="4" t="s">
        <v>1526</v>
      </c>
      <c r="B334" s="4" t="s">
        <v>1527</v>
      </c>
      <c r="C334" s="4" t="s">
        <v>129</v>
      </c>
      <c r="D334" s="4" t="s">
        <v>315</v>
      </c>
      <c r="I334" s="4">
        <v>1</v>
      </c>
      <c r="J334" s="4">
        <v>15</v>
      </c>
      <c r="AK334" s="4">
        <f t="shared" si="25"/>
        <v>1</v>
      </c>
      <c r="AL334" s="4">
        <f t="shared" si="26"/>
        <v>15</v>
      </c>
      <c r="AM334" s="4">
        <f t="shared" si="27"/>
        <v>0</v>
      </c>
      <c r="AN334" s="4">
        <f t="shared" si="28"/>
        <v>0</v>
      </c>
      <c r="AO334" s="4">
        <f t="shared" si="29"/>
        <v>15</v>
      </c>
    </row>
    <row r="335" spans="1:41" x14ac:dyDescent="0.2">
      <c r="A335" s="4" t="s">
        <v>1528</v>
      </c>
      <c r="B335" s="4" t="s">
        <v>1529</v>
      </c>
      <c r="C335" s="4" t="s">
        <v>129</v>
      </c>
      <c r="D335" s="4" t="s">
        <v>315</v>
      </c>
      <c r="W335" s="4">
        <v>2</v>
      </c>
      <c r="X335" s="4">
        <v>32</v>
      </c>
      <c r="Y335" s="4">
        <v>1</v>
      </c>
      <c r="Z335" s="4">
        <v>16</v>
      </c>
      <c r="AK335" s="4">
        <f t="shared" si="25"/>
        <v>3</v>
      </c>
      <c r="AL335" s="4">
        <f t="shared" si="26"/>
        <v>48</v>
      </c>
      <c r="AM335" s="4">
        <f t="shared" si="27"/>
        <v>0</v>
      </c>
      <c r="AN335" s="4">
        <f t="shared" si="28"/>
        <v>0</v>
      </c>
      <c r="AO335" s="4">
        <f t="shared" si="29"/>
        <v>24</v>
      </c>
    </row>
    <row r="336" spans="1:41" x14ac:dyDescent="0.2">
      <c r="A336" s="4" t="s">
        <v>589</v>
      </c>
      <c r="B336" s="4" t="s">
        <v>590</v>
      </c>
      <c r="C336" s="4" t="s">
        <v>129</v>
      </c>
      <c r="D336" s="4" t="s">
        <v>315</v>
      </c>
      <c r="G336" s="4">
        <v>1</v>
      </c>
      <c r="H336" s="4">
        <v>14</v>
      </c>
      <c r="K336" s="4">
        <v>1</v>
      </c>
      <c r="L336" s="4">
        <v>14</v>
      </c>
      <c r="W336" s="4">
        <v>1</v>
      </c>
      <c r="X336" s="4">
        <v>14</v>
      </c>
      <c r="Y336" s="4">
        <v>1</v>
      </c>
      <c r="Z336" s="4">
        <v>14</v>
      </c>
      <c r="AG336" s="4">
        <v>2</v>
      </c>
      <c r="AH336" s="4">
        <v>28</v>
      </c>
      <c r="AI336" s="4">
        <v>1</v>
      </c>
      <c r="AJ336" s="4">
        <v>14</v>
      </c>
      <c r="AK336" s="4">
        <f t="shared" si="25"/>
        <v>5</v>
      </c>
      <c r="AL336" s="4">
        <f t="shared" si="26"/>
        <v>70</v>
      </c>
      <c r="AM336" s="4">
        <f t="shared" si="27"/>
        <v>2</v>
      </c>
      <c r="AN336" s="4">
        <f t="shared" si="28"/>
        <v>28</v>
      </c>
      <c r="AO336" s="4">
        <f t="shared" si="29"/>
        <v>16.333333333333332</v>
      </c>
    </row>
    <row r="337" spans="1:41" x14ac:dyDescent="0.2">
      <c r="A337" s="4" t="s">
        <v>1530</v>
      </c>
      <c r="B337" s="4" t="s">
        <v>1531</v>
      </c>
      <c r="C337" s="4" t="s">
        <v>129</v>
      </c>
      <c r="D337" s="4" t="s">
        <v>315</v>
      </c>
      <c r="M337" s="4">
        <v>2</v>
      </c>
      <c r="N337" s="4">
        <v>24</v>
      </c>
      <c r="W337" s="4">
        <v>2</v>
      </c>
      <c r="X337" s="4">
        <v>24</v>
      </c>
      <c r="AK337" s="4">
        <f t="shared" si="25"/>
        <v>4</v>
      </c>
      <c r="AL337" s="4">
        <f t="shared" si="26"/>
        <v>48</v>
      </c>
      <c r="AM337" s="4">
        <f t="shared" si="27"/>
        <v>0</v>
      </c>
      <c r="AN337" s="4">
        <f t="shared" si="28"/>
        <v>0</v>
      </c>
      <c r="AO337" s="4">
        <f t="shared" si="29"/>
        <v>24</v>
      </c>
    </row>
    <row r="338" spans="1:41" x14ac:dyDescent="0.2">
      <c r="A338" s="4" t="s">
        <v>1532</v>
      </c>
      <c r="B338" s="4" t="s">
        <v>1533</v>
      </c>
      <c r="C338" s="4" t="s">
        <v>129</v>
      </c>
      <c r="D338" s="4" t="s">
        <v>315</v>
      </c>
      <c r="W338" s="4">
        <v>1</v>
      </c>
      <c r="X338" s="4">
        <v>22</v>
      </c>
      <c r="AE338" s="4">
        <v>1</v>
      </c>
      <c r="AF338" s="4">
        <v>22</v>
      </c>
      <c r="AK338" s="4">
        <f t="shared" si="25"/>
        <v>2</v>
      </c>
      <c r="AL338" s="4">
        <f t="shared" si="26"/>
        <v>44</v>
      </c>
      <c r="AM338" s="4">
        <f t="shared" si="27"/>
        <v>0</v>
      </c>
      <c r="AN338" s="4">
        <f t="shared" si="28"/>
        <v>0</v>
      </c>
      <c r="AO338" s="4">
        <f t="shared" si="29"/>
        <v>22</v>
      </c>
    </row>
    <row r="339" spans="1:41" x14ac:dyDescent="0.2">
      <c r="A339" s="4" t="s">
        <v>1534</v>
      </c>
      <c r="B339" s="4" t="s">
        <v>1535</v>
      </c>
      <c r="C339" s="4" t="s">
        <v>129</v>
      </c>
      <c r="D339" s="4" t="s">
        <v>315</v>
      </c>
      <c r="I339" s="4">
        <v>2</v>
      </c>
      <c r="J339" s="4">
        <v>30</v>
      </c>
      <c r="AK339" s="4">
        <f t="shared" si="25"/>
        <v>2</v>
      </c>
      <c r="AL339" s="4">
        <f t="shared" si="26"/>
        <v>30</v>
      </c>
      <c r="AM339" s="4">
        <f t="shared" si="27"/>
        <v>0</v>
      </c>
      <c r="AN339" s="4">
        <f t="shared" si="28"/>
        <v>0</v>
      </c>
      <c r="AO339" s="4">
        <f t="shared" si="29"/>
        <v>30</v>
      </c>
    </row>
    <row r="340" spans="1:41" x14ac:dyDescent="0.2">
      <c r="A340" s="4" t="s">
        <v>1536</v>
      </c>
      <c r="B340" s="4" t="s">
        <v>1537</v>
      </c>
      <c r="C340" s="4" t="s">
        <v>129</v>
      </c>
      <c r="D340" s="4" t="s">
        <v>315</v>
      </c>
      <c r="M340" s="4">
        <v>1</v>
      </c>
      <c r="N340" s="4">
        <v>15</v>
      </c>
      <c r="AK340" s="4">
        <f t="shared" si="25"/>
        <v>1</v>
      </c>
      <c r="AL340" s="4">
        <f t="shared" si="26"/>
        <v>15</v>
      </c>
      <c r="AM340" s="4">
        <f t="shared" si="27"/>
        <v>0</v>
      </c>
      <c r="AN340" s="4">
        <f t="shared" si="28"/>
        <v>0</v>
      </c>
      <c r="AO340" s="4">
        <f t="shared" si="29"/>
        <v>15</v>
      </c>
    </row>
    <row r="341" spans="1:41" x14ac:dyDescent="0.2">
      <c r="A341" s="4" t="s">
        <v>1538</v>
      </c>
      <c r="B341" s="4" t="s">
        <v>1539</v>
      </c>
      <c r="C341" s="4" t="s">
        <v>129</v>
      </c>
      <c r="D341" s="4" t="s">
        <v>315</v>
      </c>
      <c r="I341" s="4">
        <v>1</v>
      </c>
      <c r="J341" s="4">
        <v>12</v>
      </c>
      <c r="W341" s="4">
        <v>1</v>
      </c>
      <c r="X341" s="4">
        <v>12</v>
      </c>
      <c r="AK341" s="4">
        <f t="shared" si="25"/>
        <v>2</v>
      </c>
      <c r="AL341" s="4">
        <f t="shared" si="26"/>
        <v>24</v>
      </c>
      <c r="AM341" s="4">
        <f t="shared" si="27"/>
        <v>0</v>
      </c>
      <c r="AN341" s="4">
        <f t="shared" si="28"/>
        <v>0</v>
      </c>
      <c r="AO341" s="4">
        <f t="shared" si="29"/>
        <v>12</v>
      </c>
    </row>
    <row r="342" spans="1:41" x14ac:dyDescent="0.2">
      <c r="A342" s="4" t="s">
        <v>1540</v>
      </c>
      <c r="B342" s="4" t="s">
        <v>1541</v>
      </c>
      <c r="C342" s="4" t="s">
        <v>129</v>
      </c>
      <c r="D342" s="4" t="s">
        <v>315</v>
      </c>
      <c r="W342" s="4">
        <v>1</v>
      </c>
      <c r="X342" s="4">
        <v>23</v>
      </c>
      <c r="Y342" s="4">
        <v>1</v>
      </c>
      <c r="Z342" s="4">
        <v>23</v>
      </c>
      <c r="AI342" s="4">
        <v>1</v>
      </c>
      <c r="AJ342" s="4">
        <v>23</v>
      </c>
      <c r="AK342" s="4">
        <f t="shared" si="25"/>
        <v>3</v>
      </c>
      <c r="AL342" s="4">
        <f t="shared" si="26"/>
        <v>69</v>
      </c>
      <c r="AM342" s="4">
        <f t="shared" si="27"/>
        <v>0</v>
      </c>
      <c r="AN342" s="4">
        <f t="shared" si="28"/>
        <v>0</v>
      </c>
      <c r="AO342" s="4">
        <f t="shared" si="29"/>
        <v>23</v>
      </c>
    </row>
    <row r="343" spans="1:41" x14ac:dyDescent="0.2">
      <c r="A343" s="4" t="s">
        <v>1542</v>
      </c>
      <c r="B343" s="4" t="s">
        <v>1543</v>
      </c>
      <c r="C343" s="4" t="s">
        <v>129</v>
      </c>
      <c r="D343" s="4" t="s">
        <v>315</v>
      </c>
      <c r="W343" s="4">
        <v>1</v>
      </c>
      <c r="X343" s="4">
        <v>20</v>
      </c>
      <c r="Y343" s="4">
        <v>1</v>
      </c>
      <c r="Z343" s="4">
        <v>20</v>
      </c>
      <c r="AK343" s="4">
        <f t="shared" si="25"/>
        <v>2</v>
      </c>
      <c r="AL343" s="4">
        <f t="shared" si="26"/>
        <v>40</v>
      </c>
      <c r="AM343" s="4">
        <f t="shared" si="27"/>
        <v>0</v>
      </c>
      <c r="AN343" s="4">
        <f t="shared" si="28"/>
        <v>0</v>
      </c>
      <c r="AO343" s="4">
        <f t="shared" si="29"/>
        <v>20</v>
      </c>
    </row>
    <row r="344" spans="1:41" x14ac:dyDescent="0.2">
      <c r="A344" s="4" t="s">
        <v>1544</v>
      </c>
      <c r="B344" s="4" t="s">
        <v>1545</v>
      </c>
      <c r="C344" s="4" t="s">
        <v>129</v>
      </c>
      <c r="D344" s="4" t="s">
        <v>315</v>
      </c>
      <c r="M344" s="4">
        <v>1</v>
      </c>
      <c r="N344" s="4">
        <v>15</v>
      </c>
      <c r="Q344" s="4">
        <v>4</v>
      </c>
      <c r="R344" s="4">
        <v>60</v>
      </c>
      <c r="AK344" s="4">
        <f t="shared" si="25"/>
        <v>5</v>
      </c>
      <c r="AL344" s="4">
        <f t="shared" si="26"/>
        <v>75</v>
      </c>
      <c r="AM344" s="4">
        <f t="shared" si="27"/>
        <v>0</v>
      </c>
      <c r="AN344" s="4">
        <f t="shared" si="28"/>
        <v>0</v>
      </c>
      <c r="AO344" s="4">
        <f t="shared" si="29"/>
        <v>37.5</v>
      </c>
    </row>
    <row r="345" spans="1:41" x14ac:dyDescent="0.2">
      <c r="A345" s="4" t="s">
        <v>1546</v>
      </c>
      <c r="B345" s="4" t="s">
        <v>1547</v>
      </c>
      <c r="C345" s="4" t="s">
        <v>129</v>
      </c>
      <c r="D345" s="4" t="s">
        <v>315</v>
      </c>
      <c r="I345" s="4">
        <v>1</v>
      </c>
      <c r="J345" s="4">
        <v>17</v>
      </c>
      <c r="M345" s="4">
        <v>3</v>
      </c>
      <c r="N345" s="4">
        <v>51</v>
      </c>
      <c r="Q345" s="4">
        <v>1</v>
      </c>
      <c r="R345" s="4">
        <v>17</v>
      </c>
      <c r="AK345" s="4">
        <f t="shared" si="25"/>
        <v>5</v>
      </c>
      <c r="AL345" s="4">
        <f t="shared" si="26"/>
        <v>85</v>
      </c>
      <c r="AM345" s="4">
        <f t="shared" si="27"/>
        <v>0</v>
      </c>
      <c r="AN345" s="4">
        <f t="shared" si="28"/>
        <v>0</v>
      </c>
      <c r="AO345" s="4">
        <f t="shared" si="29"/>
        <v>28.333333333333332</v>
      </c>
    </row>
    <row r="346" spans="1:41" x14ac:dyDescent="0.2">
      <c r="A346" s="4" t="s">
        <v>1548</v>
      </c>
      <c r="B346" s="4" t="s">
        <v>1549</v>
      </c>
      <c r="C346" s="4" t="s">
        <v>129</v>
      </c>
      <c r="D346" s="4" t="s">
        <v>315</v>
      </c>
      <c r="M346" s="4">
        <v>1</v>
      </c>
      <c r="N346" s="4">
        <v>15</v>
      </c>
      <c r="W346" s="4">
        <v>1</v>
      </c>
      <c r="X346" s="4">
        <v>15</v>
      </c>
      <c r="AK346" s="4">
        <f t="shared" si="25"/>
        <v>2</v>
      </c>
      <c r="AL346" s="4">
        <f t="shared" si="26"/>
        <v>30</v>
      </c>
      <c r="AM346" s="4">
        <f t="shared" si="27"/>
        <v>0</v>
      </c>
      <c r="AN346" s="4">
        <f t="shared" si="28"/>
        <v>0</v>
      </c>
      <c r="AO346" s="4">
        <f t="shared" si="29"/>
        <v>15</v>
      </c>
    </row>
    <row r="347" spans="1:41" x14ac:dyDescent="0.2">
      <c r="A347" s="4" t="s">
        <v>1550</v>
      </c>
      <c r="B347" s="4" t="s">
        <v>1551</v>
      </c>
      <c r="C347" s="4" t="s">
        <v>129</v>
      </c>
      <c r="D347" s="4" t="s">
        <v>315</v>
      </c>
      <c r="I347" s="4">
        <v>1</v>
      </c>
      <c r="J347" s="4">
        <v>16</v>
      </c>
      <c r="M347" s="4">
        <v>1</v>
      </c>
      <c r="N347" s="4">
        <v>16</v>
      </c>
      <c r="AK347" s="4">
        <f t="shared" si="25"/>
        <v>2</v>
      </c>
      <c r="AL347" s="4">
        <f t="shared" si="26"/>
        <v>32</v>
      </c>
      <c r="AM347" s="4">
        <f t="shared" si="27"/>
        <v>0</v>
      </c>
      <c r="AN347" s="4">
        <f t="shared" si="28"/>
        <v>0</v>
      </c>
      <c r="AO347" s="4">
        <f t="shared" si="29"/>
        <v>16</v>
      </c>
    </row>
    <row r="348" spans="1:41" x14ac:dyDescent="0.2">
      <c r="A348" s="4" t="s">
        <v>945</v>
      </c>
      <c r="B348" s="4" t="s">
        <v>946</v>
      </c>
      <c r="C348" s="4" t="s">
        <v>129</v>
      </c>
      <c r="D348" s="4" t="s">
        <v>315</v>
      </c>
      <c r="G348" s="4">
        <v>1</v>
      </c>
      <c r="H348" s="4">
        <v>16</v>
      </c>
      <c r="AC348" s="4">
        <v>1</v>
      </c>
      <c r="AD348" s="4">
        <v>16</v>
      </c>
      <c r="AK348" s="4">
        <f t="shared" si="25"/>
        <v>1</v>
      </c>
      <c r="AL348" s="4">
        <f t="shared" si="26"/>
        <v>16</v>
      </c>
      <c r="AM348" s="4">
        <f t="shared" si="27"/>
        <v>1</v>
      </c>
      <c r="AN348" s="4">
        <f t="shared" si="28"/>
        <v>16</v>
      </c>
      <c r="AO348" s="4">
        <f t="shared" si="29"/>
        <v>16</v>
      </c>
    </row>
    <row r="349" spans="1:41" x14ac:dyDescent="0.2">
      <c r="A349" s="4" t="s">
        <v>1552</v>
      </c>
      <c r="B349" s="4" t="s">
        <v>1553</v>
      </c>
      <c r="C349" s="4" t="s">
        <v>129</v>
      </c>
      <c r="D349" s="4" t="s">
        <v>315</v>
      </c>
      <c r="M349" s="4">
        <v>2</v>
      </c>
      <c r="N349" s="4">
        <v>36</v>
      </c>
      <c r="AK349" s="4">
        <f t="shared" si="25"/>
        <v>2</v>
      </c>
      <c r="AL349" s="4">
        <f t="shared" si="26"/>
        <v>36</v>
      </c>
      <c r="AM349" s="4">
        <f t="shared" si="27"/>
        <v>0</v>
      </c>
      <c r="AN349" s="4">
        <f t="shared" si="28"/>
        <v>0</v>
      </c>
      <c r="AO349" s="4">
        <f t="shared" si="29"/>
        <v>36</v>
      </c>
    </row>
    <row r="350" spans="1:41" x14ac:dyDescent="0.2">
      <c r="A350" s="4" t="s">
        <v>1554</v>
      </c>
      <c r="B350" s="4" t="s">
        <v>1555</v>
      </c>
      <c r="C350" s="4" t="s">
        <v>129</v>
      </c>
      <c r="D350" s="4" t="s">
        <v>315</v>
      </c>
      <c r="I350" s="4">
        <v>1</v>
      </c>
      <c r="J350" s="4">
        <v>12</v>
      </c>
      <c r="W350" s="4">
        <v>1</v>
      </c>
      <c r="X350" s="4">
        <v>12</v>
      </c>
      <c r="AK350" s="4">
        <f t="shared" si="25"/>
        <v>2</v>
      </c>
      <c r="AL350" s="4">
        <f t="shared" si="26"/>
        <v>24</v>
      </c>
      <c r="AM350" s="4">
        <f t="shared" si="27"/>
        <v>0</v>
      </c>
      <c r="AN350" s="4">
        <f t="shared" si="28"/>
        <v>0</v>
      </c>
      <c r="AO350" s="4">
        <f t="shared" si="29"/>
        <v>12</v>
      </c>
    </row>
    <row r="351" spans="1:41" x14ac:dyDescent="0.2">
      <c r="A351" s="4" t="s">
        <v>1556</v>
      </c>
      <c r="B351" s="4" t="s">
        <v>1557</v>
      </c>
      <c r="C351" s="4" t="s">
        <v>129</v>
      </c>
      <c r="D351" s="4" t="s">
        <v>315</v>
      </c>
      <c r="M351" s="4">
        <v>1</v>
      </c>
      <c r="N351" s="4">
        <v>15</v>
      </c>
      <c r="Y351" s="4">
        <v>2</v>
      </c>
      <c r="Z351" s="4">
        <v>30</v>
      </c>
      <c r="AA351" s="4">
        <v>1</v>
      </c>
      <c r="AB351" s="4">
        <v>15</v>
      </c>
      <c r="AK351" s="4">
        <f t="shared" si="25"/>
        <v>4</v>
      </c>
      <c r="AL351" s="4">
        <f t="shared" si="26"/>
        <v>60</v>
      </c>
      <c r="AM351" s="4">
        <f t="shared" si="27"/>
        <v>0</v>
      </c>
      <c r="AN351" s="4">
        <f t="shared" si="28"/>
        <v>0</v>
      </c>
      <c r="AO351" s="4">
        <f t="shared" si="29"/>
        <v>20</v>
      </c>
    </row>
    <row r="352" spans="1:41" x14ac:dyDescent="0.2">
      <c r="A352" s="4" t="s">
        <v>1558</v>
      </c>
      <c r="B352" s="4" t="s">
        <v>1559</v>
      </c>
      <c r="C352" s="4" t="s">
        <v>129</v>
      </c>
      <c r="D352" s="4" t="s">
        <v>315</v>
      </c>
      <c r="M352" s="4">
        <v>1</v>
      </c>
      <c r="N352" s="4">
        <v>17</v>
      </c>
      <c r="W352" s="4">
        <v>1</v>
      </c>
      <c r="X352" s="4">
        <v>17</v>
      </c>
      <c r="AK352" s="4">
        <f t="shared" si="25"/>
        <v>2</v>
      </c>
      <c r="AL352" s="4">
        <f t="shared" si="26"/>
        <v>34</v>
      </c>
      <c r="AM352" s="4">
        <f t="shared" si="27"/>
        <v>0</v>
      </c>
      <c r="AN352" s="4">
        <f t="shared" si="28"/>
        <v>0</v>
      </c>
      <c r="AO352" s="4">
        <f t="shared" si="29"/>
        <v>17</v>
      </c>
    </row>
    <row r="353" spans="1:41" x14ac:dyDescent="0.2">
      <c r="A353" s="4" t="s">
        <v>1560</v>
      </c>
      <c r="B353" s="4" t="s">
        <v>1561</v>
      </c>
      <c r="C353" s="4" t="s">
        <v>129</v>
      </c>
      <c r="D353" s="4" t="s">
        <v>315</v>
      </c>
      <c r="Q353" s="4">
        <v>1</v>
      </c>
      <c r="R353" s="4">
        <v>15</v>
      </c>
      <c r="Y353" s="4">
        <v>1</v>
      </c>
      <c r="Z353" s="4">
        <v>15</v>
      </c>
      <c r="AK353" s="4">
        <f t="shared" si="25"/>
        <v>2</v>
      </c>
      <c r="AL353" s="4">
        <f t="shared" si="26"/>
        <v>30</v>
      </c>
      <c r="AM353" s="4">
        <f t="shared" si="27"/>
        <v>0</v>
      </c>
      <c r="AN353" s="4">
        <f t="shared" si="28"/>
        <v>0</v>
      </c>
      <c r="AO353" s="4">
        <f t="shared" si="29"/>
        <v>15</v>
      </c>
    </row>
    <row r="354" spans="1:41" x14ac:dyDescent="0.2">
      <c r="A354" s="4" t="s">
        <v>1562</v>
      </c>
      <c r="B354" s="4" t="s">
        <v>1563</v>
      </c>
      <c r="C354" s="4" t="s">
        <v>129</v>
      </c>
      <c r="D354" s="4" t="s">
        <v>315</v>
      </c>
      <c r="M354" s="4">
        <v>1</v>
      </c>
      <c r="N354" s="4">
        <v>15</v>
      </c>
      <c r="U354" s="4">
        <v>1</v>
      </c>
      <c r="V354" s="4">
        <v>15</v>
      </c>
      <c r="AK354" s="4">
        <f t="shared" si="25"/>
        <v>2</v>
      </c>
      <c r="AL354" s="4">
        <f t="shared" si="26"/>
        <v>30</v>
      </c>
      <c r="AM354" s="4">
        <f t="shared" si="27"/>
        <v>0</v>
      </c>
      <c r="AN354" s="4">
        <f t="shared" si="28"/>
        <v>0</v>
      </c>
      <c r="AO354" s="4">
        <f t="shared" si="29"/>
        <v>15</v>
      </c>
    </row>
    <row r="355" spans="1:41" x14ac:dyDescent="0.2">
      <c r="A355" s="4" t="s">
        <v>1564</v>
      </c>
      <c r="B355" s="4" t="s">
        <v>1565</v>
      </c>
      <c r="C355" s="4" t="s">
        <v>129</v>
      </c>
      <c r="D355" s="4" t="s">
        <v>315</v>
      </c>
      <c r="Q355" s="4">
        <v>1</v>
      </c>
      <c r="R355" s="4">
        <v>20</v>
      </c>
      <c r="Y355" s="4">
        <v>1</v>
      </c>
      <c r="Z355" s="4">
        <v>20</v>
      </c>
      <c r="AA355" s="4">
        <v>1</v>
      </c>
      <c r="AB355" s="4">
        <v>20</v>
      </c>
      <c r="AK355" s="4">
        <f t="shared" si="25"/>
        <v>3</v>
      </c>
      <c r="AL355" s="4">
        <f t="shared" si="26"/>
        <v>60</v>
      </c>
      <c r="AM355" s="4">
        <f t="shared" si="27"/>
        <v>0</v>
      </c>
      <c r="AN355" s="4">
        <f t="shared" si="28"/>
        <v>0</v>
      </c>
      <c r="AO355" s="4">
        <f t="shared" si="29"/>
        <v>20</v>
      </c>
    </row>
    <row r="356" spans="1:41" x14ac:dyDescent="0.2">
      <c r="A356" s="4" t="s">
        <v>1566</v>
      </c>
      <c r="B356" s="4" t="s">
        <v>1567</v>
      </c>
      <c r="C356" s="4" t="s">
        <v>129</v>
      </c>
      <c r="D356" s="4" t="s">
        <v>315</v>
      </c>
      <c r="U356" s="4">
        <v>1</v>
      </c>
      <c r="V356" s="4">
        <v>33</v>
      </c>
      <c r="W356" s="4">
        <v>2</v>
      </c>
      <c r="X356" s="4">
        <v>66</v>
      </c>
      <c r="AK356" s="4">
        <f t="shared" si="25"/>
        <v>3</v>
      </c>
      <c r="AL356" s="4">
        <f t="shared" si="26"/>
        <v>99</v>
      </c>
      <c r="AM356" s="4">
        <f t="shared" si="27"/>
        <v>0</v>
      </c>
      <c r="AN356" s="4">
        <f t="shared" si="28"/>
        <v>0</v>
      </c>
      <c r="AO356" s="4">
        <f t="shared" si="29"/>
        <v>49.5</v>
      </c>
    </row>
    <row r="357" spans="1:41" x14ac:dyDescent="0.2">
      <c r="A357" s="4" t="s">
        <v>1568</v>
      </c>
      <c r="B357" s="4" t="s">
        <v>1569</v>
      </c>
      <c r="C357" s="4" t="s">
        <v>129</v>
      </c>
      <c r="D357" s="4" t="s">
        <v>315</v>
      </c>
      <c r="M357" s="4">
        <v>1</v>
      </c>
      <c r="N357" s="4">
        <v>15</v>
      </c>
      <c r="Y357" s="4">
        <v>1</v>
      </c>
      <c r="Z357" s="4">
        <v>15</v>
      </c>
      <c r="AK357" s="4">
        <f t="shared" si="25"/>
        <v>2</v>
      </c>
      <c r="AL357" s="4">
        <f t="shared" si="26"/>
        <v>30</v>
      </c>
      <c r="AM357" s="4">
        <f t="shared" si="27"/>
        <v>0</v>
      </c>
      <c r="AN357" s="4">
        <f t="shared" si="28"/>
        <v>0</v>
      </c>
      <c r="AO357" s="4">
        <f t="shared" si="29"/>
        <v>15</v>
      </c>
    </row>
    <row r="358" spans="1:41" x14ac:dyDescent="0.2">
      <c r="A358" s="4" t="s">
        <v>1570</v>
      </c>
      <c r="B358" s="4" t="s">
        <v>1571</v>
      </c>
      <c r="C358" s="4" t="s">
        <v>129</v>
      </c>
      <c r="D358" s="4" t="s">
        <v>315</v>
      </c>
      <c r="Q358" s="4">
        <v>1</v>
      </c>
      <c r="R358" s="4">
        <v>15</v>
      </c>
      <c r="W358" s="4">
        <v>1</v>
      </c>
      <c r="X358" s="4">
        <v>15</v>
      </c>
      <c r="AK358" s="4">
        <f t="shared" si="25"/>
        <v>2</v>
      </c>
      <c r="AL358" s="4">
        <f t="shared" si="26"/>
        <v>30</v>
      </c>
      <c r="AM358" s="4">
        <f t="shared" si="27"/>
        <v>0</v>
      </c>
      <c r="AN358" s="4">
        <f t="shared" si="28"/>
        <v>0</v>
      </c>
      <c r="AO358" s="4">
        <f t="shared" si="29"/>
        <v>15</v>
      </c>
    </row>
    <row r="359" spans="1:41" x14ac:dyDescent="0.2">
      <c r="A359" s="4" t="s">
        <v>947</v>
      </c>
      <c r="B359" s="4" t="s">
        <v>948</v>
      </c>
      <c r="C359" s="4" t="s">
        <v>129</v>
      </c>
      <c r="D359" s="4" t="s">
        <v>315</v>
      </c>
      <c r="K359" s="4">
        <v>1</v>
      </c>
      <c r="L359" s="4">
        <v>28</v>
      </c>
      <c r="M359" s="4">
        <v>1</v>
      </c>
      <c r="N359" s="4">
        <v>28</v>
      </c>
      <c r="U359" s="4">
        <v>1</v>
      </c>
      <c r="V359" s="4">
        <v>28</v>
      </c>
      <c r="AI359" s="4">
        <v>1</v>
      </c>
      <c r="AJ359" s="4">
        <v>28</v>
      </c>
      <c r="AK359" s="4">
        <f t="shared" si="25"/>
        <v>3</v>
      </c>
      <c r="AL359" s="4">
        <f t="shared" si="26"/>
        <v>84</v>
      </c>
      <c r="AM359" s="4">
        <f t="shared" si="27"/>
        <v>1</v>
      </c>
      <c r="AN359" s="4">
        <f t="shared" si="28"/>
        <v>28</v>
      </c>
      <c r="AO359" s="4">
        <f t="shared" si="29"/>
        <v>28</v>
      </c>
    </row>
    <row r="360" spans="1:41" x14ac:dyDescent="0.2">
      <c r="A360" s="4" t="s">
        <v>1572</v>
      </c>
      <c r="B360" s="4" t="s">
        <v>1573</v>
      </c>
      <c r="C360" s="4" t="s">
        <v>129</v>
      </c>
      <c r="D360" s="4" t="s">
        <v>315</v>
      </c>
      <c r="Q360" s="4">
        <v>1</v>
      </c>
      <c r="R360" s="4">
        <v>14</v>
      </c>
      <c r="Y360" s="4">
        <v>1</v>
      </c>
      <c r="Z360" s="4">
        <v>14</v>
      </c>
      <c r="AK360" s="4">
        <f t="shared" si="25"/>
        <v>2</v>
      </c>
      <c r="AL360" s="4">
        <f t="shared" si="26"/>
        <v>28</v>
      </c>
      <c r="AM360" s="4">
        <f t="shared" si="27"/>
        <v>0</v>
      </c>
      <c r="AN360" s="4">
        <f t="shared" si="28"/>
        <v>0</v>
      </c>
      <c r="AO360" s="4">
        <f t="shared" si="29"/>
        <v>14</v>
      </c>
    </row>
    <row r="361" spans="1:41" x14ac:dyDescent="0.2">
      <c r="A361" s="4" t="s">
        <v>1574</v>
      </c>
      <c r="B361" s="4" t="s">
        <v>1575</v>
      </c>
      <c r="C361" s="4" t="s">
        <v>129</v>
      </c>
      <c r="D361" s="4" t="s">
        <v>315</v>
      </c>
      <c r="M361" s="4">
        <v>1</v>
      </c>
      <c r="N361" s="4">
        <v>15</v>
      </c>
      <c r="W361" s="4">
        <v>2</v>
      </c>
      <c r="X361" s="4">
        <v>30</v>
      </c>
      <c r="AK361" s="4">
        <f t="shared" si="25"/>
        <v>3</v>
      </c>
      <c r="AL361" s="4">
        <f t="shared" si="26"/>
        <v>45</v>
      </c>
      <c r="AM361" s="4">
        <f t="shared" si="27"/>
        <v>0</v>
      </c>
      <c r="AN361" s="4">
        <f t="shared" si="28"/>
        <v>0</v>
      </c>
      <c r="AO361" s="4">
        <f t="shared" si="29"/>
        <v>22.5</v>
      </c>
    </row>
    <row r="362" spans="1:41" x14ac:dyDescent="0.2">
      <c r="A362" s="4" t="s">
        <v>1576</v>
      </c>
      <c r="B362" s="4" t="s">
        <v>1577</v>
      </c>
      <c r="C362" s="4" t="s">
        <v>129</v>
      </c>
      <c r="D362" s="4" t="s">
        <v>315</v>
      </c>
      <c r="I362" s="4">
        <v>1</v>
      </c>
      <c r="J362" s="4">
        <v>22</v>
      </c>
      <c r="AK362" s="4">
        <f t="shared" si="25"/>
        <v>1</v>
      </c>
      <c r="AL362" s="4">
        <f t="shared" si="26"/>
        <v>22</v>
      </c>
      <c r="AM362" s="4">
        <f t="shared" si="27"/>
        <v>0</v>
      </c>
      <c r="AN362" s="4">
        <f t="shared" si="28"/>
        <v>0</v>
      </c>
      <c r="AO362" s="4">
        <f t="shared" si="29"/>
        <v>22</v>
      </c>
    </row>
    <row r="363" spans="1:41" x14ac:dyDescent="0.2">
      <c r="A363" s="4" t="s">
        <v>1578</v>
      </c>
      <c r="B363" s="4" t="s">
        <v>1579</v>
      </c>
      <c r="C363" s="4" t="s">
        <v>129</v>
      </c>
      <c r="D363" s="4" t="s">
        <v>315</v>
      </c>
      <c r="I363" s="4">
        <v>1</v>
      </c>
      <c r="J363" s="4">
        <v>15</v>
      </c>
      <c r="Y363" s="4">
        <v>1</v>
      </c>
      <c r="Z363" s="4">
        <v>15</v>
      </c>
      <c r="AK363" s="4">
        <f t="shared" si="25"/>
        <v>2</v>
      </c>
      <c r="AL363" s="4">
        <f t="shared" si="26"/>
        <v>30</v>
      </c>
      <c r="AM363" s="4">
        <f t="shared" si="27"/>
        <v>0</v>
      </c>
      <c r="AN363" s="4">
        <f t="shared" si="28"/>
        <v>0</v>
      </c>
      <c r="AO363" s="4">
        <f t="shared" si="29"/>
        <v>15</v>
      </c>
    </row>
    <row r="364" spans="1:41" x14ac:dyDescent="0.2">
      <c r="A364" s="4" t="s">
        <v>1580</v>
      </c>
      <c r="B364" s="4" t="s">
        <v>1581</v>
      </c>
      <c r="C364" s="4" t="s">
        <v>129</v>
      </c>
      <c r="D364" s="4" t="s">
        <v>315</v>
      </c>
      <c r="I364" s="4">
        <v>1</v>
      </c>
      <c r="J364" s="4">
        <v>23</v>
      </c>
      <c r="M364" s="4">
        <v>2</v>
      </c>
      <c r="N364" s="4">
        <v>46</v>
      </c>
      <c r="Q364" s="4">
        <v>1</v>
      </c>
      <c r="R364" s="4">
        <v>23</v>
      </c>
      <c r="U364" s="4">
        <v>1</v>
      </c>
      <c r="V364" s="4">
        <v>23</v>
      </c>
      <c r="AK364" s="4">
        <f t="shared" si="25"/>
        <v>5</v>
      </c>
      <c r="AL364" s="4">
        <f t="shared" si="26"/>
        <v>115</v>
      </c>
      <c r="AM364" s="4">
        <f t="shared" si="27"/>
        <v>0</v>
      </c>
      <c r="AN364" s="4">
        <f t="shared" si="28"/>
        <v>0</v>
      </c>
      <c r="AO364" s="4">
        <f t="shared" si="29"/>
        <v>28.75</v>
      </c>
    </row>
    <row r="365" spans="1:41" x14ac:dyDescent="0.2">
      <c r="A365" s="4" t="s">
        <v>591</v>
      </c>
      <c r="B365" s="4" t="s">
        <v>592</v>
      </c>
      <c r="C365" s="4" t="s">
        <v>129</v>
      </c>
      <c r="D365" s="4" t="s">
        <v>315</v>
      </c>
      <c r="W365" s="4">
        <v>1</v>
      </c>
      <c r="X365" s="4">
        <v>18</v>
      </c>
      <c r="Y365" s="4">
        <v>1</v>
      </c>
      <c r="Z365" s="4">
        <v>18</v>
      </c>
      <c r="AK365" s="4">
        <f t="shared" si="25"/>
        <v>2</v>
      </c>
      <c r="AL365" s="4">
        <f t="shared" si="26"/>
        <v>36</v>
      </c>
      <c r="AM365" s="4">
        <f t="shared" si="27"/>
        <v>0</v>
      </c>
      <c r="AN365" s="4">
        <f t="shared" si="28"/>
        <v>0</v>
      </c>
      <c r="AO365" s="4">
        <f t="shared" si="29"/>
        <v>18</v>
      </c>
    </row>
    <row r="366" spans="1:41" x14ac:dyDescent="0.2">
      <c r="A366" s="4" t="s">
        <v>1582</v>
      </c>
      <c r="B366" s="4" t="s">
        <v>1583</v>
      </c>
      <c r="C366" s="4" t="s">
        <v>129</v>
      </c>
      <c r="D366" s="4" t="s">
        <v>315</v>
      </c>
      <c r="W366" s="4">
        <v>2</v>
      </c>
      <c r="X366" s="4">
        <v>30</v>
      </c>
      <c r="AK366" s="4">
        <f t="shared" si="25"/>
        <v>2</v>
      </c>
      <c r="AL366" s="4">
        <f t="shared" si="26"/>
        <v>30</v>
      </c>
      <c r="AM366" s="4">
        <f t="shared" si="27"/>
        <v>0</v>
      </c>
      <c r="AN366" s="4">
        <f t="shared" si="28"/>
        <v>0</v>
      </c>
      <c r="AO366" s="4">
        <f t="shared" si="29"/>
        <v>30</v>
      </c>
    </row>
    <row r="367" spans="1:41" x14ac:dyDescent="0.2">
      <c r="A367" s="4" t="s">
        <v>1584</v>
      </c>
      <c r="B367" s="4" t="s">
        <v>1585</v>
      </c>
      <c r="C367" s="4" t="s">
        <v>129</v>
      </c>
      <c r="D367" s="4" t="s">
        <v>315</v>
      </c>
      <c r="Q367" s="4">
        <v>2</v>
      </c>
      <c r="R367" s="4">
        <v>30</v>
      </c>
      <c r="AK367" s="4">
        <f t="shared" si="25"/>
        <v>2</v>
      </c>
      <c r="AL367" s="4">
        <f t="shared" si="26"/>
        <v>30</v>
      </c>
      <c r="AM367" s="4">
        <f t="shared" si="27"/>
        <v>0</v>
      </c>
      <c r="AN367" s="4">
        <f t="shared" si="28"/>
        <v>0</v>
      </c>
      <c r="AO367" s="4">
        <f t="shared" si="29"/>
        <v>30</v>
      </c>
    </row>
    <row r="368" spans="1:41" x14ac:dyDescent="0.2">
      <c r="A368" s="4" t="s">
        <v>1586</v>
      </c>
      <c r="B368" s="4" t="s">
        <v>1587</v>
      </c>
      <c r="C368" s="4" t="s">
        <v>129</v>
      </c>
      <c r="D368" s="4" t="s">
        <v>315</v>
      </c>
      <c r="Q368" s="4">
        <v>2</v>
      </c>
      <c r="R368" s="4">
        <v>34</v>
      </c>
      <c r="AE368" s="4">
        <v>1</v>
      </c>
      <c r="AF368" s="4">
        <v>17</v>
      </c>
      <c r="AK368" s="4">
        <f t="shared" si="25"/>
        <v>3</v>
      </c>
      <c r="AL368" s="4">
        <f t="shared" si="26"/>
        <v>51</v>
      </c>
      <c r="AM368" s="4">
        <f t="shared" si="27"/>
        <v>0</v>
      </c>
      <c r="AN368" s="4">
        <f t="shared" si="28"/>
        <v>0</v>
      </c>
      <c r="AO368" s="4">
        <f t="shared" si="29"/>
        <v>25.5</v>
      </c>
    </row>
    <row r="369" spans="1:41" x14ac:dyDescent="0.2">
      <c r="A369" s="4" t="s">
        <v>1588</v>
      </c>
      <c r="B369" s="4" t="s">
        <v>1589</v>
      </c>
      <c r="C369" s="4" t="s">
        <v>129</v>
      </c>
      <c r="D369" s="4" t="s">
        <v>315</v>
      </c>
      <c r="Y369" s="4">
        <v>2</v>
      </c>
      <c r="Z369" s="4">
        <v>40</v>
      </c>
      <c r="AK369" s="4">
        <f t="shared" si="25"/>
        <v>2</v>
      </c>
      <c r="AL369" s="4">
        <f t="shared" si="26"/>
        <v>40</v>
      </c>
      <c r="AM369" s="4">
        <f t="shared" si="27"/>
        <v>0</v>
      </c>
      <c r="AN369" s="4">
        <f t="shared" si="28"/>
        <v>0</v>
      </c>
      <c r="AO369" s="4">
        <f t="shared" si="29"/>
        <v>40</v>
      </c>
    </row>
    <row r="370" spans="1:41" x14ac:dyDescent="0.2">
      <c r="A370" s="4" t="s">
        <v>1590</v>
      </c>
      <c r="B370" s="4" t="s">
        <v>1591</v>
      </c>
      <c r="C370" s="4" t="s">
        <v>129</v>
      </c>
      <c r="D370" s="4" t="s">
        <v>315</v>
      </c>
      <c r="W370" s="4">
        <v>1</v>
      </c>
      <c r="X370" s="4">
        <v>16</v>
      </c>
      <c r="AK370" s="4">
        <f t="shared" si="25"/>
        <v>1</v>
      </c>
      <c r="AL370" s="4">
        <f t="shared" si="26"/>
        <v>16</v>
      </c>
      <c r="AM370" s="4">
        <f t="shared" si="27"/>
        <v>0</v>
      </c>
      <c r="AN370" s="4">
        <f t="shared" si="28"/>
        <v>0</v>
      </c>
      <c r="AO370" s="4">
        <f t="shared" si="29"/>
        <v>16</v>
      </c>
    </row>
    <row r="371" spans="1:41" x14ac:dyDescent="0.2">
      <c r="A371" s="4" t="s">
        <v>1592</v>
      </c>
      <c r="B371" s="4" t="s">
        <v>1593</v>
      </c>
      <c r="C371" s="4" t="s">
        <v>129</v>
      </c>
      <c r="D371" s="4" t="s">
        <v>315</v>
      </c>
      <c r="Q371" s="4">
        <v>1</v>
      </c>
      <c r="R371" s="4">
        <v>20</v>
      </c>
      <c r="W371" s="4">
        <v>1</v>
      </c>
      <c r="X371" s="4">
        <v>20</v>
      </c>
      <c r="AC371" s="4">
        <v>1</v>
      </c>
      <c r="AD371" s="4">
        <v>20</v>
      </c>
      <c r="AI371" s="4">
        <v>1</v>
      </c>
      <c r="AJ371" s="4">
        <v>20</v>
      </c>
      <c r="AK371" s="4">
        <f t="shared" si="25"/>
        <v>4</v>
      </c>
      <c r="AL371" s="4">
        <f t="shared" si="26"/>
        <v>80</v>
      </c>
      <c r="AM371" s="4">
        <f t="shared" si="27"/>
        <v>0</v>
      </c>
      <c r="AN371" s="4">
        <f t="shared" si="28"/>
        <v>0</v>
      </c>
      <c r="AO371" s="4">
        <f t="shared" si="29"/>
        <v>20</v>
      </c>
    </row>
    <row r="372" spans="1:41" x14ac:dyDescent="0.2">
      <c r="A372" s="4" t="s">
        <v>1594</v>
      </c>
      <c r="B372" s="4" t="s">
        <v>1595</v>
      </c>
      <c r="C372" s="4" t="s">
        <v>129</v>
      </c>
      <c r="D372" s="4" t="s">
        <v>315</v>
      </c>
      <c r="Y372" s="4">
        <v>1</v>
      </c>
      <c r="Z372" s="4">
        <v>21</v>
      </c>
      <c r="AA372" s="4">
        <v>2</v>
      </c>
      <c r="AB372" s="4">
        <v>42</v>
      </c>
      <c r="AK372" s="4">
        <f t="shared" si="25"/>
        <v>3</v>
      </c>
      <c r="AL372" s="4">
        <f t="shared" si="26"/>
        <v>63</v>
      </c>
      <c r="AM372" s="4">
        <f t="shared" si="27"/>
        <v>0</v>
      </c>
      <c r="AN372" s="4">
        <f t="shared" si="28"/>
        <v>0</v>
      </c>
      <c r="AO372" s="4">
        <f t="shared" si="29"/>
        <v>31.5</v>
      </c>
    </row>
    <row r="373" spans="1:41" x14ac:dyDescent="0.2">
      <c r="A373" s="4" t="s">
        <v>1596</v>
      </c>
      <c r="B373" s="4" t="s">
        <v>1597</v>
      </c>
      <c r="C373" s="4" t="s">
        <v>129</v>
      </c>
      <c r="D373" s="4" t="s">
        <v>315</v>
      </c>
      <c r="Y373" s="4">
        <v>1</v>
      </c>
      <c r="Z373" s="4">
        <v>10</v>
      </c>
      <c r="AK373" s="4">
        <f t="shared" si="25"/>
        <v>1</v>
      </c>
      <c r="AL373" s="4">
        <f t="shared" si="26"/>
        <v>10</v>
      </c>
      <c r="AM373" s="4">
        <f t="shared" si="27"/>
        <v>0</v>
      </c>
      <c r="AN373" s="4">
        <f t="shared" si="28"/>
        <v>0</v>
      </c>
      <c r="AO373" s="4">
        <f t="shared" si="29"/>
        <v>10</v>
      </c>
    </row>
    <row r="374" spans="1:41" x14ac:dyDescent="0.2">
      <c r="A374" s="4" t="s">
        <v>1598</v>
      </c>
      <c r="B374" s="4" t="s">
        <v>1599</v>
      </c>
      <c r="C374" s="4" t="s">
        <v>129</v>
      </c>
      <c r="D374" s="4" t="s">
        <v>315</v>
      </c>
      <c r="W374" s="4">
        <v>2</v>
      </c>
      <c r="X374" s="4">
        <v>28</v>
      </c>
      <c r="AK374" s="4">
        <f t="shared" si="25"/>
        <v>2</v>
      </c>
      <c r="AL374" s="4">
        <f t="shared" si="26"/>
        <v>28</v>
      </c>
      <c r="AM374" s="4">
        <f t="shared" si="27"/>
        <v>0</v>
      </c>
      <c r="AN374" s="4">
        <f t="shared" si="28"/>
        <v>0</v>
      </c>
      <c r="AO374" s="4">
        <f t="shared" si="29"/>
        <v>28</v>
      </c>
    </row>
    <row r="375" spans="1:41" x14ac:dyDescent="0.2">
      <c r="A375" s="4" t="s">
        <v>1600</v>
      </c>
      <c r="B375" s="4" t="s">
        <v>1601</v>
      </c>
      <c r="C375" s="4" t="s">
        <v>129</v>
      </c>
      <c r="D375" s="4" t="s">
        <v>315</v>
      </c>
      <c r="W375" s="4">
        <v>1</v>
      </c>
      <c r="X375" s="4">
        <v>15</v>
      </c>
      <c r="AE375" s="4">
        <v>1</v>
      </c>
      <c r="AF375" s="4">
        <v>15</v>
      </c>
      <c r="AK375" s="4">
        <f t="shared" si="25"/>
        <v>2</v>
      </c>
      <c r="AL375" s="4">
        <f t="shared" si="26"/>
        <v>30</v>
      </c>
      <c r="AM375" s="4">
        <f t="shared" si="27"/>
        <v>0</v>
      </c>
      <c r="AN375" s="4">
        <f t="shared" si="28"/>
        <v>0</v>
      </c>
      <c r="AO375" s="4">
        <f t="shared" si="29"/>
        <v>15</v>
      </c>
    </row>
    <row r="376" spans="1:41" x14ac:dyDescent="0.2">
      <c r="A376" s="4" t="s">
        <v>1602</v>
      </c>
      <c r="B376" s="4" t="s">
        <v>1603</v>
      </c>
      <c r="C376" s="4" t="s">
        <v>129</v>
      </c>
      <c r="D376" s="4" t="s">
        <v>315</v>
      </c>
      <c r="W376" s="4">
        <v>1</v>
      </c>
      <c r="X376" s="4">
        <v>12</v>
      </c>
      <c r="Y376" s="4">
        <v>1</v>
      </c>
      <c r="Z376" s="4">
        <v>12</v>
      </c>
      <c r="AK376" s="4">
        <f t="shared" si="25"/>
        <v>2</v>
      </c>
      <c r="AL376" s="4">
        <f t="shared" si="26"/>
        <v>24</v>
      </c>
      <c r="AM376" s="4">
        <f t="shared" si="27"/>
        <v>0</v>
      </c>
      <c r="AN376" s="4">
        <f t="shared" si="28"/>
        <v>0</v>
      </c>
      <c r="AO376" s="4">
        <f t="shared" si="29"/>
        <v>12</v>
      </c>
    </row>
    <row r="377" spans="1:41" x14ac:dyDescent="0.2">
      <c r="A377" s="4" t="s">
        <v>1604</v>
      </c>
      <c r="B377" s="4" t="s">
        <v>1605</v>
      </c>
      <c r="C377" s="4" t="s">
        <v>129</v>
      </c>
      <c r="D377" s="4" t="s">
        <v>315</v>
      </c>
      <c r="W377" s="4">
        <v>2</v>
      </c>
      <c r="X377" s="4">
        <v>32</v>
      </c>
      <c r="AK377" s="4">
        <f t="shared" si="25"/>
        <v>2</v>
      </c>
      <c r="AL377" s="4">
        <f t="shared" si="26"/>
        <v>32</v>
      </c>
      <c r="AM377" s="4">
        <f t="shared" si="27"/>
        <v>0</v>
      </c>
      <c r="AN377" s="4">
        <f t="shared" si="28"/>
        <v>0</v>
      </c>
      <c r="AO377" s="4">
        <f t="shared" si="29"/>
        <v>32</v>
      </c>
    </row>
    <row r="378" spans="1:41" x14ac:dyDescent="0.2">
      <c r="A378" s="4" t="s">
        <v>1606</v>
      </c>
      <c r="B378" s="4" t="s">
        <v>1607</v>
      </c>
      <c r="C378" s="4" t="s">
        <v>129</v>
      </c>
      <c r="D378" s="4" t="s">
        <v>315</v>
      </c>
      <c r="M378" s="4">
        <v>2</v>
      </c>
      <c r="N378" s="4">
        <v>30</v>
      </c>
      <c r="AK378" s="4">
        <f t="shared" si="25"/>
        <v>2</v>
      </c>
      <c r="AL378" s="4">
        <f t="shared" si="26"/>
        <v>30</v>
      </c>
      <c r="AM378" s="4">
        <f t="shared" si="27"/>
        <v>0</v>
      </c>
      <c r="AN378" s="4">
        <f t="shared" si="28"/>
        <v>0</v>
      </c>
      <c r="AO378" s="4">
        <f t="shared" si="29"/>
        <v>30</v>
      </c>
    </row>
    <row r="379" spans="1:41" x14ac:dyDescent="0.2">
      <c r="A379" s="4" t="s">
        <v>1608</v>
      </c>
      <c r="B379" s="4" t="s">
        <v>1609</v>
      </c>
      <c r="C379" s="4" t="s">
        <v>129</v>
      </c>
      <c r="D379" s="4" t="s">
        <v>315</v>
      </c>
      <c r="W379" s="4">
        <v>1</v>
      </c>
      <c r="X379" s="4">
        <v>21</v>
      </c>
      <c r="Y379" s="4">
        <v>2</v>
      </c>
      <c r="Z379" s="4">
        <v>42</v>
      </c>
      <c r="AK379" s="4">
        <f t="shared" si="25"/>
        <v>3</v>
      </c>
      <c r="AL379" s="4">
        <f t="shared" si="26"/>
        <v>63</v>
      </c>
      <c r="AM379" s="4">
        <f t="shared" si="27"/>
        <v>0</v>
      </c>
      <c r="AN379" s="4">
        <f t="shared" si="28"/>
        <v>0</v>
      </c>
      <c r="AO379" s="4">
        <f t="shared" si="29"/>
        <v>31.5</v>
      </c>
    </row>
    <row r="380" spans="1:41" x14ac:dyDescent="0.2">
      <c r="A380" s="4" t="s">
        <v>1610</v>
      </c>
      <c r="B380" s="4" t="s">
        <v>1611</v>
      </c>
      <c r="C380" s="4" t="s">
        <v>129</v>
      </c>
      <c r="D380" s="4" t="s">
        <v>315</v>
      </c>
      <c r="U380" s="4">
        <v>1</v>
      </c>
      <c r="V380" s="4">
        <v>14</v>
      </c>
      <c r="AE380" s="4">
        <v>2</v>
      </c>
      <c r="AF380" s="4">
        <v>28</v>
      </c>
      <c r="AK380" s="4">
        <f t="shared" si="25"/>
        <v>3</v>
      </c>
      <c r="AL380" s="4">
        <f t="shared" si="26"/>
        <v>42</v>
      </c>
      <c r="AM380" s="4">
        <f t="shared" si="27"/>
        <v>0</v>
      </c>
      <c r="AN380" s="4">
        <f t="shared" si="28"/>
        <v>0</v>
      </c>
      <c r="AO380" s="4">
        <f t="shared" si="29"/>
        <v>21</v>
      </c>
    </row>
    <row r="381" spans="1:41" x14ac:dyDescent="0.2">
      <c r="A381" s="4" t="s">
        <v>949</v>
      </c>
      <c r="B381" s="4" t="s">
        <v>950</v>
      </c>
      <c r="C381" s="4" t="s">
        <v>129</v>
      </c>
      <c r="D381" s="4" t="s">
        <v>315</v>
      </c>
      <c r="G381" s="4">
        <v>1</v>
      </c>
      <c r="H381" s="4">
        <v>14</v>
      </c>
      <c r="S381" s="4">
        <v>1</v>
      </c>
      <c r="T381" s="4">
        <v>14</v>
      </c>
      <c r="AG381" s="4">
        <v>1</v>
      </c>
      <c r="AH381" s="4">
        <v>14</v>
      </c>
      <c r="AI381" s="4">
        <v>2</v>
      </c>
      <c r="AJ381" s="4">
        <v>28</v>
      </c>
      <c r="AK381" s="4">
        <f t="shared" si="25"/>
        <v>3</v>
      </c>
      <c r="AL381" s="4">
        <f t="shared" si="26"/>
        <v>42</v>
      </c>
      <c r="AM381" s="4">
        <f t="shared" si="27"/>
        <v>2</v>
      </c>
      <c r="AN381" s="4">
        <f t="shared" si="28"/>
        <v>28</v>
      </c>
      <c r="AO381" s="4">
        <f t="shared" si="29"/>
        <v>17.5</v>
      </c>
    </row>
    <row r="382" spans="1:41" x14ac:dyDescent="0.2">
      <c r="A382" s="4" t="s">
        <v>593</v>
      </c>
      <c r="B382" s="4" t="s">
        <v>594</v>
      </c>
      <c r="C382" s="4" t="s">
        <v>129</v>
      </c>
      <c r="D382" s="4" t="s">
        <v>315</v>
      </c>
      <c r="G382" s="4">
        <v>1</v>
      </c>
      <c r="H382" s="4">
        <v>17</v>
      </c>
      <c r="Y382" s="4">
        <v>1</v>
      </c>
      <c r="Z382" s="4">
        <v>17</v>
      </c>
      <c r="AA382" s="4">
        <v>1</v>
      </c>
      <c r="AB382" s="4">
        <v>17</v>
      </c>
      <c r="AI382" s="4">
        <v>1</v>
      </c>
      <c r="AJ382" s="4">
        <v>17</v>
      </c>
      <c r="AK382" s="4">
        <f t="shared" si="25"/>
        <v>3</v>
      </c>
      <c r="AL382" s="4">
        <f t="shared" si="26"/>
        <v>51</v>
      </c>
      <c r="AM382" s="4">
        <f t="shared" si="27"/>
        <v>1</v>
      </c>
      <c r="AN382" s="4">
        <f t="shared" si="28"/>
        <v>17</v>
      </c>
      <c r="AO382" s="4">
        <f t="shared" si="29"/>
        <v>17</v>
      </c>
    </row>
    <row r="383" spans="1:41" x14ac:dyDescent="0.2">
      <c r="A383" s="4" t="s">
        <v>1612</v>
      </c>
      <c r="B383" s="4" t="s">
        <v>1613</v>
      </c>
      <c r="C383" s="4" t="s">
        <v>129</v>
      </c>
      <c r="D383" s="4" t="s">
        <v>315</v>
      </c>
      <c r="AA383" s="4">
        <v>2</v>
      </c>
      <c r="AB383" s="4">
        <v>36</v>
      </c>
      <c r="AK383" s="4">
        <f t="shared" si="25"/>
        <v>2</v>
      </c>
      <c r="AL383" s="4">
        <f t="shared" si="26"/>
        <v>36</v>
      </c>
      <c r="AM383" s="4">
        <f t="shared" si="27"/>
        <v>0</v>
      </c>
      <c r="AN383" s="4">
        <f t="shared" si="28"/>
        <v>0</v>
      </c>
      <c r="AO383" s="4">
        <f t="shared" si="29"/>
        <v>36</v>
      </c>
    </row>
    <row r="384" spans="1:41" x14ac:dyDescent="0.2">
      <c r="A384" s="4" t="s">
        <v>1614</v>
      </c>
      <c r="B384" s="4" t="s">
        <v>1615</v>
      </c>
      <c r="C384" s="4" t="s">
        <v>129</v>
      </c>
      <c r="D384" s="4" t="s">
        <v>315</v>
      </c>
      <c r="M384" s="4">
        <v>1</v>
      </c>
      <c r="N384" s="4">
        <v>15</v>
      </c>
      <c r="Q384" s="4">
        <v>4</v>
      </c>
      <c r="R384" s="4">
        <v>60</v>
      </c>
      <c r="AK384" s="4">
        <f t="shared" si="25"/>
        <v>5</v>
      </c>
      <c r="AL384" s="4">
        <f t="shared" si="26"/>
        <v>75</v>
      </c>
      <c r="AM384" s="4">
        <f t="shared" si="27"/>
        <v>0</v>
      </c>
      <c r="AN384" s="4">
        <f t="shared" si="28"/>
        <v>0</v>
      </c>
      <c r="AO384" s="4">
        <f t="shared" si="29"/>
        <v>37.5</v>
      </c>
    </row>
    <row r="385" spans="1:41" x14ac:dyDescent="0.2">
      <c r="A385" s="4" t="s">
        <v>1616</v>
      </c>
      <c r="B385" s="4" t="s">
        <v>1617</v>
      </c>
      <c r="C385" s="4" t="s">
        <v>129</v>
      </c>
      <c r="D385" s="4" t="s">
        <v>315</v>
      </c>
      <c r="I385" s="4">
        <v>1</v>
      </c>
      <c r="J385" s="4">
        <v>16</v>
      </c>
      <c r="M385" s="4">
        <v>1</v>
      </c>
      <c r="N385" s="4">
        <v>16</v>
      </c>
      <c r="AK385" s="4">
        <f t="shared" si="25"/>
        <v>2</v>
      </c>
      <c r="AL385" s="4">
        <f t="shared" si="26"/>
        <v>32</v>
      </c>
      <c r="AM385" s="4">
        <f t="shared" si="27"/>
        <v>0</v>
      </c>
      <c r="AN385" s="4">
        <f t="shared" si="28"/>
        <v>0</v>
      </c>
      <c r="AO385" s="4">
        <f t="shared" si="29"/>
        <v>16</v>
      </c>
    </row>
    <row r="386" spans="1:41" x14ac:dyDescent="0.2">
      <c r="A386" s="4" t="s">
        <v>1618</v>
      </c>
      <c r="B386" s="4" t="s">
        <v>1619</v>
      </c>
      <c r="C386" s="4" t="s">
        <v>129</v>
      </c>
      <c r="D386" s="4" t="s">
        <v>315</v>
      </c>
      <c r="Y386" s="4">
        <v>1</v>
      </c>
      <c r="Z386" s="4">
        <v>16</v>
      </c>
      <c r="AA386" s="4">
        <v>1</v>
      </c>
      <c r="AB386" s="4">
        <v>16</v>
      </c>
      <c r="AK386" s="4">
        <f t="shared" si="25"/>
        <v>2</v>
      </c>
      <c r="AL386" s="4">
        <f t="shared" si="26"/>
        <v>32</v>
      </c>
      <c r="AM386" s="4">
        <f t="shared" si="27"/>
        <v>0</v>
      </c>
      <c r="AN386" s="4">
        <f t="shared" si="28"/>
        <v>0</v>
      </c>
      <c r="AO386" s="4">
        <f t="shared" si="29"/>
        <v>16</v>
      </c>
    </row>
    <row r="387" spans="1:41" x14ac:dyDescent="0.2">
      <c r="A387" s="4" t="s">
        <v>1620</v>
      </c>
      <c r="B387" s="4" t="s">
        <v>1621</v>
      </c>
      <c r="C387" s="4" t="s">
        <v>129</v>
      </c>
      <c r="D387" s="4" t="s">
        <v>315</v>
      </c>
      <c r="U387" s="4">
        <v>1</v>
      </c>
      <c r="V387" s="4">
        <v>11</v>
      </c>
      <c r="Y387" s="4">
        <v>1</v>
      </c>
      <c r="Z387" s="4">
        <v>11</v>
      </c>
      <c r="AK387" s="4">
        <f t="shared" si="25"/>
        <v>2</v>
      </c>
      <c r="AL387" s="4">
        <f t="shared" si="26"/>
        <v>22</v>
      </c>
      <c r="AM387" s="4">
        <f t="shared" si="27"/>
        <v>0</v>
      </c>
      <c r="AN387" s="4">
        <f t="shared" si="28"/>
        <v>0</v>
      </c>
      <c r="AO387" s="4">
        <f t="shared" si="29"/>
        <v>11</v>
      </c>
    </row>
    <row r="388" spans="1:41" x14ac:dyDescent="0.2">
      <c r="A388" s="4" t="s">
        <v>1622</v>
      </c>
      <c r="B388" s="4" t="s">
        <v>1623</v>
      </c>
      <c r="C388" s="4" t="s">
        <v>129</v>
      </c>
      <c r="D388" s="4" t="s">
        <v>315</v>
      </c>
      <c r="U388" s="4">
        <v>1</v>
      </c>
      <c r="V388" s="4">
        <v>11</v>
      </c>
      <c r="AA388" s="4">
        <v>1</v>
      </c>
      <c r="AB388" s="4">
        <v>11</v>
      </c>
      <c r="AK388" s="4">
        <f t="shared" si="25"/>
        <v>2</v>
      </c>
      <c r="AL388" s="4">
        <f t="shared" si="26"/>
        <v>22</v>
      </c>
      <c r="AM388" s="4">
        <f t="shared" si="27"/>
        <v>0</v>
      </c>
      <c r="AN388" s="4">
        <f t="shared" si="28"/>
        <v>0</v>
      </c>
      <c r="AO388" s="4">
        <f t="shared" si="29"/>
        <v>11</v>
      </c>
    </row>
    <row r="389" spans="1:41" x14ac:dyDescent="0.2">
      <c r="A389" s="4" t="s">
        <v>1624</v>
      </c>
      <c r="B389" s="4" t="s">
        <v>1625</v>
      </c>
      <c r="C389" s="4" t="s">
        <v>129</v>
      </c>
      <c r="D389" s="4" t="s">
        <v>315</v>
      </c>
      <c r="Q389" s="4">
        <v>1</v>
      </c>
      <c r="R389" s="4">
        <v>11</v>
      </c>
      <c r="W389" s="4">
        <v>1</v>
      </c>
      <c r="X389" s="4">
        <v>11</v>
      </c>
      <c r="AK389" s="4">
        <f t="shared" ref="AK389:AK452" si="30">SUM(E389,I389,M389,Q389,U389,W389,Y389,AA389,AC389,AE389,AG389,AI389)</f>
        <v>2</v>
      </c>
      <c r="AL389" s="4">
        <f t="shared" ref="AL389:AL452" si="31">SUM(F389,J389,N389,R389,V389,X389,Z389,AB389,AD389,AF389,AH389,AJ389)</f>
        <v>22</v>
      </c>
      <c r="AM389" s="4">
        <f t="shared" ref="AM389:AM452" si="32">SUM(G389,K389,O389,S389)</f>
        <v>0</v>
      </c>
      <c r="AN389" s="4">
        <f t="shared" ref="AN389:AN452" si="33">SUM(H389,L389,P389,T389)</f>
        <v>0</v>
      </c>
      <c r="AO389" s="4">
        <f t="shared" ref="AO389:AO452" si="34">AVERAGE(F389,H389,J389,L389,N389,P389,R389,T389,V389,X389,Z389,AB389,AD389,AF389,AH389,AJ389)</f>
        <v>11</v>
      </c>
    </row>
    <row r="390" spans="1:41" x14ac:dyDescent="0.2">
      <c r="A390" s="4" t="s">
        <v>1626</v>
      </c>
      <c r="B390" s="4" t="s">
        <v>1627</v>
      </c>
      <c r="C390" s="4" t="s">
        <v>129</v>
      </c>
      <c r="D390" s="4" t="s">
        <v>315</v>
      </c>
      <c r="W390" s="4">
        <v>1</v>
      </c>
      <c r="X390" s="4">
        <v>11</v>
      </c>
      <c r="Y390" s="4">
        <v>2</v>
      </c>
      <c r="Z390" s="4">
        <v>22</v>
      </c>
      <c r="AK390" s="4">
        <f t="shared" si="30"/>
        <v>3</v>
      </c>
      <c r="AL390" s="4">
        <f t="shared" si="31"/>
        <v>33</v>
      </c>
      <c r="AM390" s="4">
        <f t="shared" si="32"/>
        <v>0</v>
      </c>
      <c r="AN390" s="4">
        <f t="shared" si="33"/>
        <v>0</v>
      </c>
      <c r="AO390" s="4">
        <f t="shared" si="34"/>
        <v>16.5</v>
      </c>
    </row>
    <row r="391" spans="1:41" x14ac:dyDescent="0.2">
      <c r="A391" s="4" t="s">
        <v>1628</v>
      </c>
      <c r="B391" s="4" t="s">
        <v>1629</v>
      </c>
      <c r="C391" s="4" t="s">
        <v>129</v>
      </c>
      <c r="D391" s="4" t="s">
        <v>315</v>
      </c>
      <c r="Y391" s="4">
        <v>1</v>
      </c>
      <c r="Z391" s="4">
        <v>11</v>
      </c>
      <c r="AA391" s="4">
        <v>1</v>
      </c>
      <c r="AB391" s="4">
        <v>11</v>
      </c>
      <c r="AK391" s="4">
        <f t="shared" si="30"/>
        <v>2</v>
      </c>
      <c r="AL391" s="4">
        <f t="shared" si="31"/>
        <v>22</v>
      </c>
      <c r="AM391" s="4">
        <f t="shared" si="32"/>
        <v>0</v>
      </c>
      <c r="AN391" s="4">
        <f t="shared" si="33"/>
        <v>0</v>
      </c>
      <c r="AO391" s="4">
        <f t="shared" si="34"/>
        <v>11</v>
      </c>
    </row>
    <row r="392" spans="1:41" x14ac:dyDescent="0.2">
      <c r="A392" s="4" t="s">
        <v>1630</v>
      </c>
      <c r="B392" s="4" t="s">
        <v>1631</v>
      </c>
      <c r="C392" s="4" t="s">
        <v>129</v>
      </c>
      <c r="D392" s="4" t="s">
        <v>315</v>
      </c>
      <c r="Y392" s="4">
        <v>1</v>
      </c>
      <c r="Z392" s="4">
        <v>11</v>
      </c>
      <c r="AG392" s="4">
        <v>1</v>
      </c>
      <c r="AH392" s="4">
        <v>11</v>
      </c>
      <c r="AK392" s="4">
        <f t="shared" si="30"/>
        <v>2</v>
      </c>
      <c r="AL392" s="4">
        <f t="shared" si="31"/>
        <v>22</v>
      </c>
      <c r="AM392" s="4">
        <f t="shared" si="32"/>
        <v>0</v>
      </c>
      <c r="AN392" s="4">
        <f t="shared" si="33"/>
        <v>0</v>
      </c>
      <c r="AO392" s="4">
        <f t="shared" si="34"/>
        <v>11</v>
      </c>
    </row>
    <row r="393" spans="1:41" x14ac:dyDescent="0.2">
      <c r="A393" s="4" t="s">
        <v>1632</v>
      </c>
      <c r="B393" s="4" t="s">
        <v>1633</v>
      </c>
      <c r="C393" s="4" t="s">
        <v>129</v>
      </c>
      <c r="D393" s="4" t="s">
        <v>315</v>
      </c>
      <c r="U393" s="4">
        <v>1</v>
      </c>
      <c r="V393" s="4">
        <v>11</v>
      </c>
      <c r="AI393" s="4">
        <v>1</v>
      </c>
      <c r="AJ393" s="4">
        <v>11</v>
      </c>
      <c r="AK393" s="4">
        <f t="shared" si="30"/>
        <v>2</v>
      </c>
      <c r="AL393" s="4">
        <f t="shared" si="31"/>
        <v>22</v>
      </c>
      <c r="AM393" s="4">
        <f t="shared" si="32"/>
        <v>0</v>
      </c>
      <c r="AN393" s="4">
        <f t="shared" si="33"/>
        <v>0</v>
      </c>
      <c r="AO393" s="4">
        <f t="shared" si="34"/>
        <v>11</v>
      </c>
    </row>
    <row r="394" spans="1:41" x14ac:dyDescent="0.2">
      <c r="A394" s="4" t="s">
        <v>1634</v>
      </c>
      <c r="B394" s="4" t="s">
        <v>1635</v>
      </c>
      <c r="C394" s="4" t="s">
        <v>129</v>
      </c>
      <c r="D394" s="4" t="s">
        <v>315</v>
      </c>
      <c r="I394" s="4">
        <v>1</v>
      </c>
      <c r="J394" s="4">
        <v>16</v>
      </c>
      <c r="M394" s="4">
        <v>1</v>
      </c>
      <c r="N394" s="4">
        <v>16</v>
      </c>
      <c r="Y394" s="4">
        <v>1</v>
      </c>
      <c r="Z394" s="4">
        <v>16</v>
      </c>
      <c r="AK394" s="4">
        <f t="shared" si="30"/>
        <v>3</v>
      </c>
      <c r="AL394" s="4">
        <f t="shared" si="31"/>
        <v>48</v>
      </c>
      <c r="AM394" s="4">
        <f t="shared" si="32"/>
        <v>0</v>
      </c>
      <c r="AN394" s="4">
        <f t="shared" si="33"/>
        <v>0</v>
      </c>
      <c r="AO394" s="4">
        <f t="shared" si="34"/>
        <v>16</v>
      </c>
    </row>
    <row r="395" spans="1:41" x14ac:dyDescent="0.2">
      <c r="A395" s="4" t="s">
        <v>1636</v>
      </c>
      <c r="B395" s="4" t="s">
        <v>1637</v>
      </c>
      <c r="C395" s="4" t="s">
        <v>129</v>
      </c>
      <c r="D395" s="4" t="s">
        <v>315</v>
      </c>
      <c r="W395" s="4">
        <v>1</v>
      </c>
      <c r="X395" s="4">
        <v>10</v>
      </c>
      <c r="Y395" s="4">
        <v>1</v>
      </c>
      <c r="Z395" s="4">
        <v>10</v>
      </c>
      <c r="AK395" s="4">
        <f t="shared" si="30"/>
        <v>2</v>
      </c>
      <c r="AL395" s="4">
        <f t="shared" si="31"/>
        <v>20</v>
      </c>
      <c r="AM395" s="4">
        <f t="shared" si="32"/>
        <v>0</v>
      </c>
      <c r="AN395" s="4">
        <f t="shared" si="33"/>
        <v>0</v>
      </c>
      <c r="AO395" s="4">
        <f t="shared" si="34"/>
        <v>10</v>
      </c>
    </row>
    <row r="396" spans="1:41" x14ac:dyDescent="0.2">
      <c r="A396" s="4" t="s">
        <v>1638</v>
      </c>
      <c r="B396" s="4" t="s">
        <v>1639</v>
      </c>
      <c r="C396" s="4" t="s">
        <v>129</v>
      </c>
      <c r="D396" s="4" t="s">
        <v>315</v>
      </c>
      <c r="M396" s="4">
        <v>2</v>
      </c>
      <c r="N396" s="4">
        <v>54</v>
      </c>
      <c r="U396" s="4">
        <v>1</v>
      </c>
      <c r="V396" s="4">
        <v>18.899999999999999</v>
      </c>
      <c r="AE396" s="4">
        <v>1</v>
      </c>
      <c r="AF396" s="4">
        <v>27</v>
      </c>
      <c r="AI396" s="4">
        <v>1</v>
      </c>
      <c r="AJ396" s="4">
        <v>27</v>
      </c>
      <c r="AK396" s="4">
        <f t="shared" si="30"/>
        <v>5</v>
      </c>
      <c r="AL396" s="4">
        <f t="shared" si="31"/>
        <v>126.9</v>
      </c>
      <c r="AM396" s="4">
        <f t="shared" si="32"/>
        <v>0</v>
      </c>
      <c r="AN396" s="4">
        <f t="shared" si="33"/>
        <v>0</v>
      </c>
      <c r="AO396" s="4">
        <f t="shared" si="34"/>
        <v>31.725000000000001</v>
      </c>
    </row>
    <row r="397" spans="1:41" x14ac:dyDescent="0.2">
      <c r="A397" s="4" t="s">
        <v>1640</v>
      </c>
      <c r="B397" s="4" t="s">
        <v>1641</v>
      </c>
      <c r="C397" s="4" t="s">
        <v>129</v>
      </c>
      <c r="D397" s="4" t="s">
        <v>315</v>
      </c>
      <c r="I397" s="4">
        <v>1</v>
      </c>
      <c r="J397" s="4">
        <v>17</v>
      </c>
      <c r="Y397" s="4">
        <v>1</v>
      </c>
      <c r="Z397" s="4">
        <v>17</v>
      </c>
      <c r="AK397" s="4">
        <f t="shared" si="30"/>
        <v>2</v>
      </c>
      <c r="AL397" s="4">
        <f t="shared" si="31"/>
        <v>34</v>
      </c>
      <c r="AM397" s="4">
        <f t="shared" si="32"/>
        <v>0</v>
      </c>
      <c r="AN397" s="4">
        <f t="shared" si="33"/>
        <v>0</v>
      </c>
      <c r="AO397" s="4">
        <f t="shared" si="34"/>
        <v>17</v>
      </c>
    </row>
    <row r="398" spans="1:41" x14ac:dyDescent="0.2">
      <c r="A398" s="4" t="s">
        <v>1642</v>
      </c>
      <c r="B398" s="4" t="s">
        <v>1643</v>
      </c>
      <c r="C398" s="4" t="s">
        <v>129</v>
      </c>
      <c r="D398" s="4" t="s">
        <v>315</v>
      </c>
      <c r="I398" s="4">
        <v>1</v>
      </c>
      <c r="J398" s="4">
        <v>26</v>
      </c>
      <c r="AK398" s="4">
        <f t="shared" si="30"/>
        <v>1</v>
      </c>
      <c r="AL398" s="4">
        <f t="shared" si="31"/>
        <v>26</v>
      </c>
      <c r="AM398" s="4">
        <f t="shared" si="32"/>
        <v>0</v>
      </c>
      <c r="AN398" s="4">
        <f t="shared" si="33"/>
        <v>0</v>
      </c>
      <c r="AO398" s="4">
        <f t="shared" si="34"/>
        <v>26</v>
      </c>
    </row>
    <row r="399" spans="1:41" x14ac:dyDescent="0.2">
      <c r="A399" s="4" t="s">
        <v>1644</v>
      </c>
      <c r="B399" s="4" t="s">
        <v>1645</v>
      </c>
      <c r="C399" s="4" t="s">
        <v>129</v>
      </c>
      <c r="D399" s="4" t="s">
        <v>315</v>
      </c>
      <c r="M399" s="4">
        <v>1</v>
      </c>
      <c r="N399" s="4">
        <v>22</v>
      </c>
      <c r="Q399" s="4">
        <v>1</v>
      </c>
      <c r="R399" s="4">
        <v>22</v>
      </c>
      <c r="AK399" s="4">
        <f t="shared" si="30"/>
        <v>2</v>
      </c>
      <c r="AL399" s="4">
        <f t="shared" si="31"/>
        <v>44</v>
      </c>
      <c r="AM399" s="4">
        <f t="shared" si="32"/>
        <v>0</v>
      </c>
      <c r="AN399" s="4">
        <f t="shared" si="33"/>
        <v>0</v>
      </c>
      <c r="AO399" s="4">
        <f t="shared" si="34"/>
        <v>22</v>
      </c>
    </row>
    <row r="400" spans="1:41" x14ac:dyDescent="0.2">
      <c r="A400" s="4" t="s">
        <v>1646</v>
      </c>
      <c r="B400" s="4" t="s">
        <v>1647</v>
      </c>
      <c r="C400" s="4" t="s">
        <v>129</v>
      </c>
      <c r="D400" s="4" t="s">
        <v>315</v>
      </c>
      <c r="Y400" s="4">
        <v>1</v>
      </c>
      <c r="Z400" s="4">
        <v>16</v>
      </c>
      <c r="AE400" s="4">
        <v>1</v>
      </c>
      <c r="AF400" s="4">
        <v>16</v>
      </c>
      <c r="AG400" s="4">
        <v>1</v>
      </c>
      <c r="AH400" s="4">
        <v>16</v>
      </c>
      <c r="AK400" s="4">
        <f t="shared" si="30"/>
        <v>3</v>
      </c>
      <c r="AL400" s="4">
        <f t="shared" si="31"/>
        <v>48</v>
      </c>
      <c r="AM400" s="4">
        <f t="shared" si="32"/>
        <v>0</v>
      </c>
      <c r="AN400" s="4">
        <f t="shared" si="33"/>
        <v>0</v>
      </c>
      <c r="AO400" s="4">
        <f t="shared" si="34"/>
        <v>16</v>
      </c>
    </row>
    <row r="401" spans="1:41" x14ac:dyDescent="0.2">
      <c r="A401" s="4" t="s">
        <v>1648</v>
      </c>
      <c r="B401" s="4" t="s">
        <v>1649</v>
      </c>
      <c r="C401" s="4" t="s">
        <v>129</v>
      </c>
      <c r="D401" s="4" t="s">
        <v>315</v>
      </c>
      <c r="I401" s="4">
        <v>1</v>
      </c>
      <c r="J401" s="4">
        <v>16</v>
      </c>
      <c r="M401" s="4">
        <v>1</v>
      </c>
      <c r="N401" s="4">
        <v>16</v>
      </c>
      <c r="AK401" s="4">
        <f t="shared" si="30"/>
        <v>2</v>
      </c>
      <c r="AL401" s="4">
        <f t="shared" si="31"/>
        <v>32</v>
      </c>
      <c r="AM401" s="4">
        <f t="shared" si="32"/>
        <v>0</v>
      </c>
      <c r="AN401" s="4">
        <f t="shared" si="33"/>
        <v>0</v>
      </c>
      <c r="AO401" s="4">
        <f t="shared" si="34"/>
        <v>16</v>
      </c>
    </row>
    <row r="402" spans="1:41" x14ac:dyDescent="0.2">
      <c r="A402" s="4" t="s">
        <v>1650</v>
      </c>
      <c r="B402" s="4" t="s">
        <v>1651</v>
      </c>
      <c r="C402" s="4" t="s">
        <v>129</v>
      </c>
      <c r="D402" s="4" t="s">
        <v>315</v>
      </c>
      <c r="Y402" s="4">
        <v>2</v>
      </c>
      <c r="Z402" s="4">
        <v>30</v>
      </c>
      <c r="AK402" s="4">
        <f t="shared" si="30"/>
        <v>2</v>
      </c>
      <c r="AL402" s="4">
        <f t="shared" si="31"/>
        <v>30</v>
      </c>
      <c r="AM402" s="4">
        <f t="shared" si="32"/>
        <v>0</v>
      </c>
      <c r="AN402" s="4">
        <f t="shared" si="33"/>
        <v>0</v>
      </c>
      <c r="AO402" s="4">
        <f t="shared" si="34"/>
        <v>30</v>
      </c>
    </row>
    <row r="403" spans="1:41" x14ac:dyDescent="0.2">
      <c r="A403" s="4" t="s">
        <v>1652</v>
      </c>
      <c r="B403" s="4" t="s">
        <v>1653</v>
      </c>
      <c r="C403" s="4" t="s">
        <v>129</v>
      </c>
      <c r="D403" s="4" t="s">
        <v>315</v>
      </c>
      <c r="M403" s="4">
        <v>1</v>
      </c>
      <c r="N403" s="4">
        <v>17</v>
      </c>
      <c r="Q403" s="4">
        <v>1</v>
      </c>
      <c r="R403" s="4">
        <v>17</v>
      </c>
      <c r="Y403" s="4">
        <v>1</v>
      </c>
      <c r="Z403" s="4">
        <v>17</v>
      </c>
      <c r="AK403" s="4">
        <f t="shared" si="30"/>
        <v>3</v>
      </c>
      <c r="AL403" s="4">
        <f t="shared" si="31"/>
        <v>51</v>
      </c>
      <c r="AM403" s="4">
        <f t="shared" si="32"/>
        <v>0</v>
      </c>
      <c r="AN403" s="4">
        <f t="shared" si="33"/>
        <v>0</v>
      </c>
      <c r="AO403" s="4">
        <f t="shared" si="34"/>
        <v>17</v>
      </c>
    </row>
    <row r="404" spans="1:41" x14ac:dyDescent="0.2">
      <c r="A404" s="4" t="s">
        <v>1654</v>
      </c>
      <c r="B404" s="4" t="s">
        <v>1655</v>
      </c>
      <c r="C404" s="4" t="s">
        <v>129</v>
      </c>
      <c r="D404" s="4" t="s">
        <v>315</v>
      </c>
      <c r="M404" s="4">
        <v>2</v>
      </c>
      <c r="N404" s="4">
        <v>36</v>
      </c>
      <c r="AK404" s="4">
        <f t="shared" si="30"/>
        <v>2</v>
      </c>
      <c r="AL404" s="4">
        <f t="shared" si="31"/>
        <v>36</v>
      </c>
      <c r="AM404" s="4">
        <f t="shared" si="32"/>
        <v>0</v>
      </c>
      <c r="AN404" s="4">
        <f t="shared" si="33"/>
        <v>0</v>
      </c>
      <c r="AO404" s="4">
        <f t="shared" si="34"/>
        <v>36</v>
      </c>
    </row>
    <row r="405" spans="1:41" x14ac:dyDescent="0.2">
      <c r="A405" s="4" t="s">
        <v>951</v>
      </c>
      <c r="B405" s="4" t="s">
        <v>952</v>
      </c>
      <c r="C405" s="4" t="s">
        <v>129</v>
      </c>
      <c r="D405" s="4" t="s">
        <v>315</v>
      </c>
      <c r="G405" s="4">
        <v>1</v>
      </c>
      <c r="H405" s="4">
        <v>15</v>
      </c>
      <c r="Y405" s="4">
        <v>1</v>
      </c>
      <c r="Z405" s="4">
        <v>15</v>
      </c>
      <c r="AK405" s="4">
        <f t="shared" si="30"/>
        <v>1</v>
      </c>
      <c r="AL405" s="4">
        <f t="shared" si="31"/>
        <v>15</v>
      </c>
      <c r="AM405" s="4">
        <f t="shared" si="32"/>
        <v>1</v>
      </c>
      <c r="AN405" s="4">
        <f t="shared" si="33"/>
        <v>15</v>
      </c>
      <c r="AO405" s="4">
        <f t="shared" si="34"/>
        <v>15</v>
      </c>
    </row>
    <row r="406" spans="1:41" x14ac:dyDescent="0.2">
      <c r="A406" s="4" t="s">
        <v>1656</v>
      </c>
      <c r="B406" s="4" t="s">
        <v>1063</v>
      </c>
      <c r="C406" s="4" t="s">
        <v>129</v>
      </c>
      <c r="D406" s="4" t="s">
        <v>315</v>
      </c>
      <c r="Y406" s="4">
        <v>2</v>
      </c>
      <c r="Z406" s="4">
        <v>24</v>
      </c>
      <c r="AA406" s="4">
        <v>4</v>
      </c>
      <c r="AB406" s="4">
        <v>48</v>
      </c>
      <c r="AK406" s="4">
        <f t="shared" si="30"/>
        <v>6</v>
      </c>
      <c r="AL406" s="4">
        <f t="shared" si="31"/>
        <v>72</v>
      </c>
      <c r="AM406" s="4">
        <f t="shared" si="32"/>
        <v>0</v>
      </c>
      <c r="AN406" s="4">
        <f t="shared" si="33"/>
        <v>0</v>
      </c>
      <c r="AO406" s="4">
        <f t="shared" si="34"/>
        <v>36</v>
      </c>
    </row>
    <row r="407" spans="1:41" x14ac:dyDescent="0.2">
      <c r="A407" s="4" t="s">
        <v>595</v>
      </c>
      <c r="B407" s="4" t="s">
        <v>596</v>
      </c>
      <c r="C407" s="4" t="s">
        <v>129</v>
      </c>
      <c r="D407" s="4" t="s">
        <v>315</v>
      </c>
      <c r="O407" s="4">
        <v>1</v>
      </c>
      <c r="P407" s="4">
        <v>10</v>
      </c>
      <c r="AG407" s="4">
        <v>1</v>
      </c>
      <c r="AH407" s="4">
        <v>10</v>
      </c>
      <c r="AK407" s="4">
        <f t="shared" si="30"/>
        <v>1</v>
      </c>
      <c r="AL407" s="4">
        <f t="shared" si="31"/>
        <v>10</v>
      </c>
      <c r="AM407" s="4">
        <f t="shared" si="32"/>
        <v>1</v>
      </c>
      <c r="AN407" s="4">
        <f t="shared" si="33"/>
        <v>10</v>
      </c>
      <c r="AO407" s="4">
        <f t="shared" si="34"/>
        <v>10</v>
      </c>
    </row>
    <row r="408" spans="1:41" x14ac:dyDescent="0.2">
      <c r="A408" s="4" t="s">
        <v>1657</v>
      </c>
      <c r="B408" s="4" t="s">
        <v>1658</v>
      </c>
      <c r="C408" s="4" t="s">
        <v>129</v>
      </c>
      <c r="D408" s="4" t="s">
        <v>315</v>
      </c>
      <c r="I408" s="4">
        <v>2</v>
      </c>
      <c r="J408" s="4">
        <v>28</v>
      </c>
      <c r="AK408" s="4">
        <f t="shared" si="30"/>
        <v>2</v>
      </c>
      <c r="AL408" s="4">
        <f t="shared" si="31"/>
        <v>28</v>
      </c>
      <c r="AM408" s="4">
        <f t="shared" si="32"/>
        <v>0</v>
      </c>
      <c r="AN408" s="4">
        <f t="shared" si="33"/>
        <v>0</v>
      </c>
      <c r="AO408" s="4">
        <f t="shared" si="34"/>
        <v>28</v>
      </c>
    </row>
    <row r="409" spans="1:41" x14ac:dyDescent="0.2">
      <c r="A409" s="4" t="s">
        <v>1659</v>
      </c>
      <c r="B409" s="4" t="s">
        <v>1660</v>
      </c>
      <c r="C409" s="4" t="s">
        <v>129</v>
      </c>
      <c r="D409" s="4" t="s">
        <v>315</v>
      </c>
      <c r="Y409" s="4">
        <v>1</v>
      </c>
      <c r="Z409" s="4">
        <v>15</v>
      </c>
      <c r="AA409" s="4">
        <v>1</v>
      </c>
      <c r="AB409" s="4">
        <v>15</v>
      </c>
      <c r="AK409" s="4">
        <f t="shared" si="30"/>
        <v>2</v>
      </c>
      <c r="AL409" s="4">
        <f t="shared" si="31"/>
        <v>30</v>
      </c>
      <c r="AM409" s="4">
        <f t="shared" si="32"/>
        <v>0</v>
      </c>
      <c r="AN409" s="4">
        <f t="shared" si="33"/>
        <v>0</v>
      </c>
      <c r="AO409" s="4">
        <f t="shared" si="34"/>
        <v>15</v>
      </c>
    </row>
    <row r="410" spans="1:41" x14ac:dyDescent="0.2">
      <c r="A410" s="4" t="s">
        <v>1661</v>
      </c>
      <c r="B410" s="4" t="s">
        <v>1662</v>
      </c>
      <c r="C410" s="4" t="s">
        <v>129</v>
      </c>
      <c r="D410" s="4" t="s">
        <v>315</v>
      </c>
      <c r="Y410" s="4">
        <v>2</v>
      </c>
      <c r="Z410" s="4">
        <v>28</v>
      </c>
      <c r="AK410" s="4">
        <f t="shared" si="30"/>
        <v>2</v>
      </c>
      <c r="AL410" s="4">
        <f t="shared" si="31"/>
        <v>28</v>
      </c>
      <c r="AM410" s="4">
        <f t="shared" si="32"/>
        <v>0</v>
      </c>
      <c r="AN410" s="4">
        <f t="shared" si="33"/>
        <v>0</v>
      </c>
      <c r="AO410" s="4">
        <f t="shared" si="34"/>
        <v>28</v>
      </c>
    </row>
    <row r="411" spans="1:41" x14ac:dyDescent="0.2">
      <c r="A411" s="4" t="s">
        <v>1663</v>
      </c>
      <c r="B411" s="4" t="s">
        <v>1664</v>
      </c>
      <c r="C411" s="4" t="s">
        <v>129</v>
      </c>
      <c r="D411" s="4" t="s">
        <v>315</v>
      </c>
      <c r="AA411" s="4">
        <v>2</v>
      </c>
      <c r="AB411" s="4">
        <v>30</v>
      </c>
      <c r="AK411" s="4">
        <f t="shared" si="30"/>
        <v>2</v>
      </c>
      <c r="AL411" s="4">
        <f t="shared" si="31"/>
        <v>30</v>
      </c>
      <c r="AM411" s="4">
        <f t="shared" si="32"/>
        <v>0</v>
      </c>
      <c r="AN411" s="4">
        <f t="shared" si="33"/>
        <v>0</v>
      </c>
      <c r="AO411" s="4">
        <f t="shared" si="34"/>
        <v>30</v>
      </c>
    </row>
    <row r="412" spans="1:41" x14ac:dyDescent="0.2">
      <c r="A412" s="4" t="s">
        <v>1665</v>
      </c>
      <c r="B412" s="4" t="s">
        <v>1666</v>
      </c>
      <c r="C412" s="4" t="s">
        <v>129</v>
      </c>
      <c r="D412" s="4" t="s">
        <v>315</v>
      </c>
      <c r="W412" s="4">
        <v>1</v>
      </c>
      <c r="X412" s="4">
        <v>21</v>
      </c>
      <c r="Y412" s="4">
        <v>1</v>
      </c>
      <c r="Z412" s="4">
        <v>21</v>
      </c>
      <c r="AK412" s="4">
        <f t="shared" si="30"/>
        <v>2</v>
      </c>
      <c r="AL412" s="4">
        <f t="shared" si="31"/>
        <v>42</v>
      </c>
      <c r="AM412" s="4">
        <f t="shared" si="32"/>
        <v>0</v>
      </c>
      <c r="AN412" s="4">
        <f t="shared" si="33"/>
        <v>0</v>
      </c>
      <c r="AO412" s="4">
        <f t="shared" si="34"/>
        <v>21</v>
      </c>
    </row>
    <row r="413" spans="1:41" x14ac:dyDescent="0.2">
      <c r="A413" s="4" t="s">
        <v>1667</v>
      </c>
      <c r="B413" s="4" t="s">
        <v>1668</v>
      </c>
      <c r="C413" s="4" t="s">
        <v>129</v>
      </c>
      <c r="D413" s="4" t="s">
        <v>315</v>
      </c>
      <c r="I413" s="4">
        <v>1</v>
      </c>
      <c r="J413" s="4">
        <v>9.8000000000000007</v>
      </c>
      <c r="W413" s="4">
        <v>3</v>
      </c>
      <c r="X413" s="4">
        <v>42</v>
      </c>
      <c r="AK413" s="4">
        <f t="shared" si="30"/>
        <v>4</v>
      </c>
      <c r="AL413" s="4">
        <f t="shared" si="31"/>
        <v>51.8</v>
      </c>
      <c r="AM413" s="4">
        <f t="shared" si="32"/>
        <v>0</v>
      </c>
      <c r="AN413" s="4">
        <f t="shared" si="33"/>
        <v>0</v>
      </c>
      <c r="AO413" s="4">
        <f t="shared" si="34"/>
        <v>25.9</v>
      </c>
    </row>
    <row r="414" spans="1:41" x14ac:dyDescent="0.2">
      <c r="A414" s="4" t="s">
        <v>1669</v>
      </c>
      <c r="B414" s="4" t="s">
        <v>1670</v>
      </c>
      <c r="C414" s="4" t="s">
        <v>129</v>
      </c>
      <c r="D414" s="4" t="s">
        <v>315</v>
      </c>
      <c r="Y414" s="4">
        <v>1</v>
      </c>
      <c r="Z414" s="4">
        <v>14</v>
      </c>
      <c r="AA414" s="4">
        <v>1</v>
      </c>
      <c r="AB414" s="4">
        <v>14</v>
      </c>
      <c r="AK414" s="4">
        <f t="shared" si="30"/>
        <v>2</v>
      </c>
      <c r="AL414" s="4">
        <f t="shared" si="31"/>
        <v>28</v>
      </c>
      <c r="AM414" s="4">
        <f t="shared" si="32"/>
        <v>0</v>
      </c>
      <c r="AN414" s="4">
        <f t="shared" si="33"/>
        <v>0</v>
      </c>
      <c r="AO414" s="4">
        <f t="shared" si="34"/>
        <v>14</v>
      </c>
    </row>
    <row r="415" spans="1:41" x14ac:dyDescent="0.2">
      <c r="A415" s="4" t="s">
        <v>1671</v>
      </c>
      <c r="B415" s="4" t="s">
        <v>1672</v>
      </c>
      <c r="C415" s="4" t="s">
        <v>129</v>
      </c>
      <c r="D415" s="4" t="s">
        <v>315</v>
      </c>
      <c r="Y415" s="4">
        <v>1</v>
      </c>
      <c r="Z415" s="4">
        <v>15</v>
      </c>
      <c r="AK415" s="4">
        <f t="shared" si="30"/>
        <v>1</v>
      </c>
      <c r="AL415" s="4">
        <f t="shared" si="31"/>
        <v>15</v>
      </c>
      <c r="AM415" s="4">
        <f t="shared" si="32"/>
        <v>0</v>
      </c>
      <c r="AN415" s="4">
        <f t="shared" si="33"/>
        <v>0</v>
      </c>
      <c r="AO415" s="4">
        <f t="shared" si="34"/>
        <v>15</v>
      </c>
    </row>
    <row r="416" spans="1:41" x14ac:dyDescent="0.2">
      <c r="A416" s="4" t="s">
        <v>1673</v>
      </c>
      <c r="B416" s="4" t="s">
        <v>1674</v>
      </c>
      <c r="C416" s="4" t="s">
        <v>129</v>
      </c>
      <c r="D416" s="4" t="s">
        <v>315</v>
      </c>
      <c r="I416" s="4">
        <v>1</v>
      </c>
      <c r="J416" s="4">
        <v>16</v>
      </c>
      <c r="M416" s="4">
        <v>1</v>
      </c>
      <c r="N416" s="4">
        <v>16</v>
      </c>
      <c r="AK416" s="4">
        <f t="shared" si="30"/>
        <v>2</v>
      </c>
      <c r="AL416" s="4">
        <f t="shared" si="31"/>
        <v>32</v>
      </c>
      <c r="AM416" s="4">
        <f t="shared" si="32"/>
        <v>0</v>
      </c>
      <c r="AN416" s="4">
        <f t="shared" si="33"/>
        <v>0</v>
      </c>
      <c r="AO416" s="4">
        <f t="shared" si="34"/>
        <v>16</v>
      </c>
    </row>
    <row r="417" spans="1:41" x14ac:dyDescent="0.2">
      <c r="A417" s="4" t="s">
        <v>1675</v>
      </c>
      <c r="B417" s="4" t="s">
        <v>1676</v>
      </c>
      <c r="C417" s="4" t="s">
        <v>129</v>
      </c>
      <c r="D417" s="4" t="s">
        <v>315</v>
      </c>
      <c r="M417" s="4">
        <v>1</v>
      </c>
      <c r="N417" s="4">
        <v>17</v>
      </c>
      <c r="Q417" s="4">
        <v>3</v>
      </c>
      <c r="R417" s="4">
        <v>51</v>
      </c>
      <c r="AK417" s="4">
        <f t="shared" si="30"/>
        <v>4</v>
      </c>
      <c r="AL417" s="4">
        <f t="shared" si="31"/>
        <v>68</v>
      </c>
      <c r="AM417" s="4">
        <f t="shared" si="32"/>
        <v>0</v>
      </c>
      <c r="AN417" s="4">
        <f t="shared" si="33"/>
        <v>0</v>
      </c>
      <c r="AO417" s="4">
        <f t="shared" si="34"/>
        <v>34</v>
      </c>
    </row>
    <row r="418" spans="1:41" x14ac:dyDescent="0.2">
      <c r="A418" s="4" t="s">
        <v>1677</v>
      </c>
      <c r="B418" s="4" t="s">
        <v>1678</v>
      </c>
      <c r="C418" s="4" t="s">
        <v>129</v>
      </c>
      <c r="D418" s="4" t="s">
        <v>315</v>
      </c>
      <c r="I418" s="4">
        <v>1</v>
      </c>
      <c r="J418" s="4">
        <v>12</v>
      </c>
      <c r="AK418" s="4">
        <f t="shared" si="30"/>
        <v>1</v>
      </c>
      <c r="AL418" s="4">
        <f t="shared" si="31"/>
        <v>12</v>
      </c>
      <c r="AM418" s="4">
        <f t="shared" si="32"/>
        <v>0</v>
      </c>
      <c r="AN418" s="4">
        <f t="shared" si="33"/>
        <v>0</v>
      </c>
      <c r="AO418" s="4">
        <f t="shared" si="34"/>
        <v>12</v>
      </c>
    </row>
    <row r="419" spans="1:41" x14ac:dyDescent="0.2">
      <c r="A419" s="4" t="s">
        <v>1679</v>
      </c>
      <c r="B419" s="4" t="s">
        <v>1680</v>
      </c>
      <c r="C419" s="4" t="s">
        <v>129</v>
      </c>
      <c r="D419" s="4" t="s">
        <v>315</v>
      </c>
      <c r="W419" s="4">
        <v>1</v>
      </c>
      <c r="X419" s="4">
        <v>14</v>
      </c>
      <c r="AK419" s="4">
        <f t="shared" si="30"/>
        <v>1</v>
      </c>
      <c r="AL419" s="4">
        <f t="shared" si="31"/>
        <v>14</v>
      </c>
      <c r="AM419" s="4">
        <f t="shared" si="32"/>
        <v>0</v>
      </c>
      <c r="AN419" s="4">
        <f t="shared" si="33"/>
        <v>0</v>
      </c>
      <c r="AO419" s="4">
        <f t="shared" si="34"/>
        <v>14</v>
      </c>
    </row>
    <row r="420" spans="1:41" x14ac:dyDescent="0.2">
      <c r="A420" s="4" t="s">
        <v>953</v>
      </c>
      <c r="B420" s="4" t="s">
        <v>954</v>
      </c>
      <c r="C420" s="4" t="s">
        <v>129</v>
      </c>
      <c r="D420" s="4" t="s">
        <v>315</v>
      </c>
      <c r="K420" s="4">
        <v>2</v>
      </c>
      <c r="L420" s="4">
        <v>34</v>
      </c>
      <c r="AA420" s="4">
        <v>1</v>
      </c>
      <c r="AB420" s="4">
        <v>17</v>
      </c>
      <c r="AE420" s="4">
        <v>1</v>
      </c>
      <c r="AF420" s="4">
        <v>17</v>
      </c>
      <c r="AG420" s="4">
        <v>1</v>
      </c>
      <c r="AH420" s="4">
        <v>17</v>
      </c>
      <c r="AK420" s="4">
        <f t="shared" si="30"/>
        <v>3</v>
      </c>
      <c r="AL420" s="4">
        <f t="shared" si="31"/>
        <v>51</v>
      </c>
      <c r="AM420" s="4">
        <f t="shared" si="32"/>
        <v>2</v>
      </c>
      <c r="AN420" s="4">
        <f t="shared" si="33"/>
        <v>34</v>
      </c>
      <c r="AO420" s="4">
        <f t="shared" si="34"/>
        <v>21.25</v>
      </c>
    </row>
    <row r="421" spans="1:41" x14ac:dyDescent="0.2">
      <c r="A421" s="4" t="s">
        <v>624</v>
      </c>
      <c r="B421" s="4" t="s">
        <v>625</v>
      </c>
      <c r="C421" s="4" t="s">
        <v>129</v>
      </c>
      <c r="D421" s="4" t="s">
        <v>38</v>
      </c>
      <c r="G421" s="4">
        <v>2</v>
      </c>
      <c r="H421" s="4">
        <v>20</v>
      </c>
      <c r="K421" s="4">
        <v>1</v>
      </c>
      <c r="L421" s="4">
        <v>10</v>
      </c>
      <c r="O421" s="4">
        <v>1</v>
      </c>
      <c r="P421" s="4">
        <v>10</v>
      </c>
      <c r="Y421" s="4">
        <v>6</v>
      </c>
      <c r="Z421" s="4">
        <v>60</v>
      </c>
      <c r="AA421" s="4">
        <v>4</v>
      </c>
      <c r="AB421" s="4">
        <v>40</v>
      </c>
      <c r="AC421" s="4">
        <v>3</v>
      </c>
      <c r="AD421" s="4">
        <v>30</v>
      </c>
      <c r="AE421" s="4">
        <v>2</v>
      </c>
      <c r="AF421" s="4">
        <v>20</v>
      </c>
      <c r="AG421" s="4">
        <v>3</v>
      </c>
      <c r="AH421" s="4">
        <v>30</v>
      </c>
      <c r="AI421" s="4">
        <v>1</v>
      </c>
      <c r="AJ421" s="4">
        <v>10</v>
      </c>
      <c r="AK421" s="4">
        <f t="shared" si="30"/>
        <v>19</v>
      </c>
      <c r="AL421" s="4">
        <f t="shared" si="31"/>
        <v>190</v>
      </c>
      <c r="AM421" s="4">
        <f t="shared" si="32"/>
        <v>4</v>
      </c>
      <c r="AN421" s="4">
        <f t="shared" si="33"/>
        <v>40</v>
      </c>
      <c r="AO421" s="4">
        <f t="shared" si="34"/>
        <v>25.555555555555557</v>
      </c>
    </row>
    <row r="422" spans="1:41" x14ac:dyDescent="0.2">
      <c r="A422" s="4" t="s">
        <v>955</v>
      </c>
      <c r="B422" s="4" t="s">
        <v>956</v>
      </c>
      <c r="C422" s="4" t="s">
        <v>129</v>
      </c>
      <c r="D422" s="4" t="s">
        <v>38</v>
      </c>
      <c r="G422" s="4">
        <v>2</v>
      </c>
      <c r="H422" s="4">
        <v>20</v>
      </c>
      <c r="W422" s="4">
        <v>1</v>
      </c>
      <c r="X422" s="4">
        <v>10</v>
      </c>
      <c r="Y422" s="4">
        <v>10</v>
      </c>
      <c r="Z422" s="4">
        <v>100</v>
      </c>
      <c r="AA422" s="4">
        <v>6</v>
      </c>
      <c r="AB422" s="4">
        <v>60</v>
      </c>
      <c r="AC422" s="4">
        <v>2</v>
      </c>
      <c r="AD422" s="4">
        <v>20</v>
      </c>
      <c r="AG422" s="4">
        <v>1</v>
      </c>
      <c r="AH422" s="4">
        <v>10</v>
      </c>
      <c r="AI422" s="4">
        <v>1</v>
      </c>
      <c r="AJ422" s="4">
        <v>10</v>
      </c>
      <c r="AK422" s="4">
        <f t="shared" si="30"/>
        <v>21</v>
      </c>
      <c r="AL422" s="4">
        <f t="shared" si="31"/>
        <v>210</v>
      </c>
      <c r="AM422" s="4">
        <f t="shared" si="32"/>
        <v>2</v>
      </c>
      <c r="AN422" s="4">
        <f t="shared" si="33"/>
        <v>20</v>
      </c>
      <c r="AO422" s="4">
        <f t="shared" si="34"/>
        <v>32.857142857142854</v>
      </c>
    </row>
    <row r="423" spans="1:41" x14ac:dyDescent="0.2">
      <c r="A423" s="4" t="s">
        <v>870</v>
      </c>
      <c r="B423" s="4" t="s">
        <v>871</v>
      </c>
      <c r="C423" s="4" t="s">
        <v>129</v>
      </c>
      <c r="D423" s="4" t="s">
        <v>709</v>
      </c>
      <c r="AE423" s="4">
        <v>2</v>
      </c>
      <c r="AF423" s="4">
        <v>54</v>
      </c>
      <c r="AG423" s="4">
        <v>2</v>
      </c>
      <c r="AH423" s="4">
        <v>54</v>
      </c>
      <c r="AK423" s="4">
        <f t="shared" si="30"/>
        <v>4</v>
      </c>
      <c r="AL423" s="4">
        <f t="shared" si="31"/>
        <v>108</v>
      </c>
      <c r="AM423" s="4">
        <f t="shared" si="32"/>
        <v>0</v>
      </c>
      <c r="AN423" s="4">
        <f t="shared" si="33"/>
        <v>0</v>
      </c>
      <c r="AO423" s="4">
        <f t="shared" si="34"/>
        <v>54</v>
      </c>
    </row>
    <row r="424" spans="1:41" x14ac:dyDescent="0.2">
      <c r="A424" s="4" t="s">
        <v>957</v>
      </c>
      <c r="B424" s="4" t="s">
        <v>958</v>
      </c>
      <c r="C424" s="4" t="s">
        <v>129</v>
      </c>
      <c r="D424" s="4" t="s">
        <v>709</v>
      </c>
      <c r="K424" s="4">
        <v>1</v>
      </c>
      <c r="L424" s="4">
        <v>19</v>
      </c>
      <c r="O424" s="4">
        <v>1</v>
      </c>
      <c r="P424" s="4">
        <v>19</v>
      </c>
      <c r="AE424" s="4">
        <v>1</v>
      </c>
      <c r="AF424" s="4">
        <v>19</v>
      </c>
      <c r="AI424" s="4">
        <v>1</v>
      </c>
      <c r="AJ424" s="4">
        <v>19</v>
      </c>
      <c r="AK424" s="4">
        <f t="shared" si="30"/>
        <v>2</v>
      </c>
      <c r="AL424" s="4">
        <f t="shared" si="31"/>
        <v>38</v>
      </c>
      <c r="AM424" s="4">
        <f t="shared" si="32"/>
        <v>2</v>
      </c>
      <c r="AN424" s="4">
        <f t="shared" si="33"/>
        <v>38</v>
      </c>
      <c r="AO424" s="4">
        <f t="shared" si="34"/>
        <v>19</v>
      </c>
    </row>
    <row r="425" spans="1:41" x14ac:dyDescent="0.2">
      <c r="A425" s="4" t="s">
        <v>1681</v>
      </c>
      <c r="B425" s="4" t="s">
        <v>1682</v>
      </c>
      <c r="C425" s="4" t="s">
        <v>129</v>
      </c>
      <c r="D425" s="4" t="s">
        <v>709</v>
      </c>
      <c r="AE425" s="4">
        <v>2</v>
      </c>
      <c r="AF425" s="4">
        <v>36</v>
      </c>
      <c r="AG425" s="4">
        <v>4</v>
      </c>
      <c r="AH425" s="4">
        <v>72</v>
      </c>
      <c r="AK425" s="4">
        <f t="shared" si="30"/>
        <v>6</v>
      </c>
      <c r="AL425" s="4">
        <f t="shared" si="31"/>
        <v>108</v>
      </c>
      <c r="AM425" s="4">
        <f t="shared" si="32"/>
        <v>0</v>
      </c>
      <c r="AN425" s="4">
        <f t="shared" si="33"/>
        <v>0</v>
      </c>
      <c r="AO425" s="4">
        <f t="shared" si="34"/>
        <v>54</v>
      </c>
    </row>
    <row r="426" spans="1:41" x14ac:dyDescent="0.2">
      <c r="A426" s="4" t="s">
        <v>1683</v>
      </c>
      <c r="B426" s="4" t="s">
        <v>1684</v>
      </c>
      <c r="C426" s="4" t="s">
        <v>129</v>
      </c>
      <c r="D426" s="4" t="s">
        <v>709</v>
      </c>
      <c r="AE426" s="4">
        <v>2</v>
      </c>
      <c r="AF426" s="4">
        <v>18</v>
      </c>
      <c r="AG426" s="4">
        <v>3</v>
      </c>
      <c r="AH426" s="4">
        <v>27</v>
      </c>
      <c r="AI426" s="4">
        <v>1</v>
      </c>
      <c r="AJ426" s="4">
        <v>9</v>
      </c>
      <c r="AK426" s="4">
        <f t="shared" si="30"/>
        <v>6</v>
      </c>
      <c r="AL426" s="4">
        <f t="shared" si="31"/>
        <v>54</v>
      </c>
      <c r="AM426" s="4">
        <f t="shared" si="32"/>
        <v>0</v>
      </c>
      <c r="AN426" s="4">
        <f t="shared" si="33"/>
        <v>0</v>
      </c>
      <c r="AO426" s="4">
        <f t="shared" si="34"/>
        <v>18</v>
      </c>
    </row>
    <row r="427" spans="1:41" x14ac:dyDescent="0.2">
      <c r="A427" s="4" t="s">
        <v>1685</v>
      </c>
      <c r="B427" s="4" t="s">
        <v>1686</v>
      </c>
      <c r="C427" s="4" t="s">
        <v>129</v>
      </c>
      <c r="D427" s="4" t="s">
        <v>709</v>
      </c>
      <c r="AE427" s="4">
        <v>2</v>
      </c>
      <c r="AF427" s="4">
        <v>26</v>
      </c>
      <c r="AG427" s="4">
        <v>4</v>
      </c>
      <c r="AH427" s="4">
        <v>52</v>
      </c>
      <c r="AK427" s="4">
        <f t="shared" si="30"/>
        <v>6</v>
      </c>
      <c r="AL427" s="4">
        <f t="shared" si="31"/>
        <v>78</v>
      </c>
      <c r="AM427" s="4">
        <f t="shared" si="32"/>
        <v>0</v>
      </c>
      <c r="AN427" s="4">
        <f t="shared" si="33"/>
        <v>0</v>
      </c>
      <c r="AO427" s="4">
        <f t="shared" si="34"/>
        <v>39</v>
      </c>
    </row>
    <row r="428" spans="1:41" x14ac:dyDescent="0.2">
      <c r="A428" s="4" t="s">
        <v>1687</v>
      </c>
      <c r="B428" s="4" t="s">
        <v>1688</v>
      </c>
      <c r="C428" s="4" t="s">
        <v>129</v>
      </c>
      <c r="D428" s="4" t="s">
        <v>709</v>
      </c>
      <c r="AE428" s="4">
        <v>3</v>
      </c>
      <c r="AF428" s="4">
        <v>36</v>
      </c>
      <c r="AG428" s="4">
        <v>2</v>
      </c>
      <c r="AH428" s="4">
        <v>24</v>
      </c>
      <c r="AI428" s="4">
        <v>1</v>
      </c>
      <c r="AJ428" s="4">
        <v>12</v>
      </c>
      <c r="AK428" s="4">
        <f t="shared" si="30"/>
        <v>6</v>
      </c>
      <c r="AL428" s="4">
        <f t="shared" si="31"/>
        <v>72</v>
      </c>
      <c r="AM428" s="4">
        <f t="shared" si="32"/>
        <v>0</v>
      </c>
      <c r="AN428" s="4">
        <f t="shared" si="33"/>
        <v>0</v>
      </c>
      <c r="AO428" s="4">
        <f t="shared" si="34"/>
        <v>24</v>
      </c>
    </row>
    <row r="429" spans="1:41" x14ac:dyDescent="0.2">
      <c r="A429" s="4" t="s">
        <v>1689</v>
      </c>
      <c r="B429" s="4" t="s">
        <v>1690</v>
      </c>
      <c r="C429" s="4" t="s">
        <v>129</v>
      </c>
      <c r="D429" s="4" t="s">
        <v>709</v>
      </c>
      <c r="AE429" s="4">
        <v>3</v>
      </c>
      <c r="AF429" s="4">
        <v>27</v>
      </c>
      <c r="AG429" s="4">
        <v>2</v>
      </c>
      <c r="AH429" s="4">
        <v>18</v>
      </c>
      <c r="AI429" s="4">
        <v>1</v>
      </c>
      <c r="AJ429" s="4">
        <v>9</v>
      </c>
      <c r="AK429" s="4">
        <f t="shared" si="30"/>
        <v>6</v>
      </c>
      <c r="AL429" s="4">
        <f t="shared" si="31"/>
        <v>54</v>
      </c>
      <c r="AM429" s="4">
        <f t="shared" si="32"/>
        <v>0</v>
      </c>
      <c r="AN429" s="4">
        <f t="shared" si="33"/>
        <v>0</v>
      </c>
      <c r="AO429" s="4">
        <f t="shared" si="34"/>
        <v>18</v>
      </c>
    </row>
    <row r="430" spans="1:41" x14ac:dyDescent="0.2">
      <c r="A430" s="4" t="s">
        <v>959</v>
      </c>
      <c r="B430" s="4" t="s">
        <v>960</v>
      </c>
      <c r="C430" s="4" t="s">
        <v>129</v>
      </c>
      <c r="D430" s="4" t="s">
        <v>709</v>
      </c>
      <c r="G430" s="4">
        <v>3</v>
      </c>
      <c r="H430" s="4">
        <v>51</v>
      </c>
      <c r="O430" s="4">
        <v>1</v>
      </c>
      <c r="P430" s="4">
        <v>17</v>
      </c>
      <c r="S430" s="4">
        <v>1</v>
      </c>
      <c r="T430" s="4">
        <v>17</v>
      </c>
      <c r="AG430" s="4">
        <v>1</v>
      </c>
      <c r="AH430" s="4">
        <v>17</v>
      </c>
      <c r="AK430" s="4">
        <f t="shared" si="30"/>
        <v>1</v>
      </c>
      <c r="AL430" s="4">
        <f t="shared" si="31"/>
        <v>17</v>
      </c>
      <c r="AM430" s="4">
        <f t="shared" si="32"/>
        <v>5</v>
      </c>
      <c r="AN430" s="4">
        <f t="shared" si="33"/>
        <v>85</v>
      </c>
      <c r="AO430" s="4">
        <f t="shared" si="34"/>
        <v>25.5</v>
      </c>
    </row>
    <row r="431" spans="1:41" x14ac:dyDescent="0.2">
      <c r="A431" s="4" t="s">
        <v>961</v>
      </c>
      <c r="B431" s="4" t="s">
        <v>962</v>
      </c>
      <c r="C431" s="4" t="s">
        <v>129</v>
      </c>
      <c r="D431" s="4" t="s">
        <v>709</v>
      </c>
      <c r="G431" s="4">
        <v>2</v>
      </c>
      <c r="H431" s="4">
        <v>28</v>
      </c>
      <c r="AG431" s="4">
        <v>1</v>
      </c>
      <c r="AH431" s="4">
        <v>14</v>
      </c>
      <c r="AI431" s="4">
        <v>1</v>
      </c>
      <c r="AJ431" s="4">
        <v>14</v>
      </c>
      <c r="AK431" s="4">
        <f t="shared" si="30"/>
        <v>2</v>
      </c>
      <c r="AL431" s="4">
        <f t="shared" si="31"/>
        <v>28</v>
      </c>
      <c r="AM431" s="4">
        <f t="shared" si="32"/>
        <v>2</v>
      </c>
      <c r="AN431" s="4">
        <f t="shared" si="33"/>
        <v>28</v>
      </c>
      <c r="AO431" s="4">
        <f t="shared" si="34"/>
        <v>18.666666666666668</v>
      </c>
    </row>
    <row r="432" spans="1:41" x14ac:dyDescent="0.2">
      <c r="A432" s="4" t="s">
        <v>1691</v>
      </c>
      <c r="B432" s="4" t="s">
        <v>1692</v>
      </c>
      <c r="C432" s="4" t="s">
        <v>129</v>
      </c>
      <c r="D432" s="4" t="s">
        <v>709</v>
      </c>
      <c r="AE432" s="4">
        <v>2</v>
      </c>
      <c r="AF432" s="4">
        <v>36</v>
      </c>
      <c r="AG432" s="4">
        <v>4</v>
      </c>
      <c r="AH432" s="4">
        <v>72</v>
      </c>
      <c r="AK432" s="4">
        <f t="shared" si="30"/>
        <v>6</v>
      </c>
      <c r="AL432" s="4">
        <f t="shared" si="31"/>
        <v>108</v>
      </c>
      <c r="AM432" s="4">
        <f t="shared" si="32"/>
        <v>0</v>
      </c>
      <c r="AN432" s="4">
        <f t="shared" si="33"/>
        <v>0</v>
      </c>
      <c r="AO432" s="4">
        <f t="shared" si="34"/>
        <v>54</v>
      </c>
    </row>
    <row r="433" spans="1:41" x14ac:dyDescent="0.2">
      <c r="A433" s="4" t="s">
        <v>963</v>
      </c>
      <c r="B433" s="4" t="s">
        <v>964</v>
      </c>
      <c r="C433" s="4" t="s">
        <v>129</v>
      </c>
      <c r="D433" s="4" t="s">
        <v>709</v>
      </c>
      <c r="G433" s="4">
        <v>1</v>
      </c>
      <c r="H433" s="4">
        <v>14</v>
      </c>
      <c r="AE433" s="4">
        <v>1</v>
      </c>
      <c r="AF433" s="4">
        <v>14</v>
      </c>
      <c r="AG433" s="4">
        <v>4</v>
      </c>
      <c r="AH433" s="4">
        <v>56</v>
      </c>
      <c r="AK433" s="4">
        <f t="shared" si="30"/>
        <v>5</v>
      </c>
      <c r="AL433" s="4">
        <f t="shared" si="31"/>
        <v>70</v>
      </c>
      <c r="AM433" s="4">
        <f t="shared" si="32"/>
        <v>1</v>
      </c>
      <c r="AN433" s="4">
        <f t="shared" si="33"/>
        <v>14</v>
      </c>
      <c r="AO433" s="4">
        <f t="shared" si="34"/>
        <v>28</v>
      </c>
    </row>
    <row r="434" spans="1:41" x14ac:dyDescent="0.2">
      <c r="A434" s="4" t="s">
        <v>1693</v>
      </c>
      <c r="B434" s="4" t="s">
        <v>1694</v>
      </c>
      <c r="C434" s="4" t="s">
        <v>129</v>
      </c>
      <c r="D434" s="4" t="s">
        <v>709</v>
      </c>
      <c r="AE434" s="4">
        <v>1</v>
      </c>
      <c r="AF434" s="4">
        <v>13</v>
      </c>
      <c r="AG434" s="4">
        <v>2</v>
      </c>
      <c r="AH434" s="4">
        <v>26</v>
      </c>
      <c r="AI434" s="4">
        <v>3</v>
      </c>
      <c r="AJ434" s="4">
        <v>39</v>
      </c>
      <c r="AK434" s="4">
        <f t="shared" si="30"/>
        <v>6</v>
      </c>
      <c r="AL434" s="4">
        <f t="shared" si="31"/>
        <v>78</v>
      </c>
      <c r="AM434" s="4">
        <f t="shared" si="32"/>
        <v>0</v>
      </c>
      <c r="AN434" s="4">
        <f t="shared" si="33"/>
        <v>0</v>
      </c>
      <c r="AO434" s="4">
        <f t="shared" si="34"/>
        <v>26</v>
      </c>
    </row>
    <row r="435" spans="1:41" x14ac:dyDescent="0.2">
      <c r="A435" s="4" t="s">
        <v>965</v>
      </c>
      <c r="B435" s="4" t="s">
        <v>966</v>
      </c>
      <c r="C435" s="4" t="s">
        <v>129</v>
      </c>
      <c r="D435" s="4" t="s">
        <v>709</v>
      </c>
      <c r="G435" s="4">
        <v>1</v>
      </c>
      <c r="H435" s="4">
        <v>19</v>
      </c>
      <c r="AG435" s="4">
        <v>2</v>
      </c>
      <c r="AH435" s="4">
        <v>38</v>
      </c>
      <c r="AI435" s="4">
        <v>3</v>
      </c>
      <c r="AJ435" s="4">
        <v>57</v>
      </c>
      <c r="AK435" s="4">
        <f t="shared" si="30"/>
        <v>5</v>
      </c>
      <c r="AL435" s="4">
        <f t="shared" si="31"/>
        <v>95</v>
      </c>
      <c r="AM435" s="4">
        <f t="shared" si="32"/>
        <v>1</v>
      </c>
      <c r="AN435" s="4">
        <f t="shared" si="33"/>
        <v>19</v>
      </c>
      <c r="AO435" s="4">
        <f t="shared" si="34"/>
        <v>38</v>
      </c>
    </row>
    <row r="436" spans="1:41" x14ac:dyDescent="0.2">
      <c r="A436" s="4" t="s">
        <v>967</v>
      </c>
      <c r="B436" s="4" t="s">
        <v>968</v>
      </c>
      <c r="C436" s="4" t="s">
        <v>129</v>
      </c>
      <c r="D436" s="4" t="s">
        <v>709</v>
      </c>
      <c r="G436" s="4">
        <v>2</v>
      </c>
      <c r="H436" s="4">
        <v>44</v>
      </c>
      <c r="AG436" s="4">
        <v>1</v>
      </c>
      <c r="AH436" s="4">
        <v>22</v>
      </c>
      <c r="AI436" s="4">
        <v>3</v>
      </c>
      <c r="AJ436" s="4">
        <v>66</v>
      </c>
      <c r="AK436" s="4">
        <f t="shared" si="30"/>
        <v>4</v>
      </c>
      <c r="AL436" s="4">
        <f t="shared" si="31"/>
        <v>88</v>
      </c>
      <c r="AM436" s="4">
        <f t="shared" si="32"/>
        <v>2</v>
      </c>
      <c r="AN436" s="4">
        <f t="shared" si="33"/>
        <v>44</v>
      </c>
      <c r="AO436" s="4">
        <f t="shared" si="34"/>
        <v>44</v>
      </c>
    </row>
    <row r="437" spans="1:41" x14ac:dyDescent="0.2">
      <c r="A437" s="4" t="s">
        <v>1695</v>
      </c>
      <c r="B437" s="4" t="s">
        <v>1696</v>
      </c>
      <c r="C437" s="4" t="s">
        <v>129</v>
      </c>
      <c r="D437" s="4" t="s">
        <v>709</v>
      </c>
      <c r="AE437" s="4">
        <v>1</v>
      </c>
      <c r="AF437" s="4">
        <v>12</v>
      </c>
      <c r="AG437" s="4">
        <v>2</v>
      </c>
      <c r="AH437" s="4">
        <v>24</v>
      </c>
      <c r="AI437" s="4">
        <v>3</v>
      </c>
      <c r="AJ437" s="4">
        <v>36</v>
      </c>
      <c r="AK437" s="4">
        <f t="shared" si="30"/>
        <v>6</v>
      </c>
      <c r="AL437" s="4">
        <f t="shared" si="31"/>
        <v>72</v>
      </c>
      <c r="AM437" s="4">
        <f t="shared" si="32"/>
        <v>0</v>
      </c>
      <c r="AN437" s="4">
        <f t="shared" si="33"/>
        <v>0</v>
      </c>
      <c r="AO437" s="4">
        <f t="shared" si="34"/>
        <v>24</v>
      </c>
    </row>
    <row r="438" spans="1:41" x14ac:dyDescent="0.2">
      <c r="A438" s="4" t="s">
        <v>707</v>
      </c>
      <c r="B438" s="4" t="s">
        <v>708</v>
      </c>
      <c r="C438" s="4" t="s">
        <v>129</v>
      </c>
      <c r="D438" s="4" t="s">
        <v>709</v>
      </c>
      <c r="E438" s="4">
        <v>1</v>
      </c>
      <c r="F438" s="4">
        <v>16</v>
      </c>
      <c r="G438" s="4">
        <v>2</v>
      </c>
      <c r="H438" s="4">
        <v>32</v>
      </c>
      <c r="AI438" s="4">
        <v>2</v>
      </c>
      <c r="AJ438" s="4">
        <v>32</v>
      </c>
      <c r="AK438" s="4">
        <f t="shared" si="30"/>
        <v>3</v>
      </c>
      <c r="AL438" s="4">
        <f t="shared" si="31"/>
        <v>48</v>
      </c>
      <c r="AM438" s="4">
        <f t="shared" si="32"/>
        <v>2</v>
      </c>
      <c r="AN438" s="4">
        <f t="shared" si="33"/>
        <v>32</v>
      </c>
      <c r="AO438" s="4">
        <f t="shared" si="34"/>
        <v>26.666666666666668</v>
      </c>
    </row>
    <row r="439" spans="1:41" x14ac:dyDescent="0.2">
      <c r="A439" s="4" t="s">
        <v>969</v>
      </c>
      <c r="B439" s="4" t="s">
        <v>970</v>
      </c>
      <c r="C439" s="4" t="s">
        <v>129</v>
      </c>
      <c r="D439" s="4" t="s">
        <v>709</v>
      </c>
      <c r="S439" s="4">
        <v>1</v>
      </c>
      <c r="T439" s="4">
        <v>20</v>
      </c>
      <c r="AG439" s="4">
        <v>4</v>
      </c>
      <c r="AH439" s="4">
        <v>80</v>
      </c>
      <c r="AI439" s="4">
        <v>1</v>
      </c>
      <c r="AJ439" s="4">
        <v>20</v>
      </c>
      <c r="AK439" s="4">
        <f t="shared" si="30"/>
        <v>5</v>
      </c>
      <c r="AL439" s="4">
        <f t="shared" si="31"/>
        <v>100</v>
      </c>
      <c r="AM439" s="4">
        <f t="shared" si="32"/>
        <v>1</v>
      </c>
      <c r="AN439" s="4">
        <f t="shared" si="33"/>
        <v>20</v>
      </c>
      <c r="AO439" s="4">
        <f t="shared" si="34"/>
        <v>40</v>
      </c>
    </row>
    <row r="440" spans="1:41" x14ac:dyDescent="0.2">
      <c r="A440" s="4" t="s">
        <v>971</v>
      </c>
      <c r="B440" s="4" t="s">
        <v>972</v>
      </c>
      <c r="C440" s="4" t="s">
        <v>129</v>
      </c>
      <c r="D440" s="4" t="s">
        <v>709</v>
      </c>
      <c r="G440" s="4">
        <v>1</v>
      </c>
      <c r="H440" s="4">
        <v>13</v>
      </c>
      <c r="AE440" s="4">
        <v>1</v>
      </c>
      <c r="AF440" s="4">
        <v>13</v>
      </c>
      <c r="AI440" s="4">
        <v>4</v>
      </c>
      <c r="AJ440" s="4">
        <v>52</v>
      </c>
      <c r="AK440" s="4">
        <f t="shared" si="30"/>
        <v>5</v>
      </c>
      <c r="AL440" s="4">
        <f t="shared" si="31"/>
        <v>65</v>
      </c>
      <c r="AM440" s="4">
        <f t="shared" si="32"/>
        <v>1</v>
      </c>
      <c r="AN440" s="4">
        <f t="shared" si="33"/>
        <v>13</v>
      </c>
      <c r="AO440" s="4">
        <f t="shared" si="34"/>
        <v>26</v>
      </c>
    </row>
    <row r="441" spans="1:41" x14ac:dyDescent="0.2">
      <c r="A441" s="4" t="s">
        <v>973</v>
      </c>
      <c r="B441" s="4" t="s">
        <v>974</v>
      </c>
      <c r="C441" s="4" t="s">
        <v>129</v>
      </c>
      <c r="D441" s="4" t="s">
        <v>709</v>
      </c>
      <c r="G441" s="4">
        <v>1</v>
      </c>
      <c r="H441" s="4">
        <v>8</v>
      </c>
      <c r="AG441" s="4">
        <v>1</v>
      </c>
      <c r="AH441" s="4">
        <v>8</v>
      </c>
      <c r="AI441" s="4">
        <v>3</v>
      </c>
      <c r="AJ441" s="4">
        <v>24</v>
      </c>
      <c r="AK441" s="4">
        <f t="shared" si="30"/>
        <v>4</v>
      </c>
      <c r="AL441" s="4">
        <f t="shared" si="31"/>
        <v>32</v>
      </c>
      <c r="AM441" s="4">
        <f t="shared" si="32"/>
        <v>1</v>
      </c>
      <c r="AN441" s="4">
        <f t="shared" si="33"/>
        <v>8</v>
      </c>
      <c r="AO441" s="4">
        <f t="shared" si="34"/>
        <v>13.333333333333334</v>
      </c>
    </row>
    <row r="442" spans="1:41" x14ac:dyDescent="0.2">
      <c r="A442" s="4" t="s">
        <v>975</v>
      </c>
      <c r="B442" s="4" t="s">
        <v>976</v>
      </c>
      <c r="C442" s="4" t="s">
        <v>129</v>
      </c>
      <c r="D442" s="4" t="s">
        <v>709</v>
      </c>
      <c r="K442" s="4">
        <v>1</v>
      </c>
      <c r="L442" s="4">
        <v>15</v>
      </c>
      <c r="AG442" s="4">
        <v>2</v>
      </c>
      <c r="AH442" s="4">
        <v>30</v>
      </c>
      <c r="AI442" s="4">
        <v>3</v>
      </c>
      <c r="AJ442" s="4">
        <v>45</v>
      </c>
      <c r="AK442" s="4">
        <f t="shared" si="30"/>
        <v>5</v>
      </c>
      <c r="AL442" s="4">
        <f t="shared" si="31"/>
        <v>75</v>
      </c>
      <c r="AM442" s="4">
        <f t="shared" si="32"/>
        <v>1</v>
      </c>
      <c r="AN442" s="4">
        <f t="shared" si="33"/>
        <v>15</v>
      </c>
      <c r="AO442" s="4">
        <f t="shared" si="34"/>
        <v>30</v>
      </c>
    </row>
    <row r="443" spans="1:41" x14ac:dyDescent="0.2">
      <c r="A443" s="4" t="s">
        <v>1697</v>
      </c>
      <c r="B443" s="4" t="s">
        <v>1698</v>
      </c>
      <c r="C443" s="4" t="s">
        <v>129</v>
      </c>
      <c r="D443" s="4" t="s">
        <v>709</v>
      </c>
      <c r="AE443" s="4">
        <v>2</v>
      </c>
      <c r="AF443" s="4">
        <v>28</v>
      </c>
      <c r="AG443" s="4">
        <v>1</v>
      </c>
      <c r="AH443" s="4">
        <v>14</v>
      </c>
      <c r="AK443" s="4">
        <f t="shared" si="30"/>
        <v>3</v>
      </c>
      <c r="AL443" s="4">
        <f t="shared" si="31"/>
        <v>42</v>
      </c>
      <c r="AM443" s="4">
        <f t="shared" si="32"/>
        <v>0</v>
      </c>
      <c r="AN443" s="4">
        <f t="shared" si="33"/>
        <v>0</v>
      </c>
      <c r="AO443" s="4">
        <f t="shared" si="34"/>
        <v>21</v>
      </c>
    </row>
    <row r="444" spans="1:41" x14ac:dyDescent="0.2">
      <c r="A444" s="4" t="s">
        <v>977</v>
      </c>
      <c r="B444" s="4" t="s">
        <v>978</v>
      </c>
      <c r="C444" s="4" t="s">
        <v>129</v>
      </c>
      <c r="D444" s="4" t="s">
        <v>709</v>
      </c>
      <c r="G444" s="4">
        <v>1</v>
      </c>
      <c r="H444" s="4">
        <v>12</v>
      </c>
      <c r="AG444" s="4">
        <v>1</v>
      </c>
      <c r="AH444" s="4">
        <v>12</v>
      </c>
      <c r="AI444" s="4">
        <v>2</v>
      </c>
      <c r="AJ444" s="4">
        <v>24</v>
      </c>
      <c r="AK444" s="4">
        <f t="shared" si="30"/>
        <v>3</v>
      </c>
      <c r="AL444" s="4">
        <f t="shared" si="31"/>
        <v>36</v>
      </c>
      <c r="AM444" s="4">
        <f t="shared" si="32"/>
        <v>1</v>
      </c>
      <c r="AN444" s="4">
        <f t="shared" si="33"/>
        <v>12</v>
      </c>
      <c r="AO444" s="4">
        <f t="shared" si="34"/>
        <v>16</v>
      </c>
    </row>
    <row r="445" spans="1:41" x14ac:dyDescent="0.2">
      <c r="A445" s="4" t="s">
        <v>979</v>
      </c>
      <c r="B445" s="4" t="s">
        <v>980</v>
      </c>
      <c r="C445" s="4" t="s">
        <v>129</v>
      </c>
      <c r="D445" s="4" t="s">
        <v>709</v>
      </c>
      <c r="G445" s="4">
        <v>1</v>
      </c>
      <c r="H445" s="4">
        <v>16</v>
      </c>
      <c r="AG445" s="4">
        <v>1</v>
      </c>
      <c r="AH445" s="4">
        <v>16</v>
      </c>
      <c r="AI445" s="4">
        <v>2</v>
      </c>
      <c r="AJ445" s="4">
        <v>32</v>
      </c>
      <c r="AK445" s="4">
        <f t="shared" si="30"/>
        <v>3</v>
      </c>
      <c r="AL445" s="4">
        <f t="shared" si="31"/>
        <v>48</v>
      </c>
      <c r="AM445" s="4">
        <f t="shared" si="32"/>
        <v>1</v>
      </c>
      <c r="AN445" s="4">
        <f t="shared" si="33"/>
        <v>16</v>
      </c>
      <c r="AO445" s="4">
        <f t="shared" si="34"/>
        <v>21.333333333333332</v>
      </c>
    </row>
    <row r="446" spans="1:41" x14ac:dyDescent="0.2">
      <c r="A446" s="4" t="s">
        <v>981</v>
      </c>
      <c r="B446" s="4" t="s">
        <v>982</v>
      </c>
      <c r="C446" s="4" t="s">
        <v>129</v>
      </c>
      <c r="D446" s="4" t="s">
        <v>709</v>
      </c>
      <c r="G446" s="4">
        <v>1</v>
      </c>
      <c r="H446" s="4">
        <v>15</v>
      </c>
      <c r="K446" s="4">
        <v>1</v>
      </c>
      <c r="L446" s="4">
        <v>15</v>
      </c>
      <c r="AI446" s="4">
        <v>4</v>
      </c>
      <c r="AJ446" s="4">
        <v>60</v>
      </c>
      <c r="AK446" s="4">
        <f t="shared" si="30"/>
        <v>4</v>
      </c>
      <c r="AL446" s="4">
        <f t="shared" si="31"/>
        <v>60</v>
      </c>
      <c r="AM446" s="4">
        <f t="shared" si="32"/>
        <v>2</v>
      </c>
      <c r="AN446" s="4">
        <f t="shared" si="33"/>
        <v>30</v>
      </c>
      <c r="AO446" s="4">
        <f t="shared" si="34"/>
        <v>30</v>
      </c>
    </row>
    <row r="447" spans="1:41" x14ac:dyDescent="0.2">
      <c r="A447" s="4" t="s">
        <v>983</v>
      </c>
      <c r="B447" s="4" t="s">
        <v>984</v>
      </c>
      <c r="C447" s="4" t="s">
        <v>129</v>
      </c>
      <c r="D447" s="4" t="s">
        <v>709</v>
      </c>
      <c r="G447" s="4">
        <v>3</v>
      </c>
      <c r="H447" s="4">
        <v>48</v>
      </c>
      <c r="K447" s="4">
        <v>1</v>
      </c>
      <c r="L447" s="4">
        <v>16</v>
      </c>
      <c r="O447" s="4">
        <v>1</v>
      </c>
      <c r="P447" s="4">
        <v>16</v>
      </c>
      <c r="AI447" s="4">
        <v>1</v>
      </c>
      <c r="AJ447" s="4">
        <v>16</v>
      </c>
      <c r="AK447" s="4">
        <f t="shared" si="30"/>
        <v>1</v>
      </c>
      <c r="AL447" s="4">
        <f t="shared" si="31"/>
        <v>16</v>
      </c>
      <c r="AM447" s="4">
        <f t="shared" si="32"/>
        <v>5</v>
      </c>
      <c r="AN447" s="4">
        <f t="shared" si="33"/>
        <v>80</v>
      </c>
      <c r="AO447" s="4">
        <f t="shared" si="34"/>
        <v>24</v>
      </c>
    </row>
    <row r="448" spans="1:41" x14ac:dyDescent="0.2">
      <c r="A448" s="4" t="s">
        <v>985</v>
      </c>
      <c r="B448" s="4" t="s">
        <v>986</v>
      </c>
      <c r="C448" s="4" t="s">
        <v>129</v>
      </c>
      <c r="D448" s="4" t="s">
        <v>709</v>
      </c>
      <c r="G448" s="4">
        <v>1</v>
      </c>
      <c r="H448" s="4">
        <v>20</v>
      </c>
      <c r="AE448" s="4">
        <v>2</v>
      </c>
      <c r="AF448" s="4">
        <v>40</v>
      </c>
      <c r="AG448" s="4">
        <v>2</v>
      </c>
      <c r="AH448" s="4">
        <v>40</v>
      </c>
      <c r="AI448" s="4">
        <v>1</v>
      </c>
      <c r="AJ448" s="4">
        <v>20</v>
      </c>
      <c r="AK448" s="4">
        <f t="shared" si="30"/>
        <v>5</v>
      </c>
      <c r="AL448" s="4">
        <f t="shared" si="31"/>
        <v>100</v>
      </c>
      <c r="AM448" s="4">
        <f t="shared" si="32"/>
        <v>1</v>
      </c>
      <c r="AN448" s="4">
        <f t="shared" si="33"/>
        <v>20</v>
      </c>
      <c r="AO448" s="4">
        <f t="shared" si="34"/>
        <v>30</v>
      </c>
    </row>
    <row r="449" spans="1:41" x14ac:dyDescent="0.2">
      <c r="A449" s="4" t="s">
        <v>987</v>
      </c>
      <c r="B449" s="4" t="s">
        <v>988</v>
      </c>
      <c r="C449" s="4" t="s">
        <v>129</v>
      </c>
      <c r="D449" s="4" t="s">
        <v>709</v>
      </c>
      <c r="G449" s="4">
        <v>1</v>
      </c>
      <c r="H449" s="4">
        <v>15</v>
      </c>
      <c r="AE449" s="4">
        <v>2</v>
      </c>
      <c r="AF449" s="4">
        <v>30</v>
      </c>
      <c r="AG449" s="4">
        <v>2</v>
      </c>
      <c r="AH449" s="4">
        <v>30</v>
      </c>
      <c r="AI449" s="4">
        <v>1</v>
      </c>
      <c r="AJ449" s="4">
        <v>15</v>
      </c>
      <c r="AK449" s="4">
        <f t="shared" si="30"/>
        <v>5</v>
      </c>
      <c r="AL449" s="4">
        <f t="shared" si="31"/>
        <v>75</v>
      </c>
      <c r="AM449" s="4">
        <f t="shared" si="32"/>
        <v>1</v>
      </c>
      <c r="AN449" s="4">
        <f t="shared" si="33"/>
        <v>15</v>
      </c>
      <c r="AO449" s="4">
        <f t="shared" si="34"/>
        <v>22.5</v>
      </c>
    </row>
    <row r="450" spans="1:41" x14ac:dyDescent="0.2">
      <c r="A450" s="4" t="s">
        <v>989</v>
      </c>
      <c r="B450" s="4" t="s">
        <v>990</v>
      </c>
      <c r="C450" s="4" t="s">
        <v>129</v>
      </c>
      <c r="D450" s="4" t="s">
        <v>709</v>
      </c>
      <c r="K450" s="4">
        <v>1</v>
      </c>
      <c r="L450" s="4">
        <v>15</v>
      </c>
      <c r="O450" s="4">
        <v>1</v>
      </c>
      <c r="P450" s="4">
        <v>15</v>
      </c>
      <c r="AG450" s="4">
        <v>1</v>
      </c>
      <c r="AH450" s="4">
        <v>15</v>
      </c>
      <c r="AI450" s="4">
        <v>3</v>
      </c>
      <c r="AJ450" s="4">
        <v>45</v>
      </c>
      <c r="AK450" s="4">
        <f t="shared" si="30"/>
        <v>4</v>
      </c>
      <c r="AL450" s="4">
        <f t="shared" si="31"/>
        <v>60</v>
      </c>
      <c r="AM450" s="4">
        <f t="shared" si="32"/>
        <v>2</v>
      </c>
      <c r="AN450" s="4">
        <f t="shared" si="33"/>
        <v>30</v>
      </c>
      <c r="AO450" s="4">
        <f t="shared" si="34"/>
        <v>22.5</v>
      </c>
    </row>
    <row r="451" spans="1:41" x14ac:dyDescent="0.2">
      <c r="A451" s="4" t="s">
        <v>991</v>
      </c>
      <c r="B451" s="4" t="s">
        <v>992</v>
      </c>
      <c r="C451" s="4" t="s">
        <v>129</v>
      </c>
      <c r="D451" s="4" t="s">
        <v>709</v>
      </c>
      <c r="G451" s="4">
        <v>2</v>
      </c>
      <c r="H451" s="4">
        <v>15.3</v>
      </c>
      <c r="AG451" s="4">
        <v>1</v>
      </c>
      <c r="AH451" s="4">
        <v>9</v>
      </c>
      <c r="AI451" s="4">
        <v>3</v>
      </c>
      <c r="AJ451" s="4">
        <v>27</v>
      </c>
      <c r="AK451" s="4">
        <f t="shared" si="30"/>
        <v>4</v>
      </c>
      <c r="AL451" s="4">
        <f t="shared" si="31"/>
        <v>36</v>
      </c>
      <c r="AM451" s="4">
        <f t="shared" si="32"/>
        <v>2</v>
      </c>
      <c r="AN451" s="4">
        <f t="shared" si="33"/>
        <v>15.3</v>
      </c>
      <c r="AO451" s="4">
        <f t="shared" si="34"/>
        <v>17.099999999999998</v>
      </c>
    </row>
    <row r="452" spans="1:41" x14ac:dyDescent="0.2">
      <c r="A452" s="4" t="s">
        <v>1699</v>
      </c>
      <c r="B452" s="4" t="s">
        <v>1700</v>
      </c>
      <c r="C452" s="4" t="s">
        <v>129</v>
      </c>
      <c r="D452" s="4" t="s">
        <v>709</v>
      </c>
      <c r="AE452" s="4">
        <v>2</v>
      </c>
      <c r="AF452" s="4">
        <v>28</v>
      </c>
      <c r="AG452" s="4">
        <v>1</v>
      </c>
      <c r="AH452" s="4">
        <v>14</v>
      </c>
      <c r="AK452" s="4">
        <f t="shared" si="30"/>
        <v>3</v>
      </c>
      <c r="AL452" s="4">
        <f t="shared" si="31"/>
        <v>42</v>
      </c>
      <c r="AM452" s="4">
        <f t="shared" si="32"/>
        <v>0</v>
      </c>
      <c r="AN452" s="4">
        <f t="shared" si="33"/>
        <v>0</v>
      </c>
      <c r="AO452" s="4">
        <f t="shared" si="34"/>
        <v>21</v>
      </c>
    </row>
    <row r="453" spans="1:41" x14ac:dyDescent="0.2">
      <c r="A453" s="4" t="s">
        <v>993</v>
      </c>
      <c r="B453" s="4" t="s">
        <v>994</v>
      </c>
      <c r="C453" s="4" t="s">
        <v>129</v>
      </c>
      <c r="D453" s="4" t="s">
        <v>709</v>
      </c>
      <c r="G453" s="4">
        <v>2</v>
      </c>
      <c r="H453" s="4">
        <v>24</v>
      </c>
      <c r="AG453" s="4">
        <v>1</v>
      </c>
      <c r="AH453" s="4">
        <v>12</v>
      </c>
      <c r="AI453" s="4">
        <v>3</v>
      </c>
      <c r="AJ453" s="4">
        <v>36</v>
      </c>
      <c r="AK453" s="4">
        <f t="shared" ref="AK453:AK516" si="35">SUM(E453,I453,M453,Q453,U453,W453,Y453,AA453,AC453,AE453,AG453,AI453)</f>
        <v>4</v>
      </c>
      <c r="AL453" s="4">
        <f t="shared" ref="AL453:AL516" si="36">SUM(F453,J453,N453,R453,V453,X453,Z453,AB453,AD453,AF453,AH453,AJ453)</f>
        <v>48</v>
      </c>
      <c r="AM453" s="4">
        <f t="shared" ref="AM453:AM516" si="37">SUM(G453,K453,O453,S453)</f>
        <v>2</v>
      </c>
      <c r="AN453" s="4">
        <f t="shared" ref="AN453:AN516" si="38">SUM(H453,L453,P453,T453)</f>
        <v>24</v>
      </c>
      <c r="AO453" s="4">
        <f t="shared" ref="AO453:AO516" si="39">AVERAGE(F453,H453,J453,L453,N453,P453,R453,T453,V453,X453,Z453,AB453,AD453,AF453,AH453,AJ453)</f>
        <v>24</v>
      </c>
    </row>
    <row r="454" spans="1:41" x14ac:dyDescent="0.2">
      <c r="A454" s="4" t="s">
        <v>1701</v>
      </c>
      <c r="B454" s="4" t="s">
        <v>1702</v>
      </c>
      <c r="C454" s="4" t="s">
        <v>129</v>
      </c>
      <c r="D454" s="4" t="s">
        <v>709</v>
      </c>
      <c r="AC454" s="4">
        <v>1</v>
      </c>
      <c r="AD454" s="4">
        <v>12</v>
      </c>
      <c r="AE454" s="4">
        <v>2</v>
      </c>
      <c r="AF454" s="4">
        <v>24</v>
      </c>
      <c r="AK454" s="4">
        <f t="shared" si="35"/>
        <v>3</v>
      </c>
      <c r="AL454" s="4">
        <f t="shared" si="36"/>
        <v>36</v>
      </c>
      <c r="AM454" s="4">
        <f t="shared" si="37"/>
        <v>0</v>
      </c>
      <c r="AN454" s="4">
        <f t="shared" si="38"/>
        <v>0</v>
      </c>
      <c r="AO454" s="4">
        <f t="shared" si="39"/>
        <v>18</v>
      </c>
    </row>
    <row r="455" spans="1:41" x14ac:dyDescent="0.2">
      <c r="A455" s="4" t="s">
        <v>710</v>
      </c>
      <c r="B455" s="4" t="s">
        <v>711</v>
      </c>
      <c r="C455" s="4" t="s">
        <v>129</v>
      </c>
      <c r="D455" s="4" t="s">
        <v>709</v>
      </c>
      <c r="K455" s="4">
        <v>1</v>
      </c>
      <c r="L455" s="4">
        <v>20</v>
      </c>
      <c r="O455" s="4">
        <v>1</v>
      </c>
      <c r="P455" s="4">
        <v>20</v>
      </c>
      <c r="AI455" s="4">
        <v>3</v>
      </c>
      <c r="AJ455" s="4">
        <v>60</v>
      </c>
      <c r="AK455" s="4">
        <f t="shared" si="35"/>
        <v>3</v>
      </c>
      <c r="AL455" s="4">
        <f t="shared" si="36"/>
        <v>60</v>
      </c>
      <c r="AM455" s="4">
        <f t="shared" si="37"/>
        <v>2</v>
      </c>
      <c r="AN455" s="4">
        <f t="shared" si="38"/>
        <v>40</v>
      </c>
      <c r="AO455" s="4">
        <f t="shared" si="39"/>
        <v>33.333333333333336</v>
      </c>
    </row>
    <row r="456" spans="1:41" x14ac:dyDescent="0.2">
      <c r="A456" s="4" t="s">
        <v>995</v>
      </c>
      <c r="B456" s="4" t="s">
        <v>996</v>
      </c>
      <c r="C456" s="4" t="s">
        <v>129</v>
      </c>
      <c r="D456" s="4" t="s">
        <v>709</v>
      </c>
      <c r="G456" s="4">
        <v>4</v>
      </c>
      <c r="H456" s="4">
        <v>60</v>
      </c>
      <c r="O456" s="4">
        <v>1</v>
      </c>
      <c r="P456" s="4">
        <v>15</v>
      </c>
      <c r="AI456" s="4">
        <v>1</v>
      </c>
      <c r="AJ456" s="4">
        <v>15</v>
      </c>
      <c r="AK456" s="4">
        <f t="shared" si="35"/>
        <v>1</v>
      </c>
      <c r="AL456" s="4">
        <f t="shared" si="36"/>
        <v>15</v>
      </c>
      <c r="AM456" s="4">
        <f t="shared" si="37"/>
        <v>5</v>
      </c>
      <c r="AN456" s="4">
        <f t="shared" si="38"/>
        <v>75</v>
      </c>
      <c r="AO456" s="4">
        <f t="shared" si="39"/>
        <v>30</v>
      </c>
    </row>
    <row r="457" spans="1:41" x14ac:dyDescent="0.2">
      <c r="A457" s="4" t="s">
        <v>997</v>
      </c>
      <c r="B457" s="4" t="s">
        <v>998</v>
      </c>
      <c r="C457" s="4" t="s">
        <v>129</v>
      </c>
      <c r="D457" s="4" t="s">
        <v>709</v>
      </c>
      <c r="G457" s="4">
        <v>1</v>
      </c>
      <c r="H457" s="4">
        <v>20</v>
      </c>
      <c r="K457" s="4">
        <v>3</v>
      </c>
      <c r="L457" s="4">
        <v>60</v>
      </c>
      <c r="O457" s="4">
        <v>1</v>
      </c>
      <c r="P457" s="4">
        <v>20</v>
      </c>
      <c r="AI457" s="4">
        <v>1</v>
      </c>
      <c r="AJ457" s="4">
        <v>20</v>
      </c>
      <c r="AK457" s="4">
        <f t="shared" si="35"/>
        <v>1</v>
      </c>
      <c r="AL457" s="4">
        <f t="shared" si="36"/>
        <v>20</v>
      </c>
      <c r="AM457" s="4">
        <f t="shared" si="37"/>
        <v>5</v>
      </c>
      <c r="AN457" s="4">
        <f t="shared" si="38"/>
        <v>100</v>
      </c>
      <c r="AO457" s="4">
        <f t="shared" si="39"/>
        <v>30</v>
      </c>
    </row>
    <row r="458" spans="1:41" x14ac:dyDescent="0.2">
      <c r="A458" s="4" t="s">
        <v>999</v>
      </c>
      <c r="B458" s="4" t="s">
        <v>1000</v>
      </c>
      <c r="C458" s="4" t="s">
        <v>129</v>
      </c>
      <c r="D458" s="4" t="s">
        <v>709</v>
      </c>
      <c r="K458" s="4">
        <v>2</v>
      </c>
      <c r="L458" s="4">
        <v>40</v>
      </c>
      <c r="AI458" s="4">
        <v>4</v>
      </c>
      <c r="AJ458" s="4">
        <v>80</v>
      </c>
      <c r="AK458" s="4">
        <f t="shared" si="35"/>
        <v>4</v>
      </c>
      <c r="AL458" s="4">
        <f t="shared" si="36"/>
        <v>80</v>
      </c>
      <c r="AM458" s="4">
        <f t="shared" si="37"/>
        <v>2</v>
      </c>
      <c r="AN458" s="4">
        <f t="shared" si="38"/>
        <v>40</v>
      </c>
      <c r="AO458" s="4">
        <f t="shared" si="39"/>
        <v>60</v>
      </c>
    </row>
    <row r="459" spans="1:41" x14ac:dyDescent="0.2">
      <c r="A459" s="4" t="s">
        <v>1001</v>
      </c>
      <c r="B459" s="4" t="s">
        <v>1002</v>
      </c>
      <c r="C459" s="4" t="s">
        <v>129</v>
      </c>
      <c r="D459" s="4" t="s">
        <v>709</v>
      </c>
      <c r="G459" s="4">
        <v>4</v>
      </c>
      <c r="H459" s="4">
        <v>80</v>
      </c>
      <c r="AI459" s="4">
        <v>2</v>
      </c>
      <c r="AJ459" s="4">
        <v>40</v>
      </c>
      <c r="AK459" s="4">
        <f t="shared" si="35"/>
        <v>2</v>
      </c>
      <c r="AL459" s="4">
        <f t="shared" si="36"/>
        <v>40</v>
      </c>
      <c r="AM459" s="4">
        <f t="shared" si="37"/>
        <v>4</v>
      </c>
      <c r="AN459" s="4">
        <f t="shared" si="38"/>
        <v>80</v>
      </c>
      <c r="AO459" s="4">
        <f t="shared" si="39"/>
        <v>60</v>
      </c>
    </row>
    <row r="460" spans="1:41" x14ac:dyDescent="0.2">
      <c r="A460" s="4" t="s">
        <v>1003</v>
      </c>
      <c r="B460" s="4" t="s">
        <v>1004</v>
      </c>
      <c r="C460" s="4" t="s">
        <v>129</v>
      </c>
      <c r="D460" s="4" t="s">
        <v>709</v>
      </c>
      <c r="G460" s="4">
        <v>3</v>
      </c>
      <c r="H460" s="4">
        <v>48</v>
      </c>
      <c r="AE460" s="4">
        <v>2</v>
      </c>
      <c r="AF460" s="4">
        <v>32</v>
      </c>
      <c r="AI460" s="4">
        <v>1</v>
      </c>
      <c r="AJ460" s="4">
        <v>16</v>
      </c>
      <c r="AK460" s="4">
        <f t="shared" si="35"/>
        <v>3</v>
      </c>
      <c r="AL460" s="4">
        <f t="shared" si="36"/>
        <v>48</v>
      </c>
      <c r="AM460" s="4">
        <f t="shared" si="37"/>
        <v>3</v>
      </c>
      <c r="AN460" s="4">
        <f t="shared" si="38"/>
        <v>48</v>
      </c>
      <c r="AO460" s="4">
        <f t="shared" si="39"/>
        <v>32</v>
      </c>
    </row>
    <row r="461" spans="1:41" x14ac:dyDescent="0.2">
      <c r="A461" s="4" t="s">
        <v>1703</v>
      </c>
      <c r="B461" s="4" t="s">
        <v>1704</v>
      </c>
      <c r="C461" s="4" t="s">
        <v>129</v>
      </c>
      <c r="D461" s="4" t="s">
        <v>709</v>
      </c>
      <c r="AC461" s="4">
        <v>1</v>
      </c>
      <c r="AD461" s="4">
        <v>14</v>
      </c>
      <c r="AE461" s="4">
        <v>1</v>
      </c>
      <c r="AF461" s="4">
        <v>14</v>
      </c>
      <c r="AI461" s="4">
        <v>1</v>
      </c>
      <c r="AJ461" s="4">
        <v>14</v>
      </c>
      <c r="AK461" s="4">
        <f t="shared" si="35"/>
        <v>3</v>
      </c>
      <c r="AL461" s="4">
        <f t="shared" si="36"/>
        <v>42</v>
      </c>
      <c r="AM461" s="4">
        <f t="shared" si="37"/>
        <v>0</v>
      </c>
      <c r="AN461" s="4">
        <f t="shared" si="38"/>
        <v>0</v>
      </c>
      <c r="AO461" s="4">
        <f t="shared" si="39"/>
        <v>14</v>
      </c>
    </row>
    <row r="462" spans="1:41" x14ac:dyDescent="0.2">
      <c r="A462" s="4" t="s">
        <v>1705</v>
      </c>
      <c r="B462" s="4" t="s">
        <v>1706</v>
      </c>
      <c r="C462" s="4" t="s">
        <v>129</v>
      </c>
      <c r="D462" s="4" t="s">
        <v>709</v>
      </c>
      <c r="AC462" s="4">
        <v>1</v>
      </c>
      <c r="AD462" s="4">
        <v>14</v>
      </c>
      <c r="AE462" s="4">
        <v>1</v>
      </c>
      <c r="AF462" s="4">
        <v>14</v>
      </c>
      <c r="AI462" s="4">
        <v>3</v>
      </c>
      <c r="AJ462" s="4">
        <v>42</v>
      </c>
      <c r="AK462" s="4">
        <f t="shared" si="35"/>
        <v>5</v>
      </c>
      <c r="AL462" s="4">
        <f t="shared" si="36"/>
        <v>70</v>
      </c>
      <c r="AM462" s="4">
        <f t="shared" si="37"/>
        <v>0</v>
      </c>
      <c r="AN462" s="4">
        <f t="shared" si="38"/>
        <v>0</v>
      </c>
      <c r="AO462" s="4">
        <f t="shared" si="39"/>
        <v>23.333333333333332</v>
      </c>
    </row>
    <row r="463" spans="1:41" x14ac:dyDescent="0.2">
      <c r="A463" s="4" t="s">
        <v>1005</v>
      </c>
      <c r="B463" s="4" t="s">
        <v>1006</v>
      </c>
      <c r="C463" s="4" t="s">
        <v>129</v>
      </c>
      <c r="D463" s="4" t="s">
        <v>709</v>
      </c>
      <c r="G463" s="4">
        <v>2</v>
      </c>
      <c r="H463" s="4">
        <v>32</v>
      </c>
      <c r="AE463" s="4">
        <v>3</v>
      </c>
      <c r="AF463" s="4">
        <v>48</v>
      </c>
      <c r="AK463" s="4">
        <f t="shared" si="35"/>
        <v>3</v>
      </c>
      <c r="AL463" s="4">
        <f t="shared" si="36"/>
        <v>48</v>
      </c>
      <c r="AM463" s="4">
        <f t="shared" si="37"/>
        <v>2</v>
      </c>
      <c r="AN463" s="4">
        <f t="shared" si="38"/>
        <v>32</v>
      </c>
      <c r="AO463" s="4">
        <f t="shared" si="39"/>
        <v>40</v>
      </c>
    </row>
    <row r="464" spans="1:41" x14ac:dyDescent="0.2">
      <c r="A464" s="4" t="s">
        <v>1007</v>
      </c>
      <c r="B464" s="4" t="s">
        <v>1008</v>
      </c>
      <c r="C464" s="4" t="s">
        <v>129</v>
      </c>
      <c r="D464" s="4" t="s">
        <v>709</v>
      </c>
      <c r="E464" s="4">
        <v>1</v>
      </c>
      <c r="F464" s="4">
        <v>15</v>
      </c>
      <c r="G464" s="4">
        <v>1</v>
      </c>
      <c r="H464" s="4">
        <v>15</v>
      </c>
      <c r="AG464" s="4">
        <v>2</v>
      </c>
      <c r="AH464" s="4">
        <v>30</v>
      </c>
      <c r="AI464" s="4">
        <v>2</v>
      </c>
      <c r="AJ464" s="4">
        <v>30</v>
      </c>
      <c r="AK464" s="4">
        <f t="shared" si="35"/>
        <v>5</v>
      </c>
      <c r="AL464" s="4">
        <f t="shared" si="36"/>
        <v>75</v>
      </c>
      <c r="AM464" s="4">
        <f t="shared" si="37"/>
        <v>1</v>
      </c>
      <c r="AN464" s="4">
        <f t="shared" si="38"/>
        <v>15</v>
      </c>
      <c r="AO464" s="4">
        <f t="shared" si="39"/>
        <v>22.5</v>
      </c>
    </row>
    <row r="465" spans="1:41" x14ac:dyDescent="0.2">
      <c r="A465" s="4" t="s">
        <v>1009</v>
      </c>
      <c r="B465" s="4" t="s">
        <v>1010</v>
      </c>
      <c r="C465" s="4" t="s">
        <v>129</v>
      </c>
      <c r="D465" s="4" t="s">
        <v>709</v>
      </c>
      <c r="G465" s="4">
        <v>4</v>
      </c>
      <c r="H465" s="4">
        <v>40</v>
      </c>
      <c r="K465" s="4">
        <v>1</v>
      </c>
      <c r="L465" s="4">
        <v>10</v>
      </c>
      <c r="AG465" s="4">
        <v>1</v>
      </c>
      <c r="AH465" s="4">
        <v>10</v>
      </c>
      <c r="AI465" s="4">
        <v>1</v>
      </c>
      <c r="AJ465" s="4">
        <v>10</v>
      </c>
      <c r="AK465" s="4">
        <f t="shared" si="35"/>
        <v>2</v>
      </c>
      <c r="AL465" s="4">
        <f t="shared" si="36"/>
        <v>20</v>
      </c>
      <c r="AM465" s="4">
        <f t="shared" si="37"/>
        <v>5</v>
      </c>
      <c r="AN465" s="4">
        <f t="shared" si="38"/>
        <v>50</v>
      </c>
      <c r="AO465" s="4">
        <f t="shared" si="39"/>
        <v>17.5</v>
      </c>
    </row>
    <row r="466" spans="1:41" x14ac:dyDescent="0.2">
      <c r="A466" s="4" t="s">
        <v>1011</v>
      </c>
      <c r="B466" s="4" t="s">
        <v>1012</v>
      </c>
      <c r="C466" s="4" t="s">
        <v>129</v>
      </c>
      <c r="D466" s="4" t="s">
        <v>709</v>
      </c>
      <c r="G466" s="4">
        <v>3</v>
      </c>
      <c r="H466" s="4">
        <v>66</v>
      </c>
      <c r="O466" s="4">
        <v>1</v>
      </c>
      <c r="P466" s="4">
        <v>22</v>
      </c>
      <c r="AI466" s="4">
        <v>2</v>
      </c>
      <c r="AJ466" s="4">
        <v>44</v>
      </c>
      <c r="AK466" s="4">
        <f t="shared" si="35"/>
        <v>2</v>
      </c>
      <c r="AL466" s="4">
        <f t="shared" si="36"/>
        <v>44</v>
      </c>
      <c r="AM466" s="4">
        <f t="shared" si="37"/>
        <v>4</v>
      </c>
      <c r="AN466" s="4">
        <f t="shared" si="38"/>
        <v>88</v>
      </c>
      <c r="AO466" s="4">
        <f t="shared" si="39"/>
        <v>44</v>
      </c>
    </row>
    <row r="467" spans="1:41" x14ac:dyDescent="0.2">
      <c r="A467" s="4" t="s">
        <v>1013</v>
      </c>
      <c r="B467" s="4" t="s">
        <v>1014</v>
      </c>
      <c r="C467" s="4" t="s">
        <v>129</v>
      </c>
      <c r="D467" s="4" t="s">
        <v>709</v>
      </c>
      <c r="G467" s="4">
        <v>5</v>
      </c>
      <c r="H467" s="4">
        <v>105</v>
      </c>
      <c r="K467" s="4">
        <v>1</v>
      </c>
      <c r="L467" s="4">
        <v>21</v>
      </c>
      <c r="AK467" s="4">
        <f t="shared" si="35"/>
        <v>0</v>
      </c>
      <c r="AL467" s="4">
        <f t="shared" si="36"/>
        <v>0</v>
      </c>
      <c r="AM467" s="4">
        <f t="shared" si="37"/>
        <v>6</v>
      </c>
      <c r="AN467" s="4">
        <f t="shared" si="38"/>
        <v>126</v>
      </c>
      <c r="AO467" s="4">
        <f t="shared" si="39"/>
        <v>63</v>
      </c>
    </row>
    <row r="468" spans="1:41" x14ac:dyDescent="0.2">
      <c r="A468" s="4" t="s">
        <v>1015</v>
      </c>
      <c r="B468" s="4" t="s">
        <v>1016</v>
      </c>
      <c r="C468" s="4" t="s">
        <v>129</v>
      </c>
      <c r="D468" s="4" t="s">
        <v>709</v>
      </c>
      <c r="G468" s="4">
        <v>2</v>
      </c>
      <c r="H468" s="4">
        <v>46</v>
      </c>
      <c r="K468" s="4">
        <v>3</v>
      </c>
      <c r="L468" s="4">
        <v>69</v>
      </c>
      <c r="S468" s="4">
        <v>1</v>
      </c>
      <c r="T468" s="4">
        <v>23</v>
      </c>
      <c r="AK468" s="4">
        <f t="shared" si="35"/>
        <v>0</v>
      </c>
      <c r="AL468" s="4">
        <f t="shared" si="36"/>
        <v>0</v>
      </c>
      <c r="AM468" s="4">
        <f t="shared" si="37"/>
        <v>6</v>
      </c>
      <c r="AN468" s="4">
        <f t="shared" si="38"/>
        <v>138</v>
      </c>
      <c r="AO468" s="4">
        <f t="shared" si="39"/>
        <v>46</v>
      </c>
    </row>
    <row r="469" spans="1:41" x14ac:dyDescent="0.2">
      <c r="A469" s="4" t="s">
        <v>1017</v>
      </c>
      <c r="B469" s="4" t="s">
        <v>1018</v>
      </c>
      <c r="C469" s="4" t="s">
        <v>129</v>
      </c>
      <c r="D469" s="4" t="s">
        <v>709</v>
      </c>
      <c r="G469" s="4">
        <v>4</v>
      </c>
      <c r="H469" s="4">
        <v>92</v>
      </c>
      <c r="AI469" s="4">
        <v>2</v>
      </c>
      <c r="AJ469" s="4">
        <v>46</v>
      </c>
      <c r="AK469" s="4">
        <f t="shared" si="35"/>
        <v>2</v>
      </c>
      <c r="AL469" s="4">
        <f t="shared" si="36"/>
        <v>46</v>
      </c>
      <c r="AM469" s="4">
        <f t="shared" si="37"/>
        <v>4</v>
      </c>
      <c r="AN469" s="4">
        <f t="shared" si="38"/>
        <v>92</v>
      </c>
      <c r="AO469" s="4">
        <f t="shared" si="39"/>
        <v>69</v>
      </c>
    </row>
    <row r="470" spans="1:41" x14ac:dyDescent="0.2">
      <c r="A470" s="4" t="s">
        <v>1019</v>
      </c>
      <c r="B470" s="4" t="s">
        <v>1020</v>
      </c>
      <c r="C470" s="4" t="s">
        <v>129</v>
      </c>
      <c r="D470" s="4" t="s">
        <v>709</v>
      </c>
      <c r="G470" s="4">
        <v>3</v>
      </c>
      <c r="H470" s="4">
        <v>60</v>
      </c>
      <c r="K470" s="4">
        <v>1</v>
      </c>
      <c r="L470" s="4">
        <v>20</v>
      </c>
      <c r="AC470" s="4">
        <v>1</v>
      </c>
      <c r="AD470" s="4">
        <v>20</v>
      </c>
      <c r="AI470" s="4">
        <v>1</v>
      </c>
      <c r="AJ470" s="4">
        <v>20</v>
      </c>
      <c r="AK470" s="4">
        <f t="shared" si="35"/>
        <v>2</v>
      </c>
      <c r="AL470" s="4">
        <f t="shared" si="36"/>
        <v>40</v>
      </c>
      <c r="AM470" s="4">
        <f t="shared" si="37"/>
        <v>4</v>
      </c>
      <c r="AN470" s="4">
        <f t="shared" si="38"/>
        <v>80</v>
      </c>
      <c r="AO470" s="4">
        <f t="shared" si="39"/>
        <v>30</v>
      </c>
    </row>
    <row r="471" spans="1:41" x14ac:dyDescent="0.2">
      <c r="A471" s="4" t="s">
        <v>1021</v>
      </c>
      <c r="B471" s="4" t="s">
        <v>1022</v>
      </c>
      <c r="C471" s="4" t="s">
        <v>129</v>
      </c>
      <c r="D471" s="4" t="s">
        <v>709</v>
      </c>
      <c r="G471" s="4">
        <v>2</v>
      </c>
      <c r="H471" s="4">
        <v>38</v>
      </c>
      <c r="K471" s="4">
        <v>3</v>
      </c>
      <c r="L471" s="4">
        <v>57</v>
      </c>
      <c r="O471" s="4">
        <v>1</v>
      </c>
      <c r="P471" s="4">
        <v>19</v>
      </c>
      <c r="AK471" s="4">
        <f t="shared" si="35"/>
        <v>0</v>
      </c>
      <c r="AL471" s="4">
        <f t="shared" si="36"/>
        <v>0</v>
      </c>
      <c r="AM471" s="4">
        <f t="shared" si="37"/>
        <v>6</v>
      </c>
      <c r="AN471" s="4">
        <f t="shared" si="38"/>
        <v>114</v>
      </c>
      <c r="AO471" s="4">
        <f t="shared" si="39"/>
        <v>38</v>
      </c>
    </row>
    <row r="472" spans="1:41" x14ac:dyDescent="0.2">
      <c r="A472" s="4" t="s">
        <v>1023</v>
      </c>
      <c r="B472" s="4" t="s">
        <v>1024</v>
      </c>
      <c r="C472" s="4" t="s">
        <v>129</v>
      </c>
      <c r="D472" s="4" t="s">
        <v>709</v>
      </c>
      <c r="G472" s="4">
        <v>1</v>
      </c>
      <c r="H472" s="4">
        <v>11</v>
      </c>
      <c r="K472" s="4">
        <v>3</v>
      </c>
      <c r="L472" s="4">
        <v>33</v>
      </c>
      <c r="O472" s="4">
        <v>1</v>
      </c>
      <c r="P472" s="4">
        <v>11</v>
      </c>
      <c r="S472" s="4">
        <v>1</v>
      </c>
      <c r="T472" s="4">
        <v>11</v>
      </c>
      <c r="AK472" s="4">
        <f t="shared" si="35"/>
        <v>0</v>
      </c>
      <c r="AL472" s="4">
        <f t="shared" si="36"/>
        <v>0</v>
      </c>
      <c r="AM472" s="4">
        <f t="shared" si="37"/>
        <v>6</v>
      </c>
      <c r="AN472" s="4">
        <f t="shared" si="38"/>
        <v>66</v>
      </c>
      <c r="AO472" s="4">
        <f t="shared" si="39"/>
        <v>16.5</v>
      </c>
    </row>
    <row r="473" spans="1:41" x14ac:dyDescent="0.2">
      <c r="A473" s="4" t="s">
        <v>1707</v>
      </c>
      <c r="B473" s="4" t="s">
        <v>1708</v>
      </c>
      <c r="C473" s="4" t="s">
        <v>129</v>
      </c>
      <c r="D473" s="4" t="s">
        <v>709</v>
      </c>
      <c r="AE473" s="4">
        <v>1</v>
      </c>
      <c r="AF473" s="4">
        <v>14</v>
      </c>
      <c r="AI473" s="4">
        <v>2</v>
      </c>
      <c r="AJ473" s="4">
        <v>28</v>
      </c>
      <c r="AK473" s="4">
        <f t="shared" si="35"/>
        <v>3</v>
      </c>
      <c r="AL473" s="4">
        <f t="shared" si="36"/>
        <v>42</v>
      </c>
      <c r="AM473" s="4">
        <f t="shared" si="37"/>
        <v>0</v>
      </c>
      <c r="AN473" s="4">
        <f t="shared" si="38"/>
        <v>0</v>
      </c>
      <c r="AO473" s="4">
        <f t="shared" si="39"/>
        <v>21</v>
      </c>
    </row>
    <row r="474" spans="1:41" x14ac:dyDescent="0.2">
      <c r="A474" s="4" t="s">
        <v>712</v>
      </c>
      <c r="B474" s="4" t="s">
        <v>713</v>
      </c>
      <c r="C474" s="4" t="s">
        <v>129</v>
      </c>
      <c r="D474" s="4" t="s">
        <v>709</v>
      </c>
      <c r="G474" s="4">
        <v>1</v>
      </c>
      <c r="H474" s="4">
        <v>26</v>
      </c>
      <c r="K474" s="4">
        <v>1</v>
      </c>
      <c r="L474" s="4">
        <v>26</v>
      </c>
      <c r="AK474" s="4">
        <f t="shared" si="35"/>
        <v>0</v>
      </c>
      <c r="AL474" s="4">
        <f t="shared" si="36"/>
        <v>0</v>
      </c>
      <c r="AM474" s="4">
        <f t="shared" si="37"/>
        <v>2</v>
      </c>
      <c r="AN474" s="4">
        <f t="shared" si="38"/>
        <v>52</v>
      </c>
      <c r="AO474" s="4">
        <f t="shared" si="39"/>
        <v>26</v>
      </c>
    </row>
    <row r="475" spans="1:41" x14ac:dyDescent="0.2">
      <c r="A475" s="4" t="s">
        <v>1709</v>
      </c>
      <c r="B475" s="4" t="s">
        <v>1710</v>
      </c>
      <c r="C475" s="4" t="s">
        <v>129</v>
      </c>
      <c r="D475" s="4" t="s">
        <v>709</v>
      </c>
      <c r="AE475" s="4">
        <v>1</v>
      </c>
      <c r="AF475" s="4">
        <v>14</v>
      </c>
      <c r="AI475" s="4">
        <v>2</v>
      </c>
      <c r="AJ475" s="4">
        <v>28</v>
      </c>
      <c r="AK475" s="4">
        <f t="shared" si="35"/>
        <v>3</v>
      </c>
      <c r="AL475" s="4">
        <f t="shared" si="36"/>
        <v>42</v>
      </c>
      <c r="AM475" s="4">
        <f t="shared" si="37"/>
        <v>0</v>
      </c>
      <c r="AN475" s="4">
        <f t="shared" si="38"/>
        <v>0</v>
      </c>
      <c r="AO475" s="4">
        <f t="shared" si="39"/>
        <v>21</v>
      </c>
    </row>
    <row r="476" spans="1:41" x14ac:dyDescent="0.2">
      <c r="A476" s="4" t="s">
        <v>1025</v>
      </c>
      <c r="B476" s="4" t="s">
        <v>1026</v>
      </c>
      <c r="C476" s="4" t="s">
        <v>129</v>
      </c>
      <c r="D476" s="4" t="s">
        <v>709</v>
      </c>
      <c r="G476" s="4">
        <v>3</v>
      </c>
      <c r="H476" s="4">
        <v>45</v>
      </c>
      <c r="K476" s="4">
        <v>3</v>
      </c>
      <c r="L476" s="4">
        <v>45</v>
      </c>
      <c r="AK476" s="4">
        <f t="shared" si="35"/>
        <v>0</v>
      </c>
      <c r="AL476" s="4">
        <f t="shared" si="36"/>
        <v>0</v>
      </c>
      <c r="AM476" s="4">
        <f t="shared" si="37"/>
        <v>6</v>
      </c>
      <c r="AN476" s="4">
        <f t="shared" si="38"/>
        <v>90</v>
      </c>
      <c r="AO476" s="4">
        <f t="shared" si="39"/>
        <v>45</v>
      </c>
    </row>
    <row r="477" spans="1:41" x14ac:dyDescent="0.2">
      <c r="A477" s="4" t="s">
        <v>714</v>
      </c>
      <c r="B477" s="4" t="s">
        <v>1027</v>
      </c>
      <c r="C477" s="4" t="s">
        <v>129</v>
      </c>
      <c r="D477" s="4" t="s">
        <v>709</v>
      </c>
      <c r="G477" s="4">
        <v>2</v>
      </c>
      <c r="H477" s="4">
        <v>38</v>
      </c>
      <c r="K477" s="4">
        <v>1</v>
      </c>
      <c r="L477" s="4">
        <v>19</v>
      </c>
      <c r="S477" s="4">
        <v>2</v>
      </c>
      <c r="T477" s="4">
        <v>38</v>
      </c>
      <c r="AK477" s="4">
        <f t="shared" si="35"/>
        <v>0</v>
      </c>
      <c r="AL477" s="4">
        <f t="shared" si="36"/>
        <v>0</v>
      </c>
      <c r="AM477" s="4">
        <f t="shared" si="37"/>
        <v>5</v>
      </c>
      <c r="AN477" s="4">
        <f t="shared" si="38"/>
        <v>95</v>
      </c>
      <c r="AO477" s="4">
        <f t="shared" si="39"/>
        <v>31.666666666666668</v>
      </c>
    </row>
    <row r="478" spans="1:41" x14ac:dyDescent="0.2">
      <c r="A478" s="4" t="s">
        <v>1028</v>
      </c>
      <c r="B478" s="4" t="s">
        <v>1029</v>
      </c>
      <c r="C478" s="4" t="s">
        <v>129</v>
      </c>
      <c r="D478" s="4" t="s">
        <v>709</v>
      </c>
      <c r="G478" s="4">
        <v>1</v>
      </c>
      <c r="H478" s="4">
        <v>20</v>
      </c>
      <c r="K478" s="4">
        <v>2</v>
      </c>
      <c r="L478" s="4">
        <v>40</v>
      </c>
      <c r="AK478" s="4">
        <f t="shared" si="35"/>
        <v>0</v>
      </c>
      <c r="AL478" s="4">
        <f t="shared" si="36"/>
        <v>0</v>
      </c>
      <c r="AM478" s="4">
        <f t="shared" si="37"/>
        <v>3</v>
      </c>
      <c r="AN478" s="4">
        <f t="shared" si="38"/>
        <v>60</v>
      </c>
      <c r="AO478" s="4">
        <f t="shared" si="39"/>
        <v>30</v>
      </c>
    </row>
    <row r="479" spans="1:41" x14ac:dyDescent="0.2">
      <c r="A479" s="4" t="s">
        <v>1030</v>
      </c>
      <c r="B479" s="4" t="s">
        <v>1031</v>
      </c>
      <c r="C479" s="4" t="s">
        <v>129</v>
      </c>
      <c r="D479" s="4" t="s">
        <v>709</v>
      </c>
      <c r="K479" s="4">
        <v>3</v>
      </c>
      <c r="L479" s="4">
        <v>51</v>
      </c>
      <c r="O479" s="4">
        <v>1</v>
      </c>
      <c r="P479" s="4">
        <v>17</v>
      </c>
      <c r="AI479" s="4">
        <v>2</v>
      </c>
      <c r="AJ479" s="4">
        <v>34</v>
      </c>
      <c r="AK479" s="4">
        <f t="shared" si="35"/>
        <v>2</v>
      </c>
      <c r="AL479" s="4">
        <f t="shared" si="36"/>
        <v>34</v>
      </c>
      <c r="AM479" s="4">
        <f t="shared" si="37"/>
        <v>4</v>
      </c>
      <c r="AN479" s="4">
        <f t="shared" si="38"/>
        <v>68</v>
      </c>
      <c r="AO479" s="4">
        <f t="shared" si="39"/>
        <v>34</v>
      </c>
    </row>
    <row r="480" spans="1:41" x14ac:dyDescent="0.2">
      <c r="A480" s="4" t="s">
        <v>1711</v>
      </c>
      <c r="B480" s="4" t="s">
        <v>1712</v>
      </c>
      <c r="C480" s="4" t="s">
        <v>129</v>
      </c>
      <c r="D480" s="4" t="s">
        <v>709</v>
      </c>
      <c r="AC480" s="4">
        <v>1</v>
      </c>
      <c r="AD480" s="4">
        <v>14</v>
      </c>
      <c r="AI480" s="4">
        <v>2</v>
      </c>
      <c r="AJ480" s="4">
        <v>28</v>
      </c>
      <c r="AK480" s="4">
        <f t="shared" si="35"/>
        <v>3</v>
      </c>
      <c r="AL480" s="4">
        <f t="shared" si="36"/>
        <v>42</v>
      </c>
      <c r="AM480" s="4">
        <f t="shared" si="37"/>
        <v>0</v>
      </c>
      <c r="AN480" s="4">
        <f t="shared" si="38"/>
        <v>0</v>
      </c>
      <c r="AO480" s="4">
        <f t="shared" si="39"/>
        <v>21</v>
      </c>
    </row>
    <row r="481" spans="1:41" x14ac:dyDescent="0.2">
      <c r="A481" s="4" t="s">
        <v>1032</v>
      </c>
      <c r="B481" s="4" t="s">
        <v>1033</v>
      </c>
      <c r="C481" s="4" t="s">
        <v>129</v>
      </c>
      <c r="D481" s="4" t="s">
        <v>709</v>
      </c>
      <c r="E481" s="4">
        <v>1</v>
      </c>
      <c r="F481" s="4">
        <v>8</v>
      </c>
      <c r="G481" s="4">
        <v>2</v>
      </c>
      <c r="H481" s="4">
        <v>16</v>
      </c>
      <c r="K481" s="4">
        <v>1</v>
      </c>
      <c r="L481" s="4">
        <v>8</v>
      </c>
      <c r="O481" s="4">
        <v>2</v>
      </c>
      <c r="P481" s="4">
        <v>16</v>
      </c>
      <c r="AK481" s="4">
        <f t="shared" si="35"/>
        <v>1</v>
      </c>
      <c r="AL481" s="4">
        <f t="shared" si="36"/>
        <v>8</v>
      </c>
      <c r="AM481" s="4">
        <f t="shared" si="37"/>
        <v>5</v>
      </c>
      <c r="AN481" s="4">
        <f t="shared" si="38"/>
        <v>40</v>
      </c>
      <c r="AO481" s="4">
        <f t="shared" si="39"/>
        <v>12</v>
      </c>
    </row>
    <row r="482" spans="1:41" x14ac:dyDescent="0.2">
      <c r="A482" s="4" t="s">
        <v>1034</v>
      </c>
      <c r="B482" s="4" t="s">
        <v>1035</v>
      </c>
      <c r="C482" s="4" t="s">
        <v>129</v>
      </c>
      <c r="D482" s="4" t="s">
        <v>709</v>
      </c>
      <c r="G482" s="4">
        <v>3</v>
      </c>
      <c r="H482" s="4">
        <v>57</v>
      </c>
      <c r="K482" s="4">
        <v>1</v>
      </c>
      <c r="L482" s="4">
        <v>19</v>
      </c>
      <c r="AI482" s="4">
        <v>2</v>
      </c>
      <c r="AJ482" s="4">
        <v>38</v>
      </c>
      <c r="AK482" s="4">
        <f t="shared" si="35"/>
        <v>2</v>
      </c>
      <c r="AL482" s="4">
        <f t="shared" si="36"/>
        <v>38</v>
      </c>
      <c r="AM482" s="4">
        <f t="shared" si="37"/>
        <v>4</v>
      </c>
      <c r="AN482" s="4">
        <f t="shared" si="38"/>
        <v>76</v>
      </c>
      <c r="AO482" s="4">
        <f t="shared" si="39"/>
        <v>38</v>
      </c>
    </row>
    <row r="483" spans="1:41" x14ac:dyDescent="0.2">
      <c r="A483" s="4" t="s">
        <v>1036</v>
      </c>
      <c r="B483" s="4" t="s">
        <v>1037</v>
      </c>
      <c r="C483" s="4" t="s">
        <v>129</v>
      </c>
      <c r="D483" s="4" t="s">
        <v>709</v>
      </c>
      <c r="G483" s="4">
        <v>1</v>
      </c>
      <c r="H483" s="4">
        <v>20</v>
      </c>
      <c r="K483" s="4">
        <v>1</v>
      </c>
      <c r="L483" s="4">
        <v>20</v>
      </c>
      <c r="O483" s="4">
        <v>1</v>
      </c>
      <c r="P483" s="4">
        <v>20</v>
      </c>
      <c r="S483" s="4">
        <v>1</v>
      </c>
      <c r="T483" s="4">
        <v>20</v>
      </c>
      <c r="AI483" s="4">
        <v>2</v>
      </c>
      <c r="AJ483" s="4">
        <v>40</v>
      </c>
      <c r="AK483" s="4">
        <f t="shared" si="35"/>
        <v>2</v>
      </c>
      <c r="AL483" s="4">
        <f t="shared" si="36"/>
        <v>40</v>
      </c>
      <c r="AM483" s="4">
        <f t="shared" si="37"/>
        <v>4</v>
      </c>
      <c r="AN483" s="4">
        <f t="shared" si="38"/>
        <v>80</v>
      </c>
      <c r="AO483" s="4">
        <f t="shared" si="39"/>
        <v>24</v>
      </c>
    </row>
    <row r="484" spans="1:41" x14ac:dyDescent="0.2">
      <c r="A484" s="4" t="s">
        <v>716</v>
      </c>
      <c r="B484" s="4" t="s">
        <v>717</v>
      </c>
      <c r="C484" s="4" t="s">
        <v>129</v>
      </c>
      <c r="D484" s="4" t="s">
        <v>709</v>
      </c>
      <c r="K484" s="4">
        <v>2</v>
      </c>
      <c r="L484" s="4">
        <v>48</v>
      </c>
      <c r="O484" s="4">
        <v>2</v>
      </c>
      <c r="P484" s="4">
        <v>48</v>
      </c>
      <c r="AK484" s="4">
        <f t="shared" si="35"/>
        <v>0</v>
      </c>
      <c r="AL484" s="4">
        <f t="shared" si="36"/>
        <v>0</v>
      </c>
      <c r="AM484" s="4">
        <f t="shared" si="37"/>
        <v>4</v>
      </c>
      <c r="AN484" s="4">
        <f t="shared" si="38"/>
        <v>96</v>
      </c>
      <c r="AO484" s="4">
        <f t="shared" si="39"/>
        <v>48</v>
      </c>
    </row>
    <row r="485" spans="1:41" x14ac:dyDescent="0.2">
      <c r="A485" s="4" t="s">
        <v>1038</v>
      </c>
      <c r="B485" s="4" t="s">
        <v>1039</v>
      </c>
      <c r="C485" s="4" t="s">
        <v>129</v>
      </c>
      <c r="D485" s="4" t="s">
        <v>709</v>
      </c>
      <c r="G485" s="4">
        <v>1</v>
      </c>
      <c r="H485" s="4">
        <v>9</v>
      </c>
      <c r="K485" s="4">
        <v>4</v>
      </c>
      <c r="L485" s="4">
        <v>36</v>
      </c>
      <c r="S485" s="4">
        <v>2</v>
      </c>
      <c r="T485" s="4">
        <v>18</v>
      </c>
      <c r="AK485" s="4">
        <f t="shared" si="35"/>
        <v>0</v>
      </c>
      <c r="AL485" s="4">
        <f t="shared" si="36"/>
        <v>0</v>
      </c>
      <c r="AM485" s="4">
        <f t="shared" si="37"/>
        <v>7</v>
      </c>
      <c r="AN485" s="4">
        <f t="shared" si="38"/>
        <v>63</v>
      </c>
      <c r="AO485" s="4">
        <f t="shared" si="39"/>
        <v>21</v>
      </c>
    </row>
    <row r="486" spans="1:41" x14ac:dyDescent="0.2">
      <c r="A486" s="4" t="s">
        <v>1040</v>
      </c>
      <c r="B486" s="4" t="s">
        <v>1041</v>
      </c>
      <c r="C486" s="4" t="s">
        <v>129</v>
      </c>
      <c r="D486" s="4" t="s">
        <v>709</v>
      </c>
      <c r="E486" s="4">
        <v>1</v>
      </c>
      <c r="F486" s="4">
        <v>17</v>
      </c>
      <c r="G486" s="4">
        <v>1</v>
      </c>
      <c r="H486" s="4">
        <v>17</v>
      </c>
      <c r="K486" s="4">
        <v>3</v>
      </c>
      <c r="L486" s="4">
        <v>51</v>
      </c>
      <c r="O486" s="4">
        <v>1</v>
      </c>
      <c r="P486" s="4">
        <v>17</v>
      </c>
      <c r="AK486" s="4">
        <f t="shared" si="35"/>
        <v>1</v>
      </c>
      <c r="AL486" s="4">
        <f t="shared" si="36"/>
        <v>17</v>
      </c>
      <c r="AM486" s="4">
        <f t="shared" si="37"/>
        <v>5</v>
      </c>
      <c r="AN486" s="4">
        <f t="shared" si="38"/>
        <v>85</v>
      </c>
      <c r="AO486" s="4">
        <f t="shared" si="39"/>
        <v>25.5</v>
      </c>
    </row>
    <row r="487" spans="1:41" x14ac:dyDescent="0.2">
      <c r="A487" s="4" t="s">
        <v>1713</v>
      </c>
      <c r="B487" s="4" t="s">
        <v>1714</v>
      </c>
      <c r="C487" s="4" t="s">
        <v>129</v>
      </c>
      <c r="D487" s="4" t="s">
        <v>709</v>
      </c>
      <c r="AG487" s="4">
        <v>1</v>
      </c>
      <c r="AH487" s="4">
        <v>15</v>
      </c>
      <c r="AI487" s="4">
        <v>3</v>
      </c>
      <c r="AJ487" s="4">
        <v>45</v>
      </c>
      <c r="AK487" s="4">
        <f t="shared" si="35"/>
        <v>4</v>
      </c>
      <c r="AL487" s="4">
        <f t="shared" si="36"/>
        <v>60</v>
      </c>
      <c r="AM487" s="4">
        <f t="shared" si="37"/>
        <v>0</v>
      </c>
      <c r="AN487" s="4">
        <f t="shared" si="38"/>
        <v>0</v>
      </c>
      <c r="AO487" s="4">
        <f t="shared" si="39"/>
        <v>30</v>
      </c>
    </row>
    <row r="488" spans="1:41" x14ac:dyDescent="0.2">
      <c r="A488" s="4" t="s">
        <v>1042</v>
      </c>
      <c r="B488" s="4" t="s">
        <v>1043</v>
      </c>
      <c r="C488" s="4" t="s">
        <v>129</v>
      </c>
      <c r="D488" s="4" t="s">
        <v>709</v>
      </c>
      <c r="G488" s="4">
        <v>2</v>
      </c>
      <c r="H488" s="4">
        <v>36</v>
      </c>
      <c r="K488" s="4">
        <v>2</v>
      </c>
      <c r="L488" s="4">
        <v>36</v>
      </c>
      <c r="S488" s="4">
        <v>1</v>
      </c>
      <c r="T488" s="4">
        <v>18</v>
      </c>
      <c r="AK488" s="4">
        <f t="shared" si="35"/>
        <v>0</v>
      </c>
      <c r="AL488" s="4">
        <f t="shared" si="36"/>
        <v>0</v>
      </c>
      <c r="AM488" s="4">
        <f t="shared" si="37"/>
        <v>5</v>
      </c>
      <c r="AN488" s="4">
        <f t="shared" si="38"/>
        <v>90</v>
      </c>
      <c r="AO488" s="4">
        <f t="shared" si="39"/>
        <v>30</v>
      </c>
    </row>
    <row r="489" spans="1:41" x14ac:dyDescent="0.2">
      <c r="A489" s="4" t="s">
        <v>718</v>
      </c>
      <c r="B489" s="4" t="s">
        <v>719</v>
      </c>
      <c r="C489" s="4" t="s">
        <v>129</v>
      </c>
      <c r="D489" s="4" t="s">
        <v>709</v>
      </c>
      <c r="K489" s="4">
        <v>2</v>
      </c>
      <c r="L489" s="4">
        <v>18</v>
      </c>
      <c r="O489" s="4">
        <v>2</v>
      </c>
      <c r="P489" s="4">
        <v>18</v>
      </c>
      <c r="S489" s="4">
        <v>1</v>
      </c>
      <c r="T489" s="4">
        <v>9</v>
      </c>
      <c r="AK489" s="4">
        <f t="shared" si="35"/>
        <v>0</v>
      </c>
      <c r="AL489" s="4">
        <f t="shared" si="36"/>
        <v>0</v>
      </c>
      <c r="AM489" s="4">
        <f t="shared" si="37"/>
        <v>5</v>
      </c>
      <c r="AN489" s="4">
        <f t="shared" si="38"/>
        <v>45</v>
      </c>
      <c r="AO489" s="4">
        <f t="shared" si="39"/>
        <v>15</v>
      </c>
    </row>
    <row r="490" spans="1:41" x14ac:dyDescent="0.2">
      <c r="A490" s="4" t="s">
        <v>1044</v>
      </c>
      <c r="B490" s="4" t="s">
        <v>1045</v>
      </c>
      <c r="C490" s="4" t="s">
        <v>129</v>
      </c>
      <c r="D490" s="4" t="s">
        <v>709</v>
      </c>
      <c r="K490" s="4">
        <v>1</v>
      </c>
      <c r="L490" s="4">
        <v>9</v>
      </c>
      <c r="O490" s="4">
        <v>4</v>
      </c>
      <c r="P490" s="4">
        <v>36</v>
      </c>
      <c r="S490" s="4">
        <v>1</v>
      </c>
      <c r="T490" s="4">
        <v>9</v>
      </c>
      <c r="AK490" s="4">
        <f t="shared" si="35"/>
        <v>0</v>
      </c>
      <c r="AL490" s="4">
        <f t="shared" si="36"/>
        <v>0</v>
      </c>
      <c r="AM490" s="4">
        <f t="shared" si="37"/>
        <v>6</v>
      </c>
      <c r="AN490" s="4">
        <f t="shared" si="38"/>
        <v>54</v>
      </c>
      <c r="AO490" s="4">
        <f t="shared" si="39"/>
        <v>18</v>
      </c>
    </row>
    <row r="491" spans="1:41" x14ac:dyDescent="0.2">
      <c r="A491" s="4" t="s">
        <v>720</v>
      </c>
      <c r="B491" s="4" t="s">
        <v>721</v>
      </c>
      <c r="C491" s="4" t="s">
        <v>129</v>
      </c>
      <c r="D491" s="4" t="s">
        <v>709</v>
      </c>
      <c r="G491" s="4">
        <v>2</v>
      </c>
      <c r="H491" s="4">
        <v>38</v>
      </c>
      <c r="K491" s="4">
        <v>1</v>
      </c>
      <c r="L491" s="4">
        <v>19</v>
      </c>
      <c r="O491" s="4">
        <v>1</v>
      </c>
      <c r="P491" s="4">
        <v>19</v>
      </c>
      <c r="AK491" s="4">
        <f t="shared" si="35"/>
        <v>0</v>
      </c>
      <c r="AL491" s="4">
        <f t="shared" si="36"/>
        <v>0</v>
      </c>
      <c r="AM491" s="4">
        <f t="shared" si="37"/>
        <v>4</v>
      </c>
      <c r="AN491" s="4">
        <f t="shared" si="38"/>
        <v>76</v>
      </c>
      <c r="AO491" s="4">
        <f t="shared" si="39"/>
        <v>25.333333333333332</v>
      </c>
    </row>
    <row r="492" spans="1:41" x14ac:dyDescent="0.2">
      <c r="A492" s="4" t="s">
        <v>722</v>
      </c>
      <c r="B492" s="4" t="s">
        <v>723</v>
      </c>
      <c r="C492" s="4" t="s">
        <v>129</v>
      </c>
      <c r="D492" s="4" t="s">
        <v>709</v>
      </c>
      <c r="K492" s="4">
        <v>2</v>
      </c>
      <c r="L492" s="4">
        <v>18</v>
      </c>
      <c r="S492" s="4">
        <v>2</v>
      </c>
      <c r="T492" s="4">
        <v>18</v>
      </c>
      <c r="AK492" s="4">
        <f t="shared" si="35"/>
        <v>0</v>
      </c>
      <c r="AL492" s="4">
        <f t="shared" si="36"/>
        <v>0</v>
      </c>
      <c r="AM492" s="4">
        <f t="shared" si="37"/>
        <v>4</v>
      </c>
      <c r="AN492" s="4">
        <f t="shared" si="38"/>
        <v>36</v>
      </c>
      <c r="AO492" s="4">
        <f t="shared" si="39"/>
        <v>18</v>
      </c>
    </row>
    <row r="493" spans="1:41" x14ac:dyDescent="0.2">
      <c r="A493" s="4" t="s">
        <v>1046</v>
      </c>
      <c r="B493" s="4" t="s">
        <v>1047</v>
      </c>
      <c r="C493" s="4" t="s">
        <v>129</v>
      </c>
      <c r="D493" s="4" t="s">
        <v>709</v>
      </c>
      <c r="G493" s="4">
        <v>2</v>
      </c>
      <c r="H493" s="4">
        <v>28</v>
      </c>
      <c r="AG493" s="4">
        <v>1</v>
      </c>
      <c r="AH493" s="4">
        <v>14</v>
      </c>
      <c r="AK493" s="4">
        <f t="shared" si="35"/>
        <v>1</v>
      </c>
      <c r="AL493" s="4">
        <f t="shared" si="36"/>
        <v>14</v>
      </c>
      <c r="AM493" s="4">
        <f t="shared" si="37"/>
        <v>2</v>
      </c>
      <c r="AN493" s="4">
        <f t="shared" si="38"/>
        <v>28</v>
      </c>
      <c r="AO493" s="4">
        <f t="shared" si="39"/>
        <v>21</v>
      </c>
    </row>
    <row r="494" spans="1:41" x14ac:dyDescent="0.2">
      <c r="A494" s="4" t="s">
        <v>724</v>
      </c>
      <c r="B494" s="4" t="s">
        <v>725</v>
      </c>
      <c r="C494" s="4" t="s">
        <v>129</v>
      </c>
      <c r="D494" s="4" t="s">
        <v>709</v>
      </c>
      <c r="G494" s="4">
        <v>1</v>
      </c>
      <c r="H494" s="4">
        <v>15</v>
      </c>
      <c r="K494" s="4">
        <v>1</v>
      </c>
      <c r="L494" s="4">
        <v>15</v>
      </c>
      <c r="O494" s="4">
        <v>1</v>
      </c>
      <c r="P494" s="4">
        <v>15</v>
      </c>
      <c r="AK494" s="4">
        <f t="shared" si="35"/>
        <v>0</v>
      </c>
      <c r="AL494" s="4">
        <f t="shared" si="36"/>
        <v>0</v>
      </c>
      <c r="AM494" s="4">
        <f t="shared" si="37"/>
        <v>3</v>
      </c>
      <c r="AN494" s="4">
        <f t="shared" si="38"/>
        <v>45</v>
      </c>
      <c r="AO494" s="4">
        <f t="shared" si="39"/>
        <v>15</v>
      </c>
    </row>
    <row r="495" spans="1:41" x14ac:dyDescent="0.2">
      <c r="A495" s="4" t="s">
        <v>1048</v>
      </c>
      <c r="B495" s="4" t="s">
        <v>1049</v>
      </c>
      <c r="C495" s="4" t="s">
        <v>129</v>
      </c>
      <c r="D495" s="4" t="s">
        <v>709</v>
      </c>
      <c r="G495" s="4">
        <v>6</v>
      </c>
      <c r="H495" s="4">
        <v>66</v>
      </c>
      <c r="AK495" s="4">
        <f t="shared" si="35"/>
        <v>0</v>
      </c>
      <c r="AL495" s="4">
        <f t="shared" si="36"/>
        <v>0</v>
      </c>
      <c r="AM495" s="4">
        <f t="shared" si="37"/>
        <v>6</v>
      </c>
      <c r="AN495" s="4">
        <f t="shared" si="38"/>
        <v>66</v>
      </c>
      <c r="AO495" s="4">
        <f t="shared" si="39"/>
        <v>66</v>
      </c>
    </row>
    <row r="496" spans="1:41" x14ac:dyDescent="0.2">
      <c r="A496" s="4" t="s">
        <v>1050</v>
      </c>
      <c r="B496" s="4" t="s">
        <v>1051</v>
      </c>
      <c r="C496" s="4" t="s">
        <v>129</v>
      </c>
      <c r="D496" s="4" t="s">
        <v>709</v>
      </c>
      <c r="E496" s="4">
        <v>1</v>
      </c>
      <c r="F496" s="4">
        <v>18</v>
      </c>
      <c r="K496" s="4">
        <v>4</v>
      </c>
      <c r="L496" s="4">
        <v>72</v>
      </c>
      <c r="O496" s="4">
        <v>1</v>
      </c>
      <c r="P496" s="4">
        <v>18</v>
      </c>
      <c r="AK496" s="4">
        <f t="shared" si="35"/>
        <v>1</v>
      </c>
      <c r="AL496" s="4">
        <f t="shared" si="36"/>
        <v>18</v>
      </c>
      <c r="AM496" s="4">
        <f t="shared" si="37"/>
        <v>5</v>
      </c>
      <c r="AN496" s="4">
        <f t="shared" si="38"/>
        <v>90</v>
      </c>
      <c r="AO496" s="4">
        <f t="shared" si="39"/>
        <v>36</v>
      </c>
    </row>
    <row r="497" spans="1:41" x14ac:dyDescent="0.2">
      <c r="A497" s="4" t="s">
        <v>1052</v>
      </c>
      <c r="B497" s="4" t="s">
        <v>1053</v>
      </c>
      <c r="C497" s="4" t="s">
        <v>129</v>
      </c>
      <c r="D497" s="4" t="s">
        <v>709</v>
      </c>
      <c r="G497" s="4">
        <v>2</v>
      </c>
      <c r="H497" s="4">
        <v>28</v>
      </c>
      <c r="K497" s="4">
        <v>3</v>
      </c>
      <c r="L497" s="4">
        <v>42</v>
      </c>
      <c r="AK497" s="4">
        <f t="shared" si="35"/>
        <v>0</v>
      </c>
      <c r="AL497" s="4">
        <f t="shared" si="36"/>
        <v>0</v>
      </c>
      <c r="AM497" s="4">
        <f t="shared" si="37"/>
        <v>5</v>
      </c>
      <c r="AN497" s="4">
        <f t="shared" si="38"/>
        <v>70</v>
      </c>
      <c r="AO497" s="4">
        <f t="shared" si="39"/>
        <v>35</v>
      </c>
    </row>
    <row r="498" spans="1:41" x14ac:dyDescent="0.2">
      <c r="A498" s="4" t="s">
        <v>1054</v>
      </c>
      <c r="B498" s="4" t="s">
        <v>1055</v>
      </c>
      <c r="C498" s="4" t="s">
        <v>129</v>
      </c>
      <c r="D498" s="4" t="s">
        <v>709</v>
      </c>
      <c r="G498" s="4">
        <v>1</v>
      </c>
      <c r="H498" s="4">
        <v>14</v>
      </c>
      <c r="K498" s="4">
        <v>4</v>
      </c>
      <c r="L498" s="4">
        <v>56</v>
      </c>
      <c r="O498" s="4">
        <v>1</v>
      </c>
      <c r="P498" s="4">
        <v>14</v>
      </c>
      <c r="AK498" s="4">
        <f t="shared" si="35"/>
        <v>0</v>
      </c>
      <c r="AL498" s="4">
        <f t="shared" si="36"/>
        <v>0</v>
      </c>
      <c r="AM498" s="4">
        <f t="shared" si="37"/>
        <v>6</v>
      </c>
      <c r="AN498" s="4">
        <f t="shared" si="38"/>
        <v>84</v>
      </c>
      <c r="AO498" s="4">
        <f t="shared" si="39"/>
        <v>28</v>
      </c>
    </row>
    <row r="499" spans="1:41" x14ac:dyDescent="0.2">
      <c r="A499" s="4" t="s">
        <v>726</v>
      </c>
      <c r="B499" s="4" t="s">
        <v>727</v>
      </c>
      <c r="C499" s="4" t="s">
        <v>129</v>
      </c>
      <c r="D499" s="4" t="s">
        <v>709</v>
      </c>
      <c r="O499" s="4">
        <v>1</v>
      </c>
      <c r="P499" s="4">
        <v>17</v>
      </c>
      <c r="AG499" s="4">
        <v>1</v>
      </c>
      <c r="AH499" s="4">
        <v>17</v>
      </c>
      <c r="AI499" s="4">
        <v>1</v>
      </c>
      <c r="AJ499" s="4">
        <v>17</v>
      </c>
      <c r="AK499" s="4">
        <f t="shared" si="35"/>
        <v>2</v>
      </c>
      <c r="AL499" s="4">
        <f t="shared" si="36"/>
        <v>34</v>
      </c>
      <c r="AM499" s="4">
        <f t="shared" si="37"/>
        <v>1</v>
      </c>
      <c r="AN499" s="4">
        <f t="shared" si="38"/>
        <v>17</v>
      </c>
      <c r="AO499" s="4">
        <f t="shared" si="39"/>
        <v>17</v>
      </c>
    </row>
    <row r="500" spans="1:41" x14ac:dyDescent="0.2">
      <c r="A500" s="4" t="s">
        <v>1056</v>
      </c>
      <c r="B500" s="4" t="s">
        <v>1057</v>
      </c>
      <c r="C500" s="4" t="s">
        <v>129</v>
      </c>
      <c r="D500" s="4" t="s">
        <v>709</v>
      </c>
      <c r="G500" s="4">
        <v>1</v>
      </c>
      <c r="H500" s="4">
        <v>14</v>
      </c>
      <c r="K500" s="4">
        <v>4</v>
      </c>
      <c r="L500" s="4">
        <v>56</v>
      </c>
      <c r="AK500" s="4">
        <f t="shared" si="35"/>
        <v>0</v>
      </c>
      <c r="AL500" s="4">
        <f t="shared" si="36"/>
        <v>0</v>
      </c>
      <c r="AM500" s="4">
        <f t="shared" si="37"/>
        <v>5</v>
      </c>
      <c r="AN500" s="4">
        <f t="shared" si="38"/>
        <v>70</v>
      </c>
      <c r="AO500" s="4">
        <f t="shared" si="39"/>
        <v>35</v>
      </c>
    </row>
    <row r="501" spans="1:41" x14ac:dyDescent="0.2">
      <c r="A501" s="4" t="s">
        <v>1058</v>
      </c>
      <c r="B501" s="4" t="s">
        <v>1059</v>
      </c>
      <c r="C501" s="4" t="s">
        <v>129</v>
      </c>
      <c r="D501" s="4" t="s">
        <v>709</v>
      </c>
      <c r="G501" s="4">
        <v>3</v>
      </c>
      <c r="H501" s="4">
        <v>39</v>
      </c>
      <c r="K501" s="4">
        <v>3</v>
      </c>
      <c r="L501" s="4">
        <v>39</v>
      </c>
      <c r="AK501" s="4">
        <f t="shared" si="35"/>
        <v>0</v>
      </c>
      <c r="AL501" s="4">
        <f t="shared" si="36"/>
        <v>0</v>
      </c>
      <c r="AM501" s="4">
        <f t="shared" si="37"/>
        <v>6</v>
      </c>
      <c r="AN501" s="4">
        <f t="shared" si="38"/>
        <v>78</v>
      </c>
      <c r="AO501" s="4">
        <f t="shared" si="39"/>
        <v>39</v>
      </c>
    </row>
    <row r="502" spans="1:41" x14ac:dyDescent="0.2">
      <c r="A502" s="4" t="s">
        <v>1715</v>
      </c>
      <c r="B502" s="4" t="s">
        <v>1716</v>
      </c>
      <c r="C502" s="4" t="s">
        <v>129</v>
      </c>
      <c r="D502" s="4" t="s">
        <v>709</v>
      </c>
      <c r="AC502" s="4">
        <v>1</v>
      </c>
      <c r="AD502" s="4">
        <v>13</v>
      </c>
      <c r="AI502" s="4">
        <v>2</v>
      </c>
      <c r="AJ502" s="4">
        <v>26</v>
      </c>
      <c r="AK502" s="4">
        <f t="shared" si="35"/>
        <v>3</v>
      </c>
      <c r="AL502" s="4">
        <f t="shared" si="36"/>
        <v>39</v>
      </c>
      <c r="AM502" s="4">
        <f t="shared" si="37"/>
        <v>0</v>
      </c>
      <c r="AN502" s="4">
        <f t="shared" si="38"/>
        <v>0</v>
      </c>
      <c r="AO502" s="4">
        <f t="shared" si="39"/>
        <v>19.5</v>
      </c>
    </row>
    <row r="503" spans="1:41" x14ac:dyDescent="0.2">
      <c r="A503" s="4" t="s">
        <v>1060</v>
      </c>
      <c r="B503" s="4" t="s">
        <v>1061</v>
      </c>
      <c r="C503" s="4" t="s">
        <v>129</v>
      </c>
      <c r="D503" s="4" t="s">
        <v>709</v>
      </c>
      <c r="E503" s="4">
        <v>1</v>
      </c>
      <c r="F503" s="4">
        <v>15</v>
      </c>
      <c r="G503" s="4">
        <v>1</v>
      </c>
      <c r="H503" s="4">
        <v>15</v>
      </c>
      <c r="K503" s="4">
        <v>3</v>
      </c>
      <c r="L503" s="4">
        <v>45</v>
      </c>
      <c r="S503" s="4">
        <v>1</v>
      </c>
      <c r="T503" s="4">
        <v>15</v>
      </c>
      <c r="AK503" s="4">
        <f t="shared" si="35"/>
        <v>1</v>
      </c>
      <c r="AL503" s="4">
        <f t="shared" si="36"/>
        <v>15</v>
      </c>
      <c r="AM503" s="4">
        <f t="shared" si="37"/>
        <v>5</v>
      </c>
      <c r="AN503" s="4">
        <f t="shared" si="38"/>
        <v>75</v>
      </c>
      <c r="AO503" s="4">
        <f t="shared" si="39"/>
        <v>22.5</v>
      </c>
    </row>
    <row r="504" spans="1:41" x14ac:dyDescent="0.2">
      <c r="A504" s="4" t="s">
        <v>728</v>
      </c>
      <c r="B504" s="4" t="s">
        <v>729</v>
      </c>
      <c r="C504" s="4" t="s">
        <v>129</v>
      </c>
      <c r="D504" s="4" t="s">
        <v>709</v>
      </c>
      <c r="K504" s="4">
        <v>1</v>
      </c>
      <c r="L504" s="4">
        <v>10</v>
      </c>
      <c r="O504" s="4">
        <v>1</v>
      </c>
      <c r="P504" s="4">
        <v>10</v>
      </c>
      <c r="S504" s="4">
        <v>3</v>
      </c>
      <c r="T504" s="4">
        <v>30</v>
      </c>
      <c r="AK504" s="4">
        <f t="shared" si="35"/>
        <v>0</v>
      </c>
      <c r="AL504" s="4">
        <f t="shared" si="36"/>
        <v>0</v>
      </c>
      <c r="AM504" s="4">
        <f t="shared" si="37"/>
        <v>5</v>
      </c>
      <c r="AN504" s="4">
        <f t="shared" si="38"/>
        <v>50</v>
      </c>
      <c r="AO504" s="4">
        <f t="shared" si="39"/>
        <v>16.666666666666668</v>
      </c>
    </row>
    <row r="505" spans="1:41" x14ac:dyDescent="0.2">
      <c r="A505" s="4" t="s">
        <v>730</v>
      </c>
      <c r="B505" s="4" t="s">
        <v>731</v>
      </c>
      <c r="C505" s="4" t="s">
        <v>129</v>
      </c>
      <c r="D505" s="4" t="s">
        <v>709</v>
      </c>
      <c r="G505" s="4">
        <v>2</v>
      </c>
      <c r="H505" s="4">
        <v>32</v>
      </c>
      <c r="K505" s="4">
        <v>2</v>
      </c>
      <c r="L505" s="4">
        <v>32</v>
      </c>
      <c r="AK505" s="4">
        <f t="shared" si="35"/>
        <v>0</v>
      </c>
      <c r="AL505" s="4">
        <f t="shared" si="36"/>
        <v>0</v>
      </c>
      <c r="AM505" s="4">
        <f t="shared" si="37"/>
        <v>4</v>
      </c>
      <c r="AN505" s="4">
        <f t="shared" si="38"/>
        <v>64</v>
      </c>
      <c r="AO505" s="4">
        <f t="shared" si="39"/>
        <v>32</v>
      </c>
    </row>
    <row r="506" spans="1:41" x14ac:dyDescent="0.2">
      <c r="A506" s="4" t="s">
        <v>1062</v>
      </c>
      <c r="B506" s="4" t="s">
        <v>1063</v>
      </c>
      <c r="C506" s="4" t="s">
        <v>129</v>
      </c>
      <c r="D506" s="4" t="s">
        <v>709</v>
      </c>
      <c r="G506" s="4">
        <v>2</v>
      </c>
      <c r="H506" s="4">
        <v>24</v>
      </c>
      <c r="K506" s="4">
        <v>3</v>
      </c>
      <c r="L506" s="4">
        <v>36</v>
      </c>
      <c r="O506" s="4">
        <v>1</v>
      </c>
      <c r="P506" s="4">
        <v>12</v>
      </c>
      <c r="AK506" s="4">
        <f t="shared" si="35"/>
        <v>0</v>
      </c>
      <c r="AL506" s="4">
        <f t="shared" si="36"/>
        <v>0</v>
      </c>
      <c r="AM506" s="4">
        <f t="shared" si="37"/>
        <v>6</v>
      </c>
      <c r="AN506" s="4">
        <f t="shared" si="38"/>
        <v>72</v>
      </c>
      <c r="AO506" s="4">
        <f t="shared" si="39"/>
        <v>24</v>
      </c>
    </row>
    <row r="507" spans="1:41" x14ac:dyDescent="0.2">
      <c r="A507" s="4" t="s">
        <v>1064</v>
      </c>
      <c r="B507" s="4" t="s">
        <v>1065</v>
      </c>
      <c r="C507" s="4" t="s">
        <v>129</v>
      </c>
      <c r="D507" s="4" t="s">
        <v>709</v>
      </c>
      <c r="G507" s="4">
        <v>2</v>
      </c>
      <c r="H507" s="4">
        <v>42</v>
      </c>
      <c r="K507" s="4">
        <v>1</v>
      </c>
      <c r="L507" s="4">
        <v>21</v>
      </c>
      <c r="AG507" s="4">
        <v>1</v>
      </c>
      <c r="AH507" s="4">
        <v>21</v>
      </c>
      <c r="AI507" s="4">
        <v>2</v>
      </c>
      <c r="AJ507" s="4">
        <v>42</v>
      </c>
      <c r="AK507" s="4">
        <f t="shared" si="35"/>
        <v>3</v>
      </c>
      <c r="AL507" s="4">
        <f t="shared" si="36"/>
        <v>63</v>
      </c>
      <c r="AM507" s="4">
        <f t="shared" si="37"/>
        <v>3</v>
      </c>
      <c r="AN507" s="4">
        <f t="shared" si="38"/>
        <v>63</v>
      </c>
      <c r="AO507" s="4">
        <f t="shared" si="39"/>
        <v>31.5</v>
      </c>
    </row>
    <row r="508" spans="1:41" x14ac:dyDescent="0.2">
      <c r="A508" s="4" t="s">
        <v>1066</v>
      </c>
      <c r="B508" s="4" t="s">
        <v>1067</v>
      </c>
      <c r="C508" s="4" t="s">
        <v>129</v>
      </c>
      <c r="D508" s="4" t="s">
        <v>709</v>
      </c>
      <c r="K508" s="4">
        <v>4</v>
      </c>
      <c r="L508" s="4">
        <v>56</v>
      </c>
      <c r="AK508" s="4">
        <f t="shared" si="35"/>
        <v>0</v>
      </c>
      <c r="AL508" s="4">
        <f t="shared" si="36"/>
        <v>0</v>
      </c>
      <c r="AM508" s="4">
        <f t="shared" si="37"/>
        <v>4</v>
      </c>
      <c r="AN508" s="4">
        <f t="shared" si="38"/>
        <v>56</v>
      </c>
      <c r="AO508" s="4">
        <f t="shared" si="39"/>
        <v>56</v>
      </c>
    </row>
    <row r="509" spans="1:41" x14ac:dyDescent="0.2">
      <c r="A509" s="4" t="s">
        <v>1068</v>
      </c>
      <c r="B509" s="4" t="s">
        <v>891</v>
      </c>
      <c r="C509" s="4" t="s">
        <v>129</v>
      </c>
      <c r="D509" s="4" t="s">
        <v>709</v>
      </c>
      <c r="G509" s="4">
        <v>1</v>
      </c>
      <c r="H509" s="4">
        <v>14</v>
      </c>
      <c r="K509" s="4">
        <v>1</v>
      </c>
      <c r="L509" s="4">
        <v>14</v>
      </c>
      <c r="AI509" s="4">
        <v>1</v>
      </c>
      <c r="AJ509" s="4">
        <v>14</v>
      </c>
      <c r="AK509" s="4">
        <f t="shared" si="35"/>
        <v>1</v>
      </c>
      <c r="AL509" s="4">
        <f t="shared" si="36"/>
        <v>14</v>
      </c>
      <c r="AM509" s="4">
        <f t="shared" si="37"/>
        <v>2</v>
      </c>
      <c r="AN509" s="4">
        <f t="shared" si="38"/>
        <v>28</v>
      </c>
      <c r="AO509" s="4">
        <f t="shared" si="39"/>
        <v>14</v>
      </c>
    </row>
    <row r="510" spans="1:41" x14ac:dyDescent="0.2">
      <c r="A510" s="4" t="s">
        <v>732</v>
      </c>
      <c r="B510" s="4" t="s">
        <v>733</v>
      </c>
      <c r="C510" s="4" t="s">
        <v>129</v>
      </c>
      <c r="D510" s="4" t="s">
        <v>709</v>
      </c>
      <c r="K510" s="4">
        <v>1</v>
      </c>
      <c r="L510" s="4">
        <v>27</v>
      </c>
      <c r="AG510" s="4">
        <v>2</v>
      </c>
      <c r="AH510" s="4">
        <v>54</v>
      </c>
      <c r="AK510" s="4">
        <f t="shared" si="35"/>
        <v>2</v>
      </c>
      <c r="AL510" s="4">
        <f t="shared" si="36"/>
        <v>54</v>
      </c>
      <c r="AM510" s="4">
        <f t="shared" si="37"/>
        <v>1</v>
      </c>
      <c r="AN510" s="4">
        <f t="shared" si="38"/>
        <v>27</v>
      </c>
      <c r="AO510" s="4">
        <f t="shared" si="39"/>
        <v>40.5</v>
      </c>
    </row>
    <row r="511" spans="1:41" x14ac:dyDescent="0.2">
      <c r="A511" s="4" t="s">
        <v>1069</v>
      </c>
      <c r="B511" s="4" t="s">
        <v>1070</v>
      </c>
      <c r="C511" s="4" t="s">
        <v>129</v>
      </c>
      <c r="D511" s="4" t="s">
        <v>709</v>
      </c>
      <c r="G511" s="4">
        <v>1</v>
      </c>
      <c r="H511" s="4">
        <v>11</v>
      </c>
      <c r="AC511" s="4">
        <v>1</v>
      </c>
      <c r="AD511" s="4">
        <v>11</v>
      </c>
      <c r="AI511" s="4">
        <v>4</v>
      </c>
      <c r="AJ511" s="4">
        <v>44</v>
      </c>
      <c r="AK511" s="4">
        <f t="shared" si="35"/>
        <v>5</v>
      </c>
      <c r="AL511" s="4">
        <f t="shared" si="36"/>
        <v>55</v>
      </c>
      <c r="AM511" s="4">
        <f t="shared" si="37"/>
        <v>1</v>
      </c>
      <c r="AN511" s="4">
        <f t="shared" si="38"/>
        <v>11</v>
      </c>
      <c r="AO511" s="4">
        <f t="shared" si="39"/>
        <v>22</v>
      </c>
    </row>
    <row r="512" spans="1:41" x14ac:dyDescent="0.2">
      <c r="A512" s="4" t="s">
        <v>734</v>
      </c>
      <c r="B512" s="4" t="s">
        <v>735</v>
      </c>
      <c r="C512" s="4" t="s">
        <v>129</v>
      </c>
      <c r="D512" s="4" t="s">
        <v>709</v>
      </c>
      <c r="K512" s="4">
        <v>1</v>
      </c>
      <c r="L512" s="4">
        <v>22</v>
      </c>
      <c r="AG512" s="4">
        <v>1</v>
      </c>
      <c r="AH512" s="4">
        <v>22</v>
      </c>
      <c r="AK512" s="4">
        <f t="shared" si="35"/>
        <v>1</v>
      </c>
      <c r="AL512" s="4">
        <f t="shared" si="36"/>
        <v>22</v>
      </c>
      <c r="AM512" s="4">
        <f t="shared" si="37"/>
        <v>1</v>
      </c>
      <c r="AN512" s="4">
        <f t="shared" si="38"/>
        <v>22</v>
      </c>
      <c r="AO512" s="4">
        <f t="shared" si="39"/>
        <v>22</v>
      </c>
    </row>
    <row r="513" spans="1:41" x14ac:dyDescent="0.2">
      <c r="A513" s="4" t="s">
        <v>1071</v>
      </c>
      <c r="B513" s="4" t="s">
        <v>1072</v>
      </c>
      <c r="C513" s="4" t="s">
        <v>129</v>
      </c>
      <c r="D513" s="4" t="s">
        <v>709</v>
      </c>
      <c r="G513" s="4">
        <v>1</v>
      </c>
      <c r="H513" s="4">
        <v>18</v>
      </c>
      <c r="O513" s="4">
        <v>2</v>
      </c>
      <c r="P513" s="4">
        <v>36</v>
      </c>
      <c r="S513" s="4">
        <v>1</v>
      </c>
      <c r="T513" s="4">
        <v>18</v>
      </c>
      <c r="AK513" s="4">
        <f t="shared" si="35"/>
        <v>0</v>
      </c>
      <c r="AL513" s="4">
        <f t="shared" si="36"/>
        <v>0</v>
      </c>
      <c r="AM513" s="4">
        <f t="shared" si="37"/>
        <v>4</v>
      </c>
      <c r="AN513" s="4">
        <f t="shared" si="38"/>
        <v>72</v>
      </c>
      <c r="AO513" s="4">
        <f t="shared" si="39"/>
        <v>24</v>
      </c>
    </row>
    <row r="514" spans="1:41" x14ac:dyDescent="0.2">
      <c r="A514" s="4" t="s">
        <v>736</v>
      </c>
      <c r="B514" s="4" t="s">
        <v>737</v>
      </c>
      <c r="C514" s="4" t="s">
        <v>129</v>
      </c>
      <c r="D514" s="4" t="s">
        <v>709</v>
      </c>
      <c r="G514" s="4">
        <v>2</v>
      </c>
      <c r="H514" s="4">
        <v>36</v>
      </c>
      <c r="AK514" s="4">
        <f t="shared" si="35"/>
        <v>0</v>
      </c>
      <c r="AL514" s="4">
        <f t="shared" si="36"/>
        <v>0</v>
      </c>
      <c r="AM514" s="4">
        <f t="shared" si="37"/>
        <v>2</v>
      </c>
      <c r="AN514" s="4">
        <f t="shared" si="38"/>
        <v>36</v>
      </c>
      <c r="AO514" s="4">
        <f t="shared" si="39"/>
        <v>36</v>
      </c>
    </row>
    <row r="515" spans="1:41" x14ac:dyDescent="0.2">
      <c r="A515" s="4" t="s">
        <v>738</v>
      </c>
      <c r="B515" s="4" t="s">
        <v>739</v>
      </c>
      <c r="C515" s="4" t="s">
        <v>129</v>
      </c>
      <c r="D515" s="4" t="s">
        <v>709</v>
      </c>
      <c r="K515" s="4">
        <v>1</v>
      </c>
      <c r="L515" s="4">
        <v>12</v>
      </c>
      <c r="S515" s="4">
        <v>1</v>
      </c>
      <c r="T515" s="4">
        <v>12</v>
      </c>
      <c r="AK515" s="4">
        <f t="shared" si="35"/>
        <v>0</v>
      </c>
      <c r="AL515" s="4">
        <f t="shared" si="36"/>
        <v>0</v>
      </c>
      <c r="AM515" s="4">
        <f t="shared" si="37"/>
        <v>2</v>
      </c>
      <c r="AN515" s="4">
        <f t="shared" si="38"/>
        <v>24</v>
      </c>
      <c r="AO515" s="4">
        <f t="shared" si="39"/>
        <v>12</v>
      </c>
    </row>
    <row r="516" spans="1:41" x14ac:dyDescent="0.2">
      <c r="A516" s="4" t="s">
        <v>740</v>
      </c>
      <c r="B516" s="4" t="s">
        <v>741</v>
      </c>
      <c r="C516" s="4" t="s">
        <v>129</v>
      </c>
      <c r="D516" s="4" t="s">
        <v>709</v>
      </c>
      <c r="S516" s="4">
        <v>1</v>
      </c>
      <c r="T516" s="4">
        <v>12</v>
      </c>
      <c r="AE516" s="4">
        <v>1</v>
      </c>
      <c r="AF516" s="4">
        <v>12</v>
      </c>
      <c r="AI516" s="4">
        <v>1</v>
      </c>
      <c r="AJ516" s="4">
        <v>12</v>
      </c>
      <c r="AK516" s="4">
        <f t="shared" si="35"/>
        <v>2</v>
      </c>
      <c r="AL516" s="4">
        <f t="shared" si="36"/>
        <v>24</v>
      </c>
      <c r="AM516" s="4">
        <f t="shared" si="37"/>
        <v>1</v>
      </c>
      <c r="AN516" s="4">
        <f t="shared" si="38"/>
        <v>12</v>
      </c>
      <c r="AO516" s="4">
        <f t="shared" si="39"/>
        <v>12</v>
      </c>
    </row>
    <row r="517" spans="1:41" x14ac:dyDescent="0.2">
      <c r="A517" s="4" t="s">
        <v>742</v>
      </c>
      <c r="B517" s="4" t="s">
        <v>743</v>
      </c>
      <c r="C517" s="4" t="s">
        <v>129</v>
      </c>
      <c r="D517" s="4" t="s">
        <v>709</v>
      </c>
      <c r="G517" s="4">
        <v>1</v>
      </c>
      <c r="H517" s="4">
        <v>12</v>
      </c>
      <c r="K517" s="4">
        <v>1</v>
      </c>
      <c r="L517" s="4">
        <v>12</v>
      </c>
      <c r="AE517" s="4">
        <v>1</v>
      </c>
      <c r="AF517" s="4">
        <v>12</v>
      </c>
      <c r="AG517" s="4">
        <v>1</v>
      </c>
      <c r="AH517" s="4">
        <v>12</v>
      </c>
      <c r="AK517" s="4">
        <f t="shared" ref="AK517:AK546" si="40">SUM(E517,I517,M517,Q517,U517,W517,Y517,AA517,AC517,AE517,AG517,AI517)</f>
        <v>2</v>
      </c>
      <c r="AL517" s="4">
        <f t="shared" ref="AL517:AL546" si="41">SUM(F517,J517,N517,R517,V517,X517,Z517,AB517,AD517,AF517,AH517,AJ517)</f>
        <v>24</v>
      </c>
      <c r="AM517" s="4">
        <f t="shared" ref="AM517:AM546" si="42">SUM(G517,K517,O517,S517)</f>
        <v>2</v>
      </c>
      <c r="AN517" s="4">
        <f t="shared" ref="AN517:AN546" si="43">SUM(H517,L517,P517,T517)</f>
        <v>24</v>
      </c>
      <c r="AO517" s="4">
        <f t="shared" ref="AO517:AO546" si="44">AVERAGE(F517,H517,J517,L517,N517,P517,R517,T517,V517,X517,Z517,AB517,AD517,AF517,AH517,AJ517)</f>
        <v>12</v>
      </c>
    </row>
    <row r="518" spans="1:41" x14ac:dyDescent="0.2">
      <c r="A518" s="4" t="s">
        <v>744</v>
      </c>
      <c r="B518" s="4" t="s">
        <v>745</v>
      </c>
      <c r="C518" s="4" t="s">
        <v>129</v>
      </c>
      <c r="D518" s="4" t="s">
        <v>709</v>
      </c>
      <c r="K518" s="4">
        <v>1</v>
      </c>
      <c r="L518" s="4">
        <v>12</v>
      </c>
      <c r="AE518" s="4">
        <v>1</v>
      </c>
      <c r="AF518" s="4">
        <v>12</v>
      </c>
      <c r="AI518" s="4">
        <v>1</v>
      </c>
      <c r="AJ518" s="4">
        <v>12</v>
      </c>
      <c r="AK518" s="4">
        <f t="shared" si="40"/>
        <v>2</v>
      </c>
      <c r="AL518" s="4">
        <f t="shared" si="41"/>
        <v>24</v>
      </c>
      <c r="AM518" s="4">
        <f t="shared" si="42"/>
        <v>1</v>
      </c>
      <c r="AN518" s="4">
        <f t="shared" si="43"/>
        <v>12</v>
      </c>
      <c r="AO518" s="4">
        <f t="shared" si="44"/>
        <v>12</v>
      </c>
    </row>
    <row r="519" spans="1:41" x14ac:dyDescent="0.2">
      <c r="A519" s="4" t="s">
        <v>746</v>
      </c>
      <c r="B519" s="4" t="s">
        <v>747</v>
      </c>
      <c r="C519" s="4" t="s">
        <v>129</v>
      </c>
      <c r="D519" s="4" t="s">
        <v>709</v>
      </c>
      <c r="K519" s="4">
        <v>1</v>
      </c>
      <c r="L519" s="4">
        <v>12</v>
      </c>
      <c r="AE519" s="4">
        <v>1</v>
      </c>
      <c r="AF519" s="4">
        <v>12</v>
      </c>
      <c r="AI519" s="4">
        <v>1</v>
      </c>
      <c r="AJ519" s="4">
        <v>12</v>
      </c>
      <c r="AK519" s="4">
        <f t="shared" si="40"/>
        <v>2</v>
      </c>
      <c r="AL519" s="4">
        <f t="shared" si="41"/>
        <v>24</v>
      </c>
      <c r="AM519" s="4">
        <f t="shared" si="42"/>
        <v>1</v>
      </c>
      <c r="AN519" s="4">
        <f t="shared" si="43"/>
        <v>12</v>
      </c>
      <c r="AO519" s="4">
        <f t="shared" si="44"/>
        <v>12</v>
      </c>
    </row>
    <row r="520" spans="1:41" x14ac:dyDescent="0.2">
      <c r="A520" s="4" t="s">
        <v>1073</v>
      </c>
      <c r="B520" s="4" t="s">
        <v>1074</v>
      </c>
      <c r="C520" s="4" t="s">
        <v>129</v>
      </c>
      <c r="D520" s="4" t="s">
        <v>709</v>
      </c>
      <c r="G520" s="4">
        <v>1</v>
      </c>
      <c r="H520" s="4">
        <v>10</v>
      </c>
      <c r="AC520" s="4">
        <v>1</v>
      </c>
      <c r="AD520" s="4">
        <v>10</v>
      </c>
      <c r="AG520" s="4">
        <v>1</v>
      </c>
      <c r="AH520" s="4">
        <v>10</v>
      </c>
      <c r="AI520" s="4">
        <v>3</v>
      </c>
      <c r="AJ520" s="4">
        <v>30</v>
      </c>
      <c r="AK520" s="4">
        <f t="shared" si="40"/>
        <v>5</v>
      </c>
      <c r="AL520" s="4">
        <f t="shared" si="41"/>
        <v>50</v>
      </c>
      <c r="AM520" s="4">
        <f t="shared" si="42"/>
        <v>1</v>
      </c>
      <c r="AN520" s="4">
        <f t="shared" si="43"/>
        <v>10</v>
      </c>
      <c r="AO520" s="4">
        <f t="shared" si="44"/>
        <v>15</v>
      </c>
    </row>
    <row r="521" spans="1:41" x14ac:dyDescent="0.2">
      <c r="A521" s="4" t="s">
        <v>1075</v>
      </c>
      <c r="B521" s="4" t="s">
        <v>1076</v>
      </c>
      <c r="C521" s="4" t="s">
        <v>129</v>
      </c>
      <c r="D521" s="4" t="s">
        <v>709</v>
      </c>
      <c r="S521" s="4">
        <v>1</v>
      </c>
      <c r="T521" s="4">
        <v>19</v>
      </c>
      <c r="AE521" s="4">
        <v>1</v>
      </c>
      <c r="AF521" s="4">
        <v>13</v>
      </c>
      <c r="AG521" s="4">
        <v>2</v>
      </c>
      <c r="AH521" s="4">
        <v>26</v>
      </c>
      <c r="AK521" s="4">
        <f t="shared" si="40"/>
        <v>3</v>
      </c>
      <c r="AL521" s="4">
        <f t="shared" si="41"/>
        <v>39</v>
      </c>
      <c r="AM521" s="4">
        <f t="shared" si="42"/>
        <v>1</v>
      </c>
      <c r="AN521" s="4">
        <f t="shared" si="43"/>
        <v>19</v>
      </c>
      <c r="AO521" s="4">
        <f t="shared" si="44"/>
        <v>19.333333333333332</v>
      </c>
    </row>
    <row r="522" spans="1:41" x14ac:dyDescent="0.2">
      <c r="A522" s="4" t="s">
        <v>1077</v>
      </c>
      <c r="B522" s="4" t="s">
        <v>1078</v>
      </c>
      <c r="C522" s="4" t="s">
        <v>129</v>
      </c>
      <c r="D522" s="4" t="s">
        <v>709</v>
      </c>
      <c r="G522" s="4">
        <v>1</v>
      </c>
      <c r="H522" s="4">
        <v>17</v>
      </c>
      <c r="AC522" s="4">
        <v>1</v>
      </c>
      <c r="AD522" s="4">
        <v>17</v>
      </c>
      <c r="AG522" s="4">
        <v>2</v>
      </c>
      <c r="AH522" s="4">
        <v>34</v>
      </c>
      <c r="AK522" s="4">
        <f t="shared" si="40"/>
        <v>3</v>
      </c>
      <c r="AL522" s="4">
        <f t="shared" si="41"/>
        <v>51</v>
      </c>
      <c r="AM522" s="4">
        <f t="shared" si="42"/>
        <v>1</v>
      </c>
      <c r="AN522" s="4">
        <f t="shared" si="43"/>
        <v>17</v>
      </c>
      <c r="AO522" s="4">
        <f t="shared" si="44"/>
        <v>22.666666666666668</v>
      </c>
    </row>
    <row r="523" spans="1:41" x14ac:dyDescent="0.2">
      <c r="A523" s="4" t="s">
        <v>1079</v>
      </c>
      <c r="B523" s="4" t="s">
        <v>1080</v>
      </c>
      <c r="C523" s="4" t="s">
        <v>129</v>
      </c>
      <c r="D523" s="4" t="s">
        <v>709</v>
      </c>
      <c r="K523" s="4">
        <v>3</v>
      </c>
      <c r="L523" s="4">
        <v>54</v>
      </c>
      <c r="AI523" s="4">
        <v>1</v>
      </c>
      <c r="AJ523" s="4">
        <v>18</v>
      </c>
      <c r="AK523" s="4">
        <f t="shared" si="40"/>
        <v>1</v>
      </c>
      <c r="AL523" s="4">
        <f t="shared" si="41"/>
        <v>18</v>
      </c>
      <c r="AM523" s="4">
        <f t="shared" si="42"/>
        <v>3</v>
      </c>
      <c r="AN523" s="4">
        <f t="shared" si="43"/>
        <v>54</v>
      </c>
      <c r="AO523" s="4">
        <f t="shared" si="44"/>
        <v>36</v>
      </c>
    </row>
    <row r="524" spans="1:41" x14ac:dyDescent="0.2">
      <c r="A524" s="4" t="s">
        <v>1081</v>
      </c>
      <c r="B524" s="4" t="s">
        <v>1082</v>
      </c>
      <c r="C524" s="4" t="s">
        <v>129</v>
      </c>
      <c r="D524" s="4" t="s">
        <v>709</v>
      </c>
      <c r="G524" s="4">
        <v>2</v>
      </c>
      <c r="H524" s="4">
        <v>28</v>
      </c>
      <c r="AI524" s="4">
        <v>1</v>
      </c>
      <c r="AJ524" s="4">
        <v>14</v>
      </c>
      <c r="AK524" s="4">
        <f t="shared" si="40"/>
        <v>1</v>
      </c>
      <c r="AL524" s="4">
        <f t="shared" si="41"/>
        <v>14</v>
      </c>
      <c r="AM524" s="4">
        <f t="shared" si="42"/>
        <v>2</v>
      </c>
      <c r="AN524" s="4">
        <f t="shared" si="43"/>
        <v>28</v>
      </c>
      <c r="AO524" s="4">
        <f t="shared" si="44"/>
        <v>21</v>
      </c>
    </row>
    <row r="525" spans="1:41" x14ac:dyDescent="0.2">
      <c r="A525" s="4" t="s">
        <v>1083</v>
      </c>
      <c r="B525" s="4" t="s">
        <v>1084</v>
      </c>
      <c r="C525" s="4" t="s">
        <v>129</v>
      </c>
      <c r="D525" s="4" t="s">
        <v>709</v>
      </c>
      <c r="G525" s="4">
        <v>1</v>
      </c>
      <c r="H525" s="4">
        <v>16</v>
      </c>
      <c r="K525" s="4">
        <v>1</v>
      </c>
      <c r="L525" s="4">
        <v>16</v>
      </c>
      <c r="O525" s="4">
        <v>1</v>
      </c>
      <c r="P525" s="4">
        <v>16</v>
      </c>
      <c r="S525" s="4">
        <v>3</v>
      </c>
      <c r="T525" s="4">
        <v>48</v>
      </c>
      <c r="AI525" s="4">
        <v>1</v>
      </c>
      <c r="AJ525" s="4">
        <v>16</v>
      </c>
      <c r="AK525" s="4">
        <f t="shared" si="40"/>
        <v>1</v>
      </c>
      <c r="AL525" s="4">
        <f t="shared" si="41"/>
        <v>16</v>
      </c>
      <c r="AM525" s="4">
        <f t="shared" si="42"/>
        <v>6</v>
      </c>
      <c r="AN525" s="4">
        <f t="shared" si="43"/>
        <v>96</v>
      </c>
      <c r="AO525" s="4">
        <f t="shared" si="44"/>
        <v>22.4</v>
      </c>
    </row>
    <row r="526" spans="1:41" x14ac:dyDescent="0.2">
      <c r="A526" s="4" t="s">
        <v>1085</v>
      </c>
      <c r="B526" s="4" t="s">
        <v>1086</v>
      </c>
      <c r="C526" s="4" t="s">
        <v>129</v>
      </c>
      <c r="D526" s="4" t="s">
        <v>709</v>
      </c>
      <c r="G526" s="4">
        <v>1</v>
      </c>
      <c r="H526" s="4">
        <v>9</v>
      </c>
      <c r="K526" s="4">
        <v>3</v>
      </c>
      <c r="L526" s="4">
        <v>27</v>
      </c>
      <c r="S526" s="4">
        <v>2</v>
      </c>
      <c r="T526" s="4">
        <v>18</v>
      </c>
      <c r="AI526" s="4">
        <v>1</v>
      </c>
      <c r="AJ526" s="4">
        <v>9</v>
      </c>
      <c r="AK526" s="4">
        <f t="shared" si="40"/>
        <v>1</v>
      </c>
      <c r="AL526" s="4">
        <f t="shared" si="41"/>
        <v>9</v>
      </c>
      <c r="AM526" s="4">
        <f t="shared" si="42"/>
        <v>6</v>
      </c>
      <c r="AN526" s="4">
        <f t="shared" si="43"/>
        <v>54</v>
      </c>
      <c r="AO526" s="4">
        <f t="shared" si="44"/>
        <v>15.75</v>
      </c>
    </row>
    <row r="527" spans="1:41" x14ac:dyDescent="0.2">
      <c r="A527" s="4" t="s">
        <v>1087</v>
      </c>
      <c r="B527" s="4" t="s">
        <v>1088</v>
      </c>
      <c r="C527" s="4" t="s">
        <v>129</v>
      </c>
      <c r="D527" s="4" t="s">
        <v>709</v>
      </c>
      <c r="G527" s="4">
        <v>2</v>
      </c>
      <c r="H527" s="4">
        <v>28</v>
      </c>
      <c r="K527" s="4">
        <v>3</v>
      </c>
      <c r="L527" s="4">
        <v>42</v>
      </c>
      <c r="AK527" s="4">
        <f t="shared" si="40"/>
        <v>0</v>
      </c>
      <c r="AL527" s="4">
        <f t="shared" si="41"/>
        <v>0</v>
      </c>
      <c r="AM527" s="4">
        <f t="shared" si="42"/>
        <v>5</v>
      </c>
      <c r="AN527" s="4">
        <f t="shared" si="43"/>
        <v>70</v>
      </c>
      <c r="AO527" s="4">
        <f t="shared" si="44"/>
        <v>35</v>
      </c>
    </row>
    <row r="528" spans="1:41" x14ac:dyDescent="0.2">
      <c r="A528" s="4" t="s">
        <v>1089</v>
      </c>
      <c r="B528" s="4" t="s">
        <v>1090</v>
      </c>
      <c r="C528" s="4" t="s">
        <v>129</v>
      </c>
      <c r="D528" s="4" t="s">
        <v>709</v>
      </c>
      <c r="G528" s="4">
        <v>2</v>
      </c>
      <c r="H528" s="4">
        <v>36</v>
      </c>
      <c r="AE528" s="4">
        <v>1</v>
      </c>
      <c r="AF528" s="4">
        <v>18</v>
      </c>
      <c r="AI528" s="4">
        <v>1</v>
      </c>
      <c r="AJ528" s="4">
        <v>18</v>
      </c>
      <c r="AK528" s="4">
        <f t="shared" si="40"/>
        <v>2</v>
      </c>
      <c r="AL528" s="4">
        <f t="shared" si="41"/>
        <v>36</v>
      </c>
      <c r="AM528" s="4">
        <f t="shared" si="42"/>
        <v>2</v>
      </c>
      <c r="AN528" s="4">
        <f t="shared" si="43"/>
        <v>36</v>
      </c>
      <c r="AO528" s="4">
        <f t="shared" si="44"/>
        <v>24</v>
      </c>
    </row>
    <row r="529" spans="1:41" x14ac:dyDescent="0.2">
      <c r="A529" s="4" t="s">
        <v>1091</v>
      </c>
      <c r="B529" s="4" t="s">
        <v>1092</v>
      </c>
      <c r="C529" s="4" t="s">
        <v>129</v>
      </c>
      <c r="D529" s="4" t="s">
        <v>709</v>
      </c>
      <c r="G529" s="4">
        <v>1</v>
      </c>
      <c r="H529" s="4">
        <v>9</v>
      </c>
      <c r="K529" s="4">
        <v>1</v>
      </c>
      <c r="L529" s="4">
        <v>9</v>
      </c>
      <c r="O529" s="4">
        <v>1</v>
      </c>
      <c r="P529" s="4">
        <v>9</v>
      </c>
      <c r="S529" s="4">
        <v>1</v>
      </c>
      <c r="T529" s="4">
        <v>9</v>
      </c>
      <c r="AC529" s="4">
        <v>1</v>
      </c>
      <c r="AD529" s="4">
        <v>9</v>
      </c>
      <c r="AI529" s="4">
        <v>1</v>
      </c>
      <c r="AJ529" s="4">
        <v>9</v>
      </c>
      <c r="AK529" s="4">
        <f t="shared" si="40"/>
        <v>2</v>
      </c>
      <c r="AL529" s="4">
        <f t="shared" si="41"/>
        <v>18</v>
      </c>
      <c r="AM529" s="4">
        <f t="shared" si="42"/>
        <v>4</v>
      </c>
      <c r="AN529" s="4">
        <f t="shared" si="43"/>
        <v>36</v>
      </c>
      <c r="AO529" s="4">
        <f t="shared" si="44"/>
        <v>9</v>
      </c>
    </row>
    <row r="530" spans="1:41" x14ac:dyDescent="0.2">
      <c r="A530" s="4" t="s">
        <v>748</v>
      </c>
      <c r="B530" s="4" t="s">
        <v>749</v>
      </c>
      <c r="C530" s="4" t="s">
        <v>129</v>
      </c>
      <c r="D530" s="4" t="s">
        <v>709</v>
      </c>
      <c r="K530" s="4">
        <v>1</v>
      </c>
      <c r="L530" s="4">
        <v>21</v>
      </c>
      <c r="O530" s="4">
        <v>1</v>
      </c>
      <c r="P530" s="4">
        <v>21</v>
      </c>
      <c r="AK530" s="4">
        <f t="shared" si="40"/>
        <v>0</v>
      </c>
      <c r="AL530" s="4">
        <f t="shared" si="41"/>
        <v>0</v>
      </c>
      <c r="AM530" s="4">
        <f t="shared" si="42"/>
        <v>2</v>
      </c>
      <c r="AN530" s="4">
        <f t="shared" si="43"/>
        <v>42</v>
      </c>
      <c r="AO530" s="4">
        <f t="shared" si="44"/>
        <v>21</v>
      </c>
    </row>
    <row r="531" spans="1:41" x14ac:dyDescent="0.2">
      <c r="A531" s="4" t="s">
        <v>1093</v>
      </c>
      <c r="B531" s="4" t="s">
        <v>1094</v>
      </c>
      <c r="C531" s="4" t="s">
        <v>129</v>
      </c>
      <c r="D531" s="4" t="s">
        <v>709</v>
      </c>
      <c r="K531" s="4">
        <v>2</v>
      </c>
      <c r="L531" s="4">
        <v>32</v>
      </c>
      <c r="AE531" s="4">
        <v>1</v>
      </c>
      <c r="AF531" s="4">
        <v>16</v>
      </c>
      <c r="AI531" s="4">
        <v>1</v>
      </c>
      <c r="AJ531" s="4">
        <v>16</v>
      </c>
      <c r="AK531" s="4">
        <f t="shared" si="40"/>
        <v>2</v>
      </c>
      <c r="AL531" s="4">
        <f t="shared" si="41"/>
        <v>32</v>
      </c>
      <c r="AM531" s="4">
        <f t="shared" si="42"/>
        <v>2</v>
      </c>
      <c r="AN531" s="4">
        <f t="shared" si="43"/>
        <v>32</v>
      </c>
      <c r="AO531" s="4">
        <f t="shared" si="44"/>
        <v>21.333333333333332</v>
      </c>
    </row>
    <row r="532" spans="1:41" x14ac:dyDescent="0.2">
      <c r="A532" s="4" t="s">
        <v>1095</v>
      </c>
      <c r="B532" s="4" t="s">
        <v>1096</v>
      </c>
      <c r="C532" s="4" t="s">
        <v>129</v>
      </c>
      <c r="D532" s="4" t="s">
        <v>709</v>
      </c>
      <c r="K532" s="4">
        <v>4</v>
      </c>
      <c r="L532" s="4">
        <v>72</v>
      </c>
      <c r="O532" s="4">
        <v>1</v>
      </c>
      <c r="P532" s="4">
        <v>18</v>
      </c>
      <c r="AG532" s="4">
        <v>1</v>
      </c>
      <c r="AH532" s="4">
        <v>18</v>
      </c>
      <c r="AK532" s="4">
        <f t="shared" si="40"/>
        <v>1</v>
      </c>
      <c r="AL532" s="4">
        <f t="shared" si="41"/>
        <v>18</v>
      </c>
      <c r="AM532" s="4">
        <f t="shared" si="42"/>
        <v>5</v>
      </c>
      <c r="AN532" s="4">
        <f t="shared" si="43"/>
        <v>90</v>
      </c>
      <c r="AO532" s="4">
        <f t="shared" si="44"/>
        <v>36</v>
      </c>
    </row>
    <row r="533" spans="1:41" x14ac:dyDescent="0.2">
      <c r="A533" s="4" t="s">
        <v>1717</v>
      </c>
      <c r="B533" s="4" t="s">
        <v>1718</v>
      </c>
      <c r="C533" s="4" t="s">
        <v>129</v>
      </c>
      <c r="D533" s="4" t="s">
        <v>709</v>
      </c>
      <c r="AE533" s="4">
        <v>2</v>
      </c>
      <c r="AF533" s="4">
        <v>26</v>
      </c>
      <c r="AG533" s="4">
        <v>1</v>
      </c>
      <c r="AH533" s="4">
        <v>13</v>
      </c>
      <c r="AI533" s="4">
        <v>1</v>
      </c>
      <c r="AJ533" s="4">
        <v>13</v>
      </c>
      <c r="AK533" s="4">
        <f t="shared" si="40"/>
        <v>4</v>
      </c>
      <c r="AL533" s="4">
        <f t="shared" si="41"/>
        <v>52</v>
      </c>
      <c r="AM533" s="4">
        <f t="shared" si="42"/>
        <v>0</v>
      </c>
      <c r="AN533" s="4">
        <f t="shared" si="43"/>
        <v>0</v>
      </c>
      <c r="AO533" s="4">
        <f t="shared" si="44"/>
        <v>17.333333333333332</v>
      </c>
    </row>
    <row r="534" spans="1:41" x14ac:dyDescent="0.2">
      <c r="A534" s="4" t="s">
        <v>1719</v>
      </c>
      <c r="B534" s="4" t="s">
        <v>1720</v>
      </c>
      <c r="C534" s="4" t="s">
        <v>129</v>
      </c>
      <c r="D534" s="4" t="s">
        <v>709</v>
      </c>
      <c r="AE534" s="4">
        <v>1</v>
      </c>
      <c r="AF534" s="4">
        <v>14</v>
      </c>
      <c r="AG534" s="4">
        <v>2</v>
      </c>
      <c r="AH534" s="4">
        <v>28</v>
      </c>
      <c r="AK534" s="4">
        <f t="shared" si="40"/>
        <v>3</v>
      </c>
      <c r="AL534" s="4">
        <f t="shared" si="41"/>
        <v>42</v>
      </c>
      <c r="AM534" s="4">
        <f t="shared" si="42"/>
        <v>0</v>
      </c>
      <c r="AN534" s="4">
        <f t="shared" si="43"/>
        <v>0</v>
      </c>
      <c r="AO534" s="4">
        <f t="shared" si="44"/>
        <v>21</v>
      </c>
    </row>
    <row r="535" spans="1:41" x14ac:dyDescent="0.2">
      <c r="A535" s="4" t="s">
        <v>1097</v>
      </c>
      <c r="B535" s="4" t="s">
        <v>1098</v>
      </c>
      <c r="C535" s="4" t="s">
        <v>129</v>
      </c>
      <c r="D535" s="4" t="s">
        <v>709</v>
      </c>
      <c r="G535" s="4">
        <v>1</v>
      </c>
      <c r="H535" s="4">
        <v>14</v>
      </c>
      <c r="AC535" s="4">
        <v>1</v>
      </c>
      <c r="AD535" s="4">
        <v>14</v>
      </c>
      <c r="AE535" s="4">
        <v>1</v>
      </c>
      <c r="AF535" s="4">
        <v>14</v>
      </c>
      <c r="AK535" s="4">
        <f t="shared" si="40"/>
        <v>2</v>
      </c>
      <c r="AL535" s="4">
        <f t="shared" si="41"/>
        <v>28</v>
      </c>
      <c r="AM535" s="4">
        <f t="shared" si="42"/>
        <v>1</v>
      </c>
      <c r="AN535" s="4">
        <f t="shared" si="43"/>
        <v>14</v>
      </c>
      <c r="AO535" s="4">
        <f t="shared" si="44"/>
        <v>14</v>
      </c>
    </row>
    <row r="536" spans="1:41" x14ac:dyDescent="0.2">
      <c r="A536" s="4" t="s">
        <v>1099</v>
      </c>
      <c r="B536" s="4" t="s">
        <v>1100</v>
      </c>
      <c r="C536" s="4" t="s">
        <v>129</v>
      </c>
      <c r="D536" s="4" t="s">
        <v>709</v>
      </c>
      <c r="G536" s="4">
        <v>1</v>
      </c>
      <c r="H536" s="4">
        <v>15</v>
      </c>
      <c r="K536" s="4">
        <v>2</v>
      </c>
      <c r="L536" s="4">
        <v>30</v>
      </c>
      <c r="AI536" s="4">
        <v>1</v>
      </c>
      <c r="AJ536" s="4">
        <v>15</v>
      </c>
      <c r="AK536" s="4">
        <f t="shared" si="40"/>
        <v>1</v>
      </c>
      <c r="AL536" s="4">
        <f t="shared" si="41"/>
        <v>15</v>
      </c>
      <c r="AM536" s="4">
        <f t="shared" si="42"/>
        <v>3</v>
      </c>
      <c r="AN536" s="4">
        <f t="shared" si="43"/>
        <v>45</v>
      </c>
      <c r="AO536" s="4">
        <f t="shared" si="44"/>
        <v>20</v>
      </c>
    </row>
    <row r="537" spans="1:41" x14ac:dyDescent="0.2">
      <c r="A537" s="4" t="s">
        <v>750</v>
      </c>
      <c r="B537" s="4" t="s">
        <v>751</v>
      </c>
      <c r="C537" s="4" t="s">
        <v>129</v>
      </c>
      <c r="D537" s="4" t="s">
        <v>709</v>
      </c>
      <c r="O537" s="4">
        <v>2</v>
      </c>
      <c r="P537" s="4">
        <v>52</v>
      </c>
      <c r="AI537" s="4">
        <v>2</v>
      </c>
      <c r="AJ537" s="4">
        <v>52</v>
      </c>
      <c r="AK537" s="4">
        <f t="shared" si="40"/>
        <v>2</v>
      </c>
      <c r="AL537" s="4">
        <f t="shared" si="41"/>
        <v>52</v>
      </c>
      <c r="AM537" s="4">
        <f t="shared" si="42"/>
        <v>2</v>
      </c>
      <c r="AN537" s="4">
        <f t="shared" si="43"/>
        <v>52</v>
      </c>
      <c r="AO537" s="4">
        <f t="shared" si="44"/>
        <v>52</v>
      </c>
    </row>
    <row r="538" spans="1:41" x14ac:dyDescent="0.2">
      <c r="A538" s="4" t="s">
        <v>872</v>
      </c>
      <c r="B538" s="4" t="s">
        <v>873</v>
      </c>
      <c r="C538" s="4" t="s">
        <v>129</v>
      </c>
      <c r="D538" s="4" t="s">
        <v>709</v>
      </c>
      <c r="G538" s="4">
        <v>2</v>
      </c>
      <c r="H538" s="4">
        <v>16</v>
      </c>
      <c r="K538" s="4">
        <v>4</v>
      </c>
      <c r="L538" s="4">
        <v>32</v>
      </c>
      <c r="AK538" s="4">
        <f t="shared" si="40"/>
        <v>0</v>
      </c>
      <c r="AL538" s="4">
        <f t="shared" si="41"/>
        <v>0</v>
      </c>
      <c r="AM538" s="4">
        <f t="shared" si="42"/>
        <v>6</v>
      </c>
      <c r="AN538" s="4">
        <f t="shared" si="43"/>
        <v>48</v>
      </c>
      <c r="AO538" s="4">
        <f t="shared" si="44"/>
        <v>24</v>
      </c>
    </row>
    <row r="539" spans="1:41" x14ac:dyDescent="0.2">
      <c r="A539" s="4" t="s">
        <v>874</v>
      </c>
      <c r="B539" s="4" t="s">
        <v>875</v>
      </c>
      <c r="C539" s="4" t="s">
        <v>129</v>
      </c>
      <c r="D539" s="4" t="s">
        <v>709</v>
      </c>
      <c r="G539" s="4">
        <v>2</v>
      </c>
      <c r="H539" s="4">
        <v>33</v>
      </c>
      <c r="K539" s="4">
        <v>1</v>
      </c>
      <c r="L539" s="4">
        <v>13</v>
      </c>
      <c r="O539" s="4">
        <v>2</v>
      </c>
      <c r="P539" s="4">
        <v>26</v>
      </c>
      <c r="S539" s="4">
        <v>1</v>
      </c>
      <c r="T539" s="4">
        <v>13</v>
      </c>
      <c r="AK539" s="4">
        <f t="shared" si="40"/>
        <v>0</v>
      </c>
      <c r="AL539" s="4">
        <f t="shared" si="41"/>
        <v>0</v>
      </c>
      <c r="AM539" s="4">
        <f t="shared" si="42"/>
        <v>6</v>
      </c>
      <c r="AN539" s="4">
        <f t="shared" si="43"/>
        <v>85</v>
      </c>
      <c r="AO539" s="4">
        <f t="shared" si="44"/>
        <v>21.25</v>
      </c>
    </row>
    <row r="540" spans="1:41" x14ac:dyDescent="0.2">
      <c r="A540" s="4" t="s">
        <v>752</v>
      </c>
      <c r="B540" s="4" t="s">
        <v>753</v>
      </c>
      <c r="C540" s="4" t="s">
        <v>129</v>
      </c>
      <c r="D540" s="4" t="s">
        <v>709</v>
      </c>
      <c r="G540" s="4">
        <v>1</v>
      </c>
      <c r="H540" s="4">
        <v>16</v>
      </c>
      <c r="K540" s="4">
        <v>1</v>
      </c>
      <c r="L540" s="4">
        <v>16</v>
      </c>
      <c r="AG540" s="4">
        <v>2</v>
      </c>
      <c r="AH540" s="4">
        <v>32</v>
      </c>
      <c r="AK540" s="4">
        <f t="shared" si="40"/>
        <v>2</v>
      </c>
      <c r="AL540" s="4">
        <f t="shared" si="41"/>
        <v>32</v>
      </c>
      <c r="AM540" s="4">
        <f t="shared" si="42"/>
        <v>2</v>
      </c>
      <c r="AN540" s="4">
        <f t="shared" si="43"/>
        <v>32</v>
      </c>
      <c r="AO540" s="4">
        <f t="shared" si="44"/>
        <v>21.333333333333332</v>
      </c>
    </row>
    <row r="541" spans="1:41" x14ac:dyDescent="0.2">
      <c r="A541" s="4" t="s">
        <v>754</v>
      </c>
      <c r="B541" s="4" t="s">
        <v>755</v>
      </c>
      <c r="C541" s="4" t="s">
        <v>129</v>
      </c>
      <c r="D541" s="4" t="s">
        <v>709</v>
      </c>
      <c r="G541" s="4">
        <v>1</v>
      </c>
      <c r="H541" s="4">
        <v>37</v>
      </c>
      <c r="K541" s="4">
        <v>1</v>
      </c>
      <c r="L541" s="4">
        <v>37</v>
      </c>
      <c r="S541" s="4">
        <v>1</v>
      </c>
      <c r="T541" s="4">
        <v>23</v>
      </c>
      <c r="AK541" s="4">
        <f t="shared" si="40"/>
        <v>0</v>
      </c>
      <c r="AL541" s="4">
        <f t="shared" si="41"/>
        <v>0</v>
      </c>
      <c r="AM541" s="4">
        <f t="shared" si="42"/>
        <v>3</v>
      </c>
      <c r="AN541" s="4">
        <f t="shared" si="43"/>
        <v>97</v>
      </c>
      <c r="AO541" s="4">
        <f t="shared" si="44"/>
        <v>32.333333333333336</v>
      </c>
    </row>
    <row r="542" spans="1:41" x14ac:dyDescent="0.2">
      <c r="A542" s="4" t="s">
        <v>876</v>
      </c>
      <c r="B542" s="4" t="s">
        <v>877</v>
      </c>
      <c r="C542" s="4" t="s">
        <v>129</v>
      </c>
      <c r="D542" s="4" t="s">
        <v>709</v>
      </c>
      <c r="G542" s="4">
        <v>2</v>
      </c>
      <c r="H542" s="4">
        <v>30</v>
      </c>
      <c r="K542" s="4">
        <v>4</v>
      </c>
      <c r="L542" s="4">
        <v>60</v>
      </c>
      <c r="AK542" s="4">
        <f t="shared" si="40"/>
        <v>0</v>
      </c>
      <c r="AL542" s="4">
        <f t="shared" si="41"/>
        <v>0</v>
      </c>
      <c r="AM542" s="4">
        <f t="shared" si="42"/>
        <v>6</v>
      </c>
      <c r="AN542" s="4">
        <f t="shared" si="43"/>
        <v>90</v>
      </c>
      <c r="AO542" s="4">
        <f t="shared" si="44"/>
        <v>45</v>
      </c>
    </row>
    <row r="543" spans="1:41" x14ac:dyDescent="0.2">
      <c r="A543" s="4" t="s">
        <v>878</v>
      </c>
      <c r="B543" s="4" t="s">
        <v>879</v>
      </c>
      <c r="C543" s="4" t="s">
        <v>129</v>
      </c>
      <c r="D543" s="4" t="s">
        <v>709</v>
      </c>
      <c r="G543" s="4">
        <v>5</v>
      </c>
      <c r="H543" s="4">
        <v>40</v>
      </c>
      <c r="K543" s="4">
        <v>1</v>
      </c>
      <c r="L543" s="4">
        <v>8</v>
      </c>
      <c r="AK543" s="4">
        <f t="shared" si="40"/>
        <v>0</v>
      </c>
      <c r="AL543" s="4">
        <f t="shared" si="41"/>
        <v>0</v>
      </c>
      <c r="AM543" s="4">
        <f t="shared" si="42"/>
        <v>6</v>
      </c>
      <c r="AN543" s="4">
        <f t="shared" si="43"/>
        <v>48</v>
      </c>
      <c r="AO543" s="4">
        <f t="shared" si="44"/>
        <v>24</v>
      </c>
    </row>
    <row r="544" spans="1:41" x14ac:dyDescent="0.2">
      <c r="A544" s="4" t="s">
        <v>541</v>
      </c>
      <c r="B544" s="4" t="s">
        <v>542</v>
      </c>
      <c r="C544" s="4" t="s">
        <v>129</v>
      </c>
      <c r="D544" s="4" t="s">
        <v>315</v>
      </c>
      <c r="S544" s="4">
        <v>2</v>
      </c>
      <c r="T544" s="4">
        <v>38</v>
      </c>
      <c r="AK544" s="4">
        <f t="shared" si="40"/>
        <v>0</v>
      </c>
      <c r="AL544" s="4">
        <f t="shared" si="41"/>
        <v>0</v>
      </c>
      <c r="AM544" s="4">
        <f t="shared" si="42"/>
        <v>2</v>
      </c>
      <c r="AN544" s="4">
        <f t="shared" si="43"/>
        <v>38</v>
      </c>
      <c r="AO544" s="4">
        <f t="shared" si="44"/>
        <v>38</v>
      </c>
    </row>
    <row r="545" spans="1:41" x14ac:dyDescent="0.2">
      <c r="A545" s="4" t="s">
        <v>559</v>
      </c>
      <c r="B545" s="4" t="s">
        <v>560</v>
      </c>
      <c r="C545" s="4" t="s">
        <v>129</v>
      </c>
      <c r="D545" s="4" t="s">
        <v>315</v>
      </c>
      <c r="S545" s="4">
        <v>1</v>
      </c>
      <c r="T545" s="4">
        <v>13</v>
      </c>
      <c r="AK545" s="4">
        <f t="shared" si="40"/>
        <v>0</v>
      </c>
      <c r="AL545" s="4">
        <f t="shared" si="41"/>
        <v>0</v>
      </c>
      <c r="AM545" s="4">
        <f t="shared" si="42"/>
        <v>1</v>
      </c>
      <c r="AN545" s="4">
        <f t="shared" si="43"/>
        <v>13</v>
      </c>
      <c r="AO545" s="4">
        <f t="shared" si="44"/>
        <v>13</v>
      </c>
    </row>
    <row r="546" spans="1:41" x14ac:dyDescent="0.2">
      <c r="A546" s="4" t="s">
        <v>575</v>
      </c>
      <c r="B546" s="4" t="s">
        <v>576</v>
      </c>
      <c r="C546" s="4" t="s">
        <v>129</v>
      </c>
      <c r="D546" s="4" t="s">
        <v>315</v>
      </c>
      <c r="S546" s="4">
        <v>1</v>
      </c>
      <c r="T546" s="4">
        <v>25</v>
      </c>
      <c r="AK546" s="4">
        <f t="shared" si="40"/>
        <v>0</v>
      </c>
      <c r="AL546" s="4">
        <f t="shared" si="41"/>
        <v>0</v>
      </c>
      <c r="AM546" s="4">
        <f t="shared" si="42"/>
        <v>1</v>
      </c>
      <c r="AN546" s="4">
        <f t="shared" si="43"/>
        <v>25</v>
      </c>
      <c r="AO546" s="4">
        <f t="shared" si="44"/>
        <v>25</v>
      </c>
    </row>
    <row r="547" spans="1:41" x14ac:dyDescent="0.2">
      <c r="AK547" s="6">
        <f>SUM(AK4:AK546)</f>
        <v>1509</v>
      </c>
      <c r="AL547" s="6">
        <f t="shared" ref="AL547:AO547" si="45">SUM(AL4:AL546)</f>
        <v>24988.000000000004</v>
      </c>
      <c r="AM547" s="6">
        <f t="shared" si="45"/>
        <v>490</v>
      </c>
      <c r="AN547" s="6">
        <f t="shared" si="45"/>
        <v>7954.3</v>
      </c>
      <c r="AO547" s="6">
        <f t="shared" si="45"/>
        <v>13315.488888888891</v>
      </c>
    </row>
  </sheetData>
  <mergeCells count="30">
    <mergeCell ref="E1:H1"/>
    <mergeCell ref="I1:L1"/>
    <mergeCell ref="M1:P1"/>
    <mergeCell ref="Q1:T1"/>
    <mergeCell ref="U1:V1"/>
    <mergeCell ref="AI1:AJ1"/>
    <mergeCell ref="AK2:AL2"/>
    <mergeCell ref="AM2:AN2"/>
    <mergeCell ref="E2:F2"/>
    <mergeCell ref="G2:H2"/>
    <mergeCell ref="I2:J2"/>
    <mergeCell ref="K2:L2"/>
    <mergeCell ref="M2:N2"/>
    <mergeCell ref="O2:P2"/>
    <mergeCell ref="Q2:R2"/>
    <mergeCell ref="W1:X1"/>
    <mergeCell ref="Y1:Z1"/>
    <mergeCell ref="AA1:AB1"/>
    <mergeCell ref="AC1:AD1"/>
    <mergeCell ref="AE1:AF1"/>
    <mergeCell ref="AG1:AH1"/>
    <mergeCell ref="AE2:AF2"/>
    <mergeCell ref="AG2:AH2"/>
    <mergeCell ref="AI2:AJ2"/>
    <mergeCell ref="S2:T2"/>
    <mergeCell ref="U2:V2"/>
    <mergeCell ref="W2:X2"/>
    <mergeCell ref="Y2:Z2"/>
    <mergeCell ref="AA2:AB2"/>
    <mergeCell ref="AC2:A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24"/>
  <sheetViews>
    <sheetView workbookViewId="0">
      <selection sqref="A1:XFD1048576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102</v>
      </c>
      <c r="E2" t="s">
        <v>11</v>
      </c>
      <c r="F2" t="s">
        <v>10</v>
      </c>
      <c r="G2" t="s">
        <v>12</v>
      </c>
      <c r="H2">
        <v>10</v>
      </c>
    </row>
    <row r="3" spans="1:8" x14ac:dyDescent="0.25">
      <c r="A3" t="s">
        <v>13</v>
      </c>
      <c r="B3" t="s">
        <v>9</v>
      </c>
      <c r="C3" t="s">
        <v>10</v>
      </c>
      <c r="D3">
        <v>102</v>
      </c>
      <c r="E3" t="s">
        <v>11</v>
      </c>
      <c r="F3" t="s">
        <v>10</v>
      </c>
      <c r="G3" t="s">
        <v>12</v>
      </c>
      <c r="H3">
        <v>11</v>
      </c>
    </row>
    <row r="4" spans="1:8" x14ac:dyDescent="0.25">
      <c r="A4" t="s">
        <v>8</v>
      </c>
      <c r="B4" t="s">
        <v>14</v>
      </c>
      <c r="C4" t="s">
        <v>15</v>
      </c>
      <c r="D4">
        <v>102</v>
      </c>
      <c r="E4" t="s">
        <v>11</v>
      </c>
      <c r="F4" t="s">
        <v>15</v>
      </c>
      <c r="G4" t="s">
        <v>12</v>
      </c>
      <c r="H4">
        <v>5</v>
      </c>
    </row>
    <row r="5" spans="1:8" x14ac:dyDescent="0.25">
      <c r="A5" t="s">
        <v>13</v>
      </c>
      <c r="B5" t="s">
        <v>14</v>
      </c>
      <c r="C5" t="s">
        <v>15</v>
      </c>
      <c r="D5">
        <v>102</v>
      </c>
      <c r="E5" t="s">
        <v>11</v>
      </c>
      <c r="F5" t="s">
        <v>15</v>
      </c>
      <c r="G5" t="s">
        <v>12</v>
      </c>
      <c r="H5">
        <v>4</v>
      </c>
    </row>
    <row r="6" spans="1:8" x14ac:dyDescent="0.25">
      <c r="A6" t="s">
        <v>13</v>
      </c>
      <c r="B6" t="s">
        <v>16</v>
      </c>
      <c r="C6" t="s">
        <v>17</v>
      </c>
      <c r="D6">
        <v>102</v>
      </c>
      <c r="E6" t="s">
        <v>11</v>
      </c>
      <c r="F6" t="s">
        <v>18</v>
      </c>
      <c r="G6" t="s">
        <v>12</v>
      </c>
      <c r="H6">
        <v>1</v>
      </c>
    </row>
    <row r="7" spans="1:8" x14ac:dyDescent="0.25">
      <c r="A7" t="s">
        <v>8</v>
      </c>
      <c r="B7" t="s">
        <v>19</v>
      </c>
      <c r="C7" t="s">
        <v>20</v>
      </c>
      <c r="D7">
        <v>102</v>
      </c>
      <c r="E7" t="s">
        <v>11</v>
      </c>
      <c r="F7" t="s">
        <v>18</v>
      </c>
      <c r="G7" t="s">
        <v>12</v>
      </c>
      <c r="H7">
        <v>2</v>
      </c>
    </row>
    <row r="8" spans="1:8" x14ac:dyDescent="0.25">
      <c r="A8" t="s">
        <v>8</v>
      </c>
      <c r="B8" t="s">
        <v>21</v>
      </c>
      <c r="C8" t="s">
        <v>22</v>
      </c>
      <c r="D8">
        <v>102</v>
      </c>
      <c r="E8" t="s">
        <v>11</v>
      </c>
      <c r="F8" t="s">
        <v>23</v>
      </c>
      <c r="G8" t="s">
        <v>24</v>
      </c>
      <c r="H8">
        <v>1</v>
      </c>
    </row>
    <row r="9" spans="1:8" x14ac:dyDescent="0.25">
      <c r="A9" t="s">
        <v>13</v>
      </c>
      <c r="B9" t="s">
        <v>21</v>
      </c>
      <c r="C9" t="s">
        <v>22</v>
      </c>
      <c r="D9">
        <v>102</v>
      </c>
      <c r="E9" t="s">
        <v>11</v>
      </c>
      <c r="F9" t="s">
        <v>23</v>
      </c>
      <c r="G9" t="s">
        <v>24</v>
      </c>
      <c r="H9">
        <v>1</v>
      </c>
    </row>
    <row r="10" spans="1:8" x14ac:dyDescent="0.25">
      <c r="A10" t="s">
        <v>8</v>
      </c>
      <c r="B10" t="s">
        <v>25</v>
      </c>
      <c r="C10" t="s">
        <v>26</v>
      </c>
      <c r="D10">
        <v>102</v>
      </c>
      <c r="E10" t="s">
        <v>11</v>
      </c>
      <c r="F10" t="s">
        <v>18</v>
      </c>
      <c r="G10" t="s">
        <v>12</v>
      </c>
      <c r="H10">
        <v>3</v>
      </c>
    </row>
    <row r="11" spans="1:8" x14ac:dyDescent="0.25">
      <c r="A11" t="s">
        <v>13</v>
      </c>
      <c r="B11" t="s">
        <v>25</v>
      </c>
      <c r="C11" t="s">
        <v>26</v>
      </c>
      <c r="D11">
        <v>102</v>
      </c>
      <c r="E11" t="s">
        <v>11</v>
      </c>
      <c r="F11" t="s">
        <v>18</v>
      </c>
      <c r="G11" t="s">
        <v>12</v>
      </c>
      <c r="H11">
        <v>2</v>
      </c>
    </row>
    <row r="12" spans="1:8" x14ac:dyDescent="0.25">
      <c r="A12" t="s">
        <v>8</v>
      </c>
      <c r="B12" t="s">
        <v>27</v>
      </c>
      <c r="C12" t="s">
        <v>28</v>
      </c>
      <c r="D12">
        <v>102</v>
      </c>
      <c r="E12" t="s">
        <v>11</v>
      </c>
      <c r="F12" t="s">
        <v>18</v>
      </c>
      <c r="G12" t="s">
        <v>12</v>
      </c>
      <c r="H12">
        <v>9</v>
      </c>
    </row>
    <row r="13" spans="1:8" x14ac:dyDescent="0.25">
      <c r="A13" t="s">
        <v>13</v>
      </c>
      <c r="B13" t="s">
        <v>27</v>
      </c>
      <c r="C13" t="s">
        <v>28</v>
      </c>
      <c r="D13">
        <v>102</v>
      </c>
      <c r="E13" t="s">
        <v>11</v>
      </c>
      <c r="F13" t="s">
        <v>18</v>
      </c>
      <c r="G13" t="s">
        <v>12</v>
      </c>
      <c r="H13">
        <v>5</v>
      </c>
    </row>
    <row r="14" spans="1:8" x14ac:dyDescent="0.25">
      <c r="A14" t="s">
        <v>8</v>
      </c>
      <c r="B14" t="s">
        <v>29</v>
      </c>
      <c r="C14" t="s">
        <v>30</v>
      </c>
      <c r="D14">
        <v>102</v>
      </c>
      <c r="E14" t="s">
        <v>11</v>
      </c>
      <c r="F14" t="s">
        <v>18</v>
      </c>
      <c r="G14" t="s">
        <v>12</v>
      </c>
      <c r="H14">
        <v>5</v>
      </c>
    </row>
    <row r="15" spans="1:8" x14ac:dyDescent="0.25">
      <c r="A15" t="s">
        <v>13</v>
      </c>
      <c r="B15" t="s">
        <v>29</v>
      </c>
      <c r="C15" t="s">
        <v>30</v>
      </c>
      <c r="D15">
        <v>102</v>
      </c>
      <c r="E15" t="s">
        <v>11</v>
      </c>
      <c r="F15" t="s">
        <v>18</v>
      </c>
      <c r="G15" t="s">
        <v>12</v>
      </c>
      <c r="H15">
        <v>6</v>
      </c>
    </row>
    <row r="16" spans="1:8" x14ac:dyDescent="0.25">
      <c r="A16" t="s">
        <v>8</v>
      </c>
      <c r="B16" t="s">
        <v>31</v>
      </c>
      <c r="C16" t="s">
        <v>32</v>
      </c>
      <c r="D16">
        <v>102</v>
      </c>
      <c r="E16" t="s">
        <v>11</v>
      </c>
      <c r="F16" t="s">
        <v>18</v>
      </c>
      <c r="G16" t="s">
        <v>12</v>
      </c>
      <c r="H16">
        <v>7</v>
      </c>
    </row>
    <row r="17" spans="1:8" x14ac:dyDescent="0.25">
      <c r="A17" t="s">
        <v>8</v>
      </c>
      <c r="B17" t="s">
        <v>33</v>
      </c>
      <c r="C17" t="s">
        <v>34</v>
      </c>
      <c r="D17">
        <v>102</v>
      </c>
      <c r="E17" t="s">
        <v>11</v>
      </c>
      <c r="F17" t="s">
        <v>23</v>
      </c>
      <c r="G17" t="s">
        <v>35</v>
      </c>
      <c r="H17">
        <v>2</v>
      </c>
    </row>
    <row r="18" spans="1:8" x14ac:dyDescent="0.25">
      <c r="A18" t="s">
        <v>13</v>
      </c>
      <c r="B18" t="s">
        <v>33</v>
      </c>
      <c r="C18" t="s">
        <v>34</v>
      </c>
      <c r="D18">
        <v>102</v>
      </c>
      <c r="E18" t="s">
        <v>11</v>
      </c>
      <c r="F18" t="s">
        <v>23</v>
      </c>
      <c r="G18" t="s">
        <v>35</v>
      </c>
      <c r="H18">
        <v>5</v>
      </c>
    </row>
    <row r="19" spans="1:8" x14ac:dyDescent="0.25">
      <c r="A19" t="s">
        <v>8</v>
      </c>
      <c r="B19" t="s">
        <v>36</v>
      </c>
      <c r="C19" t="s">
        <v>37</v>
      </c>
      <c r="D19">
        <v>102</v>
      </c>
      <c r="E19" t="s">
        <v>11</v>
      </c>
      <c r="F19" t="s">
        <v>38</v>
      </c>
      <c r="G19" t="s">
        <v>39</v>
      </c>
      <c r="H19">
        <v>1</v>
      </c>
    </row>
    <row r="20" spans="1:8" x14ac:dyDescent="0.25">
      <c r="A20" t="s">
        <v>13</v>
      </c>
      <c r="B20" t="s">
        <v>36</v>
      </c>
      <c r="C20" t="s">
        <v>37</v>
      </c>
      <c r="D20">
        <v>102</v>
      </c>
      <c r="E20" t="s">
        <v>11</v>
      </c>
      <c r="F20" t="s">
        <v>38</v>
      </c>
      <c r="G20" t="s">
        <v>39</v>
      </c>
      <c r="H20">
        <v>3</v>
      </c>
    </row>
    <row r="21" spans="1:8" x14ac:dyDescent="0.25">
      <c r="A21" t="s">
        <v>8</v>
      </c>
      <c r="B21" t="s">
        <v>40</v>
      </c>
      <c r="C21" t="s">
        <v>41</v>
      </c>
      <c r="D21">
        <v>102</v>
      </c>
      <c r="E21" t="s">
        <v>11</v>
      </c>
      <c r="F21" t="s">
        <v>42</v>
      </c>
      <c r="G21" t="s">
        <v>43</v>
      </c>
      <c r="H21">
        <v>14</v>
      </c>
    </row>
    <row r="22" spans="1:8" x14ac:dyDescent="0.25">
      <c r="A22" t="s">
        <v>13</v>
      </c>
      <c r="B22" t="s">
        <v>40</v>
      </c>
      <c r="C22" t="s">
        <v>41</v>
      </c>
      <c r="D22">
        <v>102</v>
      </c>
      <c r="E22" t="s">
        <v>11</v>
      </c>
      <c r="F22" t="s">
        <v>42</v>
      </c>
      <c r="G22" t="s">
        <v>43</v>
      </c>
      <c r="H22">
        <v>19</v>
      </c>
    </row>
    <row r="23" spans="1:8" x14ac:dyDescent="0.25">
      <c r="A23" t="s">
        <v>8</v>
      </c>
      <c r="B23" t="s">
        <v>44</v>
      </c>
      <c r="C23" t="s">
        <v>45</v>
      </c>
      <c r="D23">
        <v>102</v>
      </c>
      <c r="E23" t="s">
        <v>11</v>
      </c>
      <c r="F23" t="s">
        <v>42</v>
      </c>
      <c r="G23" t="s">
        <v>43</v>
      </c>
      <c r="H23">
        <v>17</v>
      </c>
    </row>
    <row r="24" spans="1:8" x14ac:dyDescent="0.25">
      <c r="A24" t="s">
        <v>13</v>
      </c>
      <c r="B24" t="s">
        <v>44</v>
      </c>
      <c r="C24" t="s">
        <v>45</v>
      </c>
      <c r="D24">
        <v>102</v>
      </c>
      <c r="E24" t="s">
        <v>11</v>
      </c>
      <c r="F24" t="s">
        <v>42</v>
      </c>
      <c r="G24" t="s">
        <v>43</v>
      </c>
      <c r="H24">
        <v>13</v>
      </c>
    </row>
    <row r="25" spans="1:8" x14ac:dyDescent="0.25">
      <c r="A25" t="s">
        <v>8</v>
      </c>
      <c r="B25" t="s">
        <v>46</v>
      </c>
      <c r="C25" t="s">
        <v>47</v>
      </c>
      <c r="D25">
        <v>102</v>
      </c>
      <c r="E25" t="s">
        <v>11</v>
      </c>
      <c r="F25" t="s">
        <v>42</v>
      </c>
      <c r="G25" t="s">
        <v>43</v>
      </c>
      <c r="H25">
        <v>6</v>
      </c>
    </row>
    <row r="26" spans="1:8" x14ac:dyDescent="0.25">
      <c r="A26" t="s">
        <v>13</v>
      </c>
      <c r="B26" t="s">
        <v>46</v>
      </c>
      <c r="C26" t="s">
        <v>47</v>
      </c>
      <c r="D26">
        <v>102</v>
      </c>
      <c r="E26" t="s">
        <v>11</v>
      </c>
      <c r="F26" t="s">
        <v>42</v>
      </c>
      <c r="G26" t="s">
        <v>43</v>
      </c>
      <c r="H26">
        <v>19</v>
      </c>
    </row>
    <row r="27" spans="1:8" x14ac:dyDescent="0.25">
      <c r="A27" t="s">
        <v>8</v>
      </c>
      <c r="B27" t="s">
        <v>48</v>
      </c>
      <c r="C27" t="s">
        <v>49</v>
      </c>
      <c r="D27">
        <v>102</v>
      </c>
      <c r="E27" t="s">
        <v>11</v>
      </c>
      <c r="F27" t="s">
        <v>42</v>
      </c>
      <c r="G27" t="s">
        <v>43</v>
      </c>
      <c r="H27">
        <v>8</v>
      </c>
    </row>
    <row r="28" spans="1:8" x14ac:dyDescent="0.25">
      <c r="A28" t="s">
        <v>13</v>
      </c>
      <c r="B28" t="s">
        <v>48</v>
      </c>
      <c r="C28" t="s">
        <v>49</v>
      </c>
      <c r="D28">
        <v>102</v>
      </c>
      <c r="E28" t="s">
        <v>11</v>
      </c>
      <c r="F28" t="s">
        <v>42</v>
      </c>
      <c r="G28" t="s">
        <v>43</v>
      </c>
      <c r="H28">
        <v>20</v>
      </c>
    </row>
    <row r="29" spans="1:8" x14ac:dyDescent="0.25">
      <c r="A29" t="s">
        <v>8</v>
      </c>
      <c r="B29" t="s">
        <v>50</v>
      </c>
      <c r="C29" t="s">
        <v>51</v>
      </c>
      <c r="D29">
        <v>102</v>
      </c>
      <c r="E29" t="s">
        <v>11</v>
      </c>
      <c r="F29" t="s">
        <v>52</v>
      </c>
      <c r="G29" t="s">
        <v>53</v>
      </c>
      <c r="H29">
        <v>22</v>
      </c>
    </row>
    <row r="30" spans="1:8" x14ac:dyDescent="0.25">
      <c r="A30" t="s">
        <v>13</v>
      </c>
      <c r="B30" t="s">
        <v>50</v>
      </c>
      <c r="C30" t="s">
        <v>51</v>
      </c>
      <c r="D30">
        <v>102</v>
      </c>
      <c r="E30" t="s">
        <v>11</v>
      </c>
      <c r="F30" t="s">
        <v>52</v>
      </c>
      <c r="G30" t="s">
        <v>53</v>
      </c>
      <c r="H30">
        <v>30</v>
      </c>
    </row>
    <row r="31" spans="1:8" x14ac:dyDescent="0.25">
      <c r="A31" t="s">
        <v>8</v>
      </c>
      <c r="B31" t="s">
        <v>54</v>
      </c>
      <c r="C31" t="s">
        <v>55</v>
      </c>
      <c r="D31">
        <v>102</v>
      </c>
      <c r="E31" t="s">
        <v>11</v>
      </c>
      <c r="F31" t="s">
        <v>52</v>
      </c>
      <c r="G31" t="s">
        <v>53</v>
      </c>
      <c r="H31">
        <v>16</v>
      </c>
    </row>
    <row r="32" spans="1:8" x14ac:dyDescent="0.25">
      <c r="A32" t="s">
        <v>13</v>
      </c>
      <c r="B32" t="s">
        <v>54</v>
      </c>
      <c r="C32" t="s">
        <v>55</v>
      </c>
      <c r="D32">
        <v>102</v>
      </c>
      <c r="E32" t="s">
        <v>11</v>
      </c>
      <c r="F32" t="s">
        <v>52</v>
      </c>
      <c r="G32" t="s">
        <v>53</v>
      </c>
      <c r="H32">
        <v>38</v>
      </c>
    </row>
    <row r="33" spans="1:8" x14ac:dyDescent="0.25">
      <c r="A33" t="s">
        <v>8</v>
      </c>
      <c r="B33" t="s">
        <v>56</v>
      </c>
      <c r="C33" t="s">
        <v>57</v>
      </c>
      <c r="D33">
        <v>102</v>
      </c>
      <c r="E33" t="s">
        <v>11</v>
      </c>
      <c r="F33" t="s">
        <v>58</v>
      </c>
      <c r="G33" t="s">
        <v>59</v>
      </c>
      <c r="H33">
        <v>10</v>
      </c>
    </row>
    <row r="34" spans="1:8" x14ac:dyDescent="0.25">
      <c r="A34" t="s">
        <v>13</v>
      </c>
      <c r="B34" t="s">
        <v>56</v>
      </c>
      <c r="C34" t="s">
        <v>57</v>
      </c>
      <c r="D34">
        <v>102</v>
      </c>
      <c r="E34" t="s">
        <v>11</v>
      </c>
      <c r="F34" t="s">
        <v>58</v>
      </c>
      <c r="G34" t="s">
        <v>59</v>
      </c>
      <c r="H34">
        <v>27</v>
      </c>
    </row>
    <row r="35" spans="1:8" x14ac:dyDescent="0.25">
      <c r="A35" t="s">
        <v>8</v>
      </c>
      <c r="B35" t="s">
        <v>60</v>
      </c>
      <c r="C35" t="s">
        <v>61</v>
      </c>
      <c r="D35">
        <v>102</v>
      </c>
      <c r="E35" t="s">
        <v>11</v>
      </c>
      <c r="F35" t="s">
        <v>58</v>
      </c>
      <c r="G35" t="s">
        <v>59</v>
      </c>
      <c r="H35">
        <v>22</v>
      </c>
    </row>
    <row r="36" spans="1:8" x14ac:dyDescent="0.25">
      <c r="A36" t="s">
        <v>13</v>
      </c>
      <c r="B36" t="s">
        <v>60</v>
      </c>
      <c r="C36" t="s">
        <v>61</v>
      </c>
      <c r="D36">
        <v>102</v>
      </c>
      <c r="E36" t="s">
        <v>11</v>
      </c>
      <c r="F36" t="s">
        <v>58</v>
      </c>
      <c r="G36" t="s">
        <v>59</v>
      </c>
      <c r="H36">
        <v>23</v>
      </c>
    </row>
    <row r="37" spans="1:8" x14ac:dyDescent="0.25">
      <c r="A37" t="s">
        <v>8</v>
      </c>
      <c r="B37" t="s">
        <v>62</v>
      </c>
      <c r="C37" t="s">
        <v>63</v>
      </c>
      <c r="D37">
        <v>102</v>
      </c>
      <c r="E37" t="s">
        <v>11</v>
      </c>
      <c r="F37" t="s">
        <v>64</v>
      </c>
      <c r="G37" t="s">
        <v>59</v>
      </c>
      <c r="H37">
        <v>11</v>
      </c>
    </row>
    <row r="38" spans="1:8" x14ac:dyDescent="0.25">
      <c r="A38" t="s">
        <v>13</v>
      </c>
      <c r="B38" t="s">
        <v>62</v>
      </c>
      <c r="C38" t="s">
        <v>63</v>
      </c>
      <c r="D38">
        <v>102</v>
      </c>
      <c r="E38" t="s">
        <v>11</v>
      </c>
      <c r="F38" t="s">
        <v>64</v>
      </c>
      <c r="G38" t="s">
        <v>59</v>
      </c>
      <c r="H38">
        <v>12</v>
      </c>
    </row>
    <row r="39" spans="1:8" x14ac:dyDescent="0.25">
      <c r="A39" t="s">
        <v>8</v>
      </c>
      <c r="B39" t="s">
        <v>65</v>
      </c>
      <c r="C39" t="s">
        <v>66</v>
      </c>
      <c r="D39">
        <v>102</v>
      </c>
      <c r="E39" t="s">
        <v>11</v>
      </c>
      <c r="F39" t="s">
        <v>64</v>
      </c>
      <c r="G39" t="s">
        <v>59</v>
      </c>
      <c r="H39">
        <v>12</v>
      </c>
    </row>
    <row r="40" spans="1:8" x14ac:dyDescent="0.25">
      <c r="A40" t="s">
        <v>13</v>
      </c>
      <c r="B40" t="s">
        <v>65</v>
      </c>
      <c r="C40" t="s">
        <v>66</v>
      </c>
      <c r="D40">
        <v>102</v>
      </c>
      <c r="E40" t="s">
        <v>11</v>
      </c>
      <c r="F40" t="s">
        <v>64</v>
      </c>
      <c r="G40" t="s">
        <v>59</v>
      </c>
      <c r="H40">
        <v>11</v>
      </c>
    </row>
    <row r="41" spans="1:8" x14ac:dyDescent="0.25">
      <c r="A41" t="s">
        <v>8</v>
      </c>
      <c r="B41" t="s">
        <v>67</v>
      </c>
      <c r="C41" t="s">
        <v>68</v>
      </c>
      <c r="D41">
        <v>102</v>
      </c>
      <c r="E41" t="s">
        <v>11</v>
      </c>
      <c r="F41" t="s">
        <v>64</v>
      </c>
      <c r="G41" t="s">
        <v>59</v>
      </c>
      <c r="H41">
        <v>21</v>
      </c>
    </row>
    <row r="42" spans="1:8" x14ac:dyDescent="0.25">
      <c r="A42" t="s">
        <v>8</v>
      </c>
      <c r="B42" t="s">
        <v>69</v>
      </c>
      <c r="C42" t="s">
        <v>70</v>
      </c>
      <c r="D42">
        <v>102</v>
      </c>
      <c r="E42" t="s">
        <v>11</v>
      </c>
      <c r="F42" t="s">
        <v>64</v>
      </c>
      <c r="G42" t="s">
        <v>59</v>
      </c>
      <c r="H42">
        <v>20</v>
      </c>
    </row>
    <row r="43" spans="1:8" x14ac:dyDescent="0.25">
      <c r="A43" t="s">
        <v>13</v>
      </c>
      <c r="B43" t="s">
        <v>69</v>
      </c>
      <c r="C43" t="s">
        <v>70</v>
      </c>
      <c r="D43">
        <v>102</v>
      </c>
      <c r="E43" t="s">
        <v>11</v>
      </c>
      <c r="F43" t="s">
        <v>64</v>
      </c>
      <c r="G43" t="s">
        <v>59</v>
      </c>
      <c r="H43">
        <v>2</v>
      </c>
    </row>
    <row r="44" spans="1:8" x14ac:dyDescent="0.25">
      <c r="A44" t="s">
        <v>8</v>
      </c>
      <c r="B44" t="s">
        <v>71</v>
      </c>
      <c r="C44" t="s">
        <v>72</v>
      </c>
      <c r="D44">
        <v>102</v>
      </c>
      <c r="E44" t="s">
        <v>11</v>
      </c>
      <c r="F44" t="s">
        <v>73</v>
      </c>
      <c r="G44" t="s">
        <v>74</v>
      </c>
      <c r="H44">
        <v>39</v>
      </c>
    </row>
    <row r="45" spans="1:8" x14ac:dyDescent="0.25">
      <c r="A45" t="s">
        <v>13</v>
      </c>
      <c r="B45" t="s">
        <v>71</v>
      </c>
      <c r="C45" t="s">
        <v>72</v>
      </c>
      <c r="D45">
        <v>102</v>
      </c>
      <c r="E45" t="s">
        <v>11</v>
      </c>
      <c r="F45" t="s">
        <v>73</v>
      </c>
      <c r="G45" t="s">
        <v>74</v>
      </c>
      <c r="H45">
        <v>40</v>
      </c>
    </row>
    <row r="46" spans="1:8" x14ac:dyDescent="0.25">
      <c r="A46" t="s">
        <v>8</v>
      </c>
      <c r="B46" t="s">
        <v>75</v>
      </c>
      <c r="C46" t="s">
        <v>76</v>
      </c>
      <c r="D46">
        <v>102</v>
      </c>
      <c r="E46" t="s">
        <v>11</v>
      </c>
      <c r="F46" t="s">
        <v>38</v>
      </c>
      <c r="G46" t="s">
        <v>77</v>
      </c>
      <c r="H46">
        <v>2</v>
      </c>
    </row>
    <row r="47" spans="1:8" x14ac:dyDescent="0.25">
      <c r="A47" t="s">
        <v>8</v>
      </c>
      <c r="B47" t="s">
        <v>78</v>
      </c>
      <c r="C47" t="s">
        <v>79</v>
      </c>
      <c r="D47">
        <v>102</v>
      </c>
      <c r="E47" t="s">
        <v>11</v>
      </c>
      <c r="F47" t="s">
        <v>73</v>
      </c>
      <c r="G47" t="s">
        <v>80</v>
      </c>
      <c r="H47">
        <v>7</v>
      </c>
    </row>
    <row r="48" spans="1:8" x14ac:dyDescent="0.25">
      <c r="A48" t="s">
        <v>13</v>
      </c>
      <c r="B48" t="s">
        <v>78</v>
      </c>
      <c r="C48" t="s">
        <v>79</v>
      </c>
      <c r="D48">
        <v>102</v>
      </c>
      <c r="E48" t="s">
        <v>11</v>
      </c>
      <c r="F48" t="s">
        <v>73</v>
      </c>
      <c r="G48" t="s">
        <v>80</v>
      </c>
      <c r="H48">
        <v>1</v>
      </c>
    </row>
    <row r="49" spans="1:8" x14ac:dyDescent="0.25">
      <c r="A49" t="s">
        <v>8</v>
      </c>
      <c r="B49" t="s">
        <v>81</v>
      </c>
      <c r="C49" t="s">
        <v>82</v>
      </c>
      <c r="D49">
        <v>102</v>
      </c>
      <c r="E49" t="s">
        <v>11</v>
      </c>
      <c r="F49" t="s">
        <v>73</v>
      </c>
      <c r="G49" t="s">
        <v>74</v>
      </c>
      <c r="H49">
        <v>42</v>
      </c>
    </row>
    <row r="50" spans="1:8" x14ac:dyDescent="0.25">
      <c r="A50" t="s">
        <v>13</v>
      </c>
      <c r="B50" t="s">
        <v>81</v>
      </c>
      <c r="C50" t="s">
        <v>82</v>
      </c>
      <c r="D50">
        <v>102</v>
      </c>
      <c r="E50" t="s">
        <v>11</v>
      </c>
      <c r="F50" t="s">
        <v>73</v>
      </c>
      <c r="G50" t="s">
        <v>74</v>
      </c>
      <c r="H50">
        <v>39</v>
      </c>
    </row>
    <row r="51" spans="1:8" x14ac:dyDescent="0.25">
      <c r="A51" t="s">
        <v>8</v>
      </c>
      <c r="B51" t="s">
        <v>83</v>
      </c>
      <c r="C51" t="s">
        <v>84</v>
      </c>
      <c r="D51">
        <v>102</v>
      </c>
      <c r="E51" t="s">
        <v>11</v>
      </c>
      <c r="F51" t="s">
        <v>73</v>
      </c>
      <c r="G51" t="s">
        <v>74</v>
      </c>
      <c r="H51">
        <v>23</v>
      </c>
    </row>
    <row r="52" spans="1:8" x14ac:dyDescent="0.25">
      <c r="A52" t="s">
        <v>13</v>
      </c>
      <c r="B52" t="s">
        <v>83</v>
      </c>
      <c r="C52" t="s">
        <v>84</v>
      </c>
      <c r="D52">
        <v>102</v>
      </c>
      <c r="E52" t="s">
        <v>11</v>
      </c>
      <c r="F52" t="s">
        <v>73</v>
      </c>
      <c r="G52" t="s">
        <v>74</v>
      </c>
      <c r="H52">
        <v>18</v>
      </c>
    </row>
    <row r="53" spans="1:8" x14ac:dyDescent="0.25">
      <c r="A53" t="s">
        <v>8</v>
      </c>
      <c r="B53" t="s">
        <v>85</v>
      </c>
      <c r="C53" t="s">
        <v>86</v>
      </c>
      <c r="D53">
        <v>102</v>
      </c>
      <c r="E53" t="s">
        <v>11</v>
      </c>
      <c r="F53" t="s">
        <v>38</v>
      </c>
      <c r="G53" t="s">
        <v>39</v>
      </c>
      <c r="H53">
        <v>6</v>
      </c>
    </row>
    <row r="54" spans="1:8" x14ac:dyDescent="0.25">
      <c r="A54" t="s">
        <v>8</v>
      </c>
      <c r="B54" t="s">
        <v>87</v>
      </c>
      <c r="C54" t="s">
        <v>88</v>
      </c>
      <c r="D54">
        <v>102</v>
      </c>
      <c r="E54" t="s">
        <v>11</v>
      </c>
      <c r="F54" t="s">
        <v>89</v>
      </c>
      <c r="G54" t="s">
        <v>74</v>
      </c>
      <c r="H54">
        <v>1</v>
      </c>
    </row>
    <row r="55" spans="1:8" x14ac:dyDescent="0.25">
      <c r="A55" t="s">
        <v>8</v>
      </c>
      <c r="B55" t="s">
        <v>90</v>
      </c>
      <c r="C55" t="s">
        <v>91</v>
      </c>
      <c r="D55">
        <v>102</v>
      </c>
      <c r="E55" t="s">
        <v>11</v>
      </c>
      <c r="F55" t="s">
        <v>89</v>
      </c>
      <c r="G55" t="s">
        <v>74</v>
      </c>
      <c r="H55">
        <v>10</v>
      </c>
    </row>
    <row r="56" spans="1:8" x14ac:dyDescent="0.25">
      <c r="A56" t="s">
        <v>13</v>
      </c>
      <c r="B56" t="s">
        <v>90</v>
      </c>
      <c r="C56" t="s">
        <v>91</v>
      </c>
      <c r="D56">
        <v>102</v>
      </c>
      <c r="E56" t="s">
        <v>11</v>
      </c>
      <c r="F56" t="s">
        <v>89</v>
      </c>
      <c r="G56" t="s">
        <v>74</v>
      </c>
      <c r="H56">
        <v>10</v>
      </c>
    </row>
    <row r="57" spans="1:8" x14ac:dyDescent="0.25">
      <c r="A57" t="s">
        <v>8</v>
      </c>
      <c r="B57" t="s">
        <v>92</v>
      </c>
      <c r="C57" t="s">
        <v>93</v>
      </c>
      <c r="D57">
        <v>102</v>
      </c>
      <c r="E57" t="s">
        <v>11</v>
      </c>
      <c r="F57" t="s">
        <v>73</v>
      </c>
      <c r="G57" t="s">
        <v>94</v>
      </c>
      <c r="H57">
        <v>1</v>
      </c>
    </row>
    <row r="58" spans="1:8" x14ac:dyDescent="0.25">
      <c r="A58" t="s">
        <v>13</v>
      </c>
      <c r="B58" t="s">
        <v>95</v>
      </c>
      <c r="C58" t="s">
        <v>96</v>
      </c>
      <c r="D58">
        <v>102</v>
      </c>
      <c r="E58" t="s">
        <v>11</v>
      </c>
      <c r="F58" t="s">
        <v>38</v>
      </c>
      <c r="G58" t="s">
        <v>77</v>
      </c>
      <c r="H58">
        <v>10</v>
      </c>
    </row>
    <row r="59" spans="1:8" x14ac:dyDescent="0.25">
      <c r="A59" t="s">
        <v>8</v>
      </c>
      <c r="B59" t="s">
        <v>97</v>
      </c>
      <c r="C59" t="s">
        <v>98</v>
      </c>
      <c r="D59">
        <v>102</v>
      </c>
      <c r="E59" t="s">
        <v>11</v>
      </c>
      <c r="F59" t="s">
        <v>38</v>
      </c>
      <c r="G59" t="s">
        <v>77</v>
      </c>
      <c r="H59">
        <v>2</v>
      </c>
    </row>
    <row r="60" spans="1:8" x14ac:dyDescent="0.25">
      <c r="A60" t="s">
        <v>8</v>
      </c>
      <c r="B60" t="s">
        <v>99</v>
      </c>
      <c r="C60" t="s">
        <v>100</v>
      </c>
      <c r="D60">
        <v>102</v>
      </c>
      <c r="E60" t="s">
        <v>11</v>
      </c>
      <c r="F60" t="s">
        <v>73</v>
      </c>
      <c r="G60" t="s">
        <v>101</v>
      </c>
      <c r="H60">
        <v>2</v>
      </c>
    </row>
    <row r="61" spans="1:8" x14ac:dyDescent="0.25">
      <c r="A61" t="s">
        <v>13</v>
      </c>
      <c r="B61" t="s">
        <v>99</v>
      </c>
      <c r="C61" t="s">
        <v>100</v>
      </c>
      <c r="D61">
        <v>102</v>
      </c>
      <c r="E61" t="s">
        <v>11</v>
      </c>
      <c r="F61" t="s">
        <v>73</v>
      </c>
      <c r="G61" t="s">
        <v>101</v>
      </c>
      <c r="H61">
        <v>3</v>
      </c>
    </row>
    <row r="62" spans="1:8" x14ac:dyDescent="0.25">
      <c r="A62" t="s">
        <v>13</v>
      </c>
      <c r="B62" t="s">
        <v>102</v>
      </c>
      <c r="C62" t="s">
        <v>103</v>
      </c>
      <c r="D62">
        <v>102</v>
      </c>
      <c r="E62" t="s">
        <v>11</v>
      </c>
      <c r="F62" t="s">
        <v>23</v>
      </c>
      <c r="G62" t="s">
        <v>104</v>
      </c>
      <c r="H62">
        <v>1</v>
      </c>
    </row>
    <row r="63" spans="1:8" x14ac:dyDescent="0.25">
      <c r="A63" t="s">
        <v>13</v>
      </c>
      <c r="B63" t="s">
        <v>105</v>
      </c>
      <c r="C63" t="s">
        <v>106</v>
      </c>
      <c r="D63">
        <v>102</v>
      </c>
      <c r="E63" t="s">
        <v>11</v>
      </c>
      <c r="F63" t="s">
        <v>23</v>
      </c>
      <c r="G63" t="s">
        <v>104</v>
      </c>
      <c r="H63">
        <v>7</v>
      </c>
    </row>
    <row r="64" spans="1:8" x14ac:dyDescent="0.25">
      <c r="A64" t="s">
        <v>13</v>
      </c>
      <c r="B64" t="s">
        <v>107</v>
      </c>
      <c r="C64" t="s">
        <v>108</v>
      </c>
      <c r="D64">
        <v>102</v>
      </c>
      <c r="E64" t="s">
        <v>11</v>
      </c>
      <c r="F64" t="s">
        <v>23</v>
      </c>
      <c r="G64" t="s">
        <v>104</v>
      </c>
      <c r="H64">
        <v>1</v>
      </c>
    </row>
    <row r="65" spans="1:8" x14ac:dyDescent="0.25">
      <c r="A65" t="s">
        <v>8</v>
      </c>
      <c r="B65" t="s">
        <v>109</v>
      </c>
      <c r="C65" t="s">
        <v>110</v>
      </c>
      <c r="D65">
        <v>102</v>
      </c>
      <c r="E65" t="s">
        <v>11</v>
      </c>
      <c r="F65" t="s">
        <v>23</v>
      </c>
      <c r="G65" t="s">
        <v>104</v>
      </c>
      <c r="H65">
        <v>1</v>
      </c>
    </row>
    <row r="66" spans="1:8" x14ac:dyDescent="0.25">
      <c r="A66" t="s">
        <v>8</v>
      </c>
      <c r="B66" t="s">
        <v>111</v>
      </c>
      <c r="C66" t="s">
        <v>112</v>
      </c>
      <c r="D66">
        <v>102</v>
      </c>
      <c r="E66" t="s">
        <v>11</v>
      </c>
      <c r="F66" t="s">
        <v>23</v>
      </c>
      <c r="G66" t="s">
        <v>104</v>
      </c>
      <c r="H66">
        <v>1</v>
      </c>
    </row>
    <row r="67" spans="1:8" x14ac:dyDescent="0.25">
      <c r="A67" t="s">
        <v>8</v>
      </c>
      <c r="B67" t="s">
        <v>113</v>
      </c>
      <c r="C67" t="s">
        <v>114</v>
      </c>
      <c r="D67">
        <v>102</v>
      </c>
      <c r="E67" t="s">
        <v>11</v>
      </c>
      <c r="F67" t="s">
        <v>23</v>
      </c>
      <c r="G67" t="s">
        <v>104</v>
      </c>
      <c r="H67">
        <v>1</v>
      </c>
    </row>
    <row r="68" spans="1:8" x14ac:dyDescent="0.25">
      <c r="A68" t="s">
        <v>8</v>
      </c>
      <c r="B68" t="s">
        <v>115</v>
      </c>
      <c r="C68" t="s">
        <v>116</v>
      </c>
      <c r="D68">
        <v>102</v>
      </c>
      <c r="E68" t="s">
        <v>11</v>
      </c>
      <c r="F68" t="s">
        <v>23</v>
      </c>
      <c r="G68" t="s">
        <v>104</v>
      </c>
      <c r="H68">
        <v>4</v>
      </c>
    </row>
    <row r="69" spans="1:8" x14ac:dyDescent="0.25">
      <c r="A69" t="s">
        <v>13</v>
      </c>
      <c r="B69" t="s">
        <v>117</v>
      </c>
      <c r="C69" t="s">
        <v>118</v>
      </c>
      <c r="D69">
        <v>102</v>
      </c>
      <c r="E69" t="s">
        <v>11</v>
      </c>
      <c r="F69" t="s">
        <v>23</v>
      </c>
      <c r="G69" t="s">
        <v>104</v>
      </c>
      <c r="H69">
        <v>3</v>
      </c>
    </row>
    <row r="70" spans="1:8" x14ac:dyDescent="0.25">
      <c r="A70" t="s">
        <v>8</v>
      </c>
      <c r="B70" t="s">
        <v>119</v>
      </c>
      <c r="C70" t="s">
        <v>120</v>
      </c>
      <c r="D70">
        <v>102</v>
      </c>
      <c r="E70" t="s">
        <v>11</v>
      </c>
      <c r="F70" t="s">
        <v>23</v>
      </c>
      <c r="G70" t="s">
        <v>104</v>
      </c>
      <c r="H70">
        <v>3</v>
      </c>
    </row>
    <row r="71" spans="1:8" x14ac:dyDescent="0.25">
      <c r="A71" t="s">
        <v>8</v>
      </c>
      <c r="B71" t="s">
        <v>121</v>
      </c>
      <c r="C71" t="s">
        <v>122</v>
      </c>
      <c r="D71">
        <v>102</v>
      </c>
      <c r="E71" t="s">
        <v>11</v>
      </c>
      <c r="F71" t="s">
        <v>23</v>
      </c>
      <c r="G71" t="s">
        <v>104</v>
      </c>
      <c r="H71">
        <v>3</v>
      </c>
    </row>
    <row r="72" spans="1:8" x14ac:dyDescent="0.25">
      <c r="A72" t="s">
        <v>13</v>
      </c>
      <c r="B72" t="s">
        <v>121</v>
      </c>
      <c r="C72" t="s">
        <v>122</v>
      </c>
      <c r="D72">
        <v>102</v>
      </c>
      <c r="E72" t="s">
        <v>11</v>
      </c>
      <c r="F72" t="s">
        <v>23</v>
      </c>
      <c r="G72" t="s">
        <v>104</v>
      </c>
      <c r="H72">
        <v>2</v>
      </c>
    </row>
    <row r="73" spans="1:8" x14ac:dyDescent="0.25">
      <c r="A73" t="s">
        <v>8</v>
      </c>
      <c r="B73" t="s">
        <v>123</v>
      </c>
      <c r="C73" t="s">
        <v>124</v>
      </c>
      <c r="D73">
        <v>102</v>
      </c>
      <c r="E73" t="s">
        <v>11</v>
      </c>
      <c r="F73" t="s">
        <v>23</v>
      </c>
      <c r="G73" t="s">
        <v>104</v>
      </c>
      <c r="H73">
        <v>2</v>
      </c>
    </row>
    <row r="74" spans="1:8" x14ac:dyDescent="0.25">
      <c r="A74" t="s">
        <v>13</v>
      </c>
      <c r="B74" t="s">
        <v>123</v>
      </c>
      <c r="C74" t="s">
        <v>124</v>
      </c>
      <c r="D74">
        <v>102</v>
      </c>
      <c r="E74" t="s">
        <v>11</v>
      </c>
      <c r="F74" t="s">
        <v>23</v>
      </c>
      <c r="G74" t="s">
        <v>104</v>
      </c>
      <c r="H74">
        <v>1</v>
      </c>
    </row>
    <row r="75" spans="1:8" x14ac:dyDescent="0.25">
      <c r="A75" t="s">
        <v>8</v>
      </c>
      <c r="B75" t="s">
        <v>125</v>
      </c>
      <c r="C75" t="s">
        <v>126</v>
      </c>
      <c r="D75">
        <v>102</v>
      </c>
      <c r="E75" t="s">
        <v>11</v>
      </c>
      <c r="F75" t="s">
        <v>23</v>
      </c>
      <c r="G75" t="s">
        <v>104</v>
      </c>
      <c r="H75">
        <v>1</v>
      </c>
    </row>
    <row r="76" spans="1:8" x14ac:dyDescent="0.25">
      <c r="A76" t="s">
        <v>8</v>
      </c>
      <c r="B76" t="s">
        <v>127</v>
      </c>
      <c r="C76" t="s">
        <v>128</v>
      </c>
      <c r="D76">
        <v>102</v>
      </c>
      <c r="E76" t="s">
        <v>11</v>
      </c>
      <c r="F76" t="s">
        <v>18</v>
      </c>
      <c r="G76" t="s">
        <v>129</v>
      </c>
      <c r="H76">
        <v>1</v>
      </c>
    </row>
    <row r="77" spans="1:8" x14ac:dyDescent="0.25">
      <c r="A77" t="s">
        <v>13</v>
      </c>
      <c r="B77" t="s">
        <v>130</v>
      </c>
      <c r="C77" t="s">
        <v>131</v>
      </c>
      <c r="D77">
        <v>102</v>
      </c>
      <c r="E77" t="s">
        <v>11</v>
      </c>
      <c r="F77" t="s">
        <v>18</v>
      </c>
      <c r="G77" t="s">
        <v>129</v>
      </c>
      <c r="H77">
        <v>1</v>
      </c>
    </row>
    <row r="78" spans="1:8" x14ac:dyDescent="0.25">
      <c r="A78" t="s">
        <v>8</v>
      </c>
      <c r="B78" t="s">
        <v>132</v>
      </c>
      <c r="C78" t="s">
        <v>133</v>
      </c>
      <c r="D78">
        <v>102</v>
      </c>
      <c r="E78" t="s">
        <v>11</v>
      </c>
      <c r="F78" t="s">
        <v>18</v>
      </c>
      <c r="G78" t="s">
        <v>129</v>
      </c>
      <c r="H78">
        <v>1</v>
      </c>
    </row>
    <row r="79" spans="1:8" x14ac:dyDescent="0.25">
      <c r="A79" t="s">
        <v>13</v>
      </c>
      <c r="B79" t="s">
        <v>132</v>
      </c>
      <c r="C79" t="s">
        <v>133</v>
      </c>
      <c r="D79">
        <v>102</v>
      </c>
      <c r="E79" t="s">
        <v>11</v>
      </c>
      <c r="F79" t="s">
        <v>18</v>
      </c>
      <c r="G79" t="s">
        <v>129</v>
      </c>
      <c r="H79">
        <v>2</v>
      </c>
    </row>
    <row r="80" spans="1:8" x14ac:dyDescent="0.25">
      <c r="A80" t="s">
        <v>8</v>
      </c>
      <c r="B80" t="s">
        <v>134</v>
      </c>
      <c r="C80" t="s">
        <v>135</v>
      </c>
      <c r="D80">
        <v>102</v>
      </c>
      <c r="E80" t="s">
        <v>11</v>
      </c>
      <c r="F80" t="s">
        <v>18</v>
      </c>
      <c r="G80" t="s">
        <v>129</v>
      </c>
      <c r="H80">
        <v>1</v>
      </c>
    </row>
    <row r="81" spans="1:8" x14ac:dyDescent="0.25">
      <c r="A81" t="s">
        <v>8</v>
      </c>
      <c r="B81" t="s">
        <v>136</v>
      </c>
      <c r="C81" t="s">
        <v>137</v>
      </c>
      <c r="D81">
        <v>102</v>
      </c>
      <c r="E81" t="s">
        <v>11</v>
      </c>
      <c r="F81" t="s">
        <v>18</v>
      </c>
      <c r="G81" t="s">
        <v>129</v>
      </c>
      <c r="H81">
        <v>2</v>
      </c>
    </row>
    <row r="82" spans="1:8" x14ac:dyDescent="0.25">
      <c r="A82" t="s">
        <v>8</v>
      </c>
      <c r="B82" t="s">
        <v>138</v>
      </c>
      <c r="C82" t="s">
        <v>139</v>
      </c>
      <c r="D82">
        <v>102</v>
      </c>
      <c r="E82" t="s">
        <v>11</v>
      </c>
      <c r="F82" t="s">
        <v>18</v>
      </c>
      <c r="G82" t="s">
        <v>129</v>
      </c>
      <c r="H82">
        <v>1</v>
      </c>
    </row>
    <row r="83" spans="1:8" x14ac:dyDescent="0.25">
      <c r="A83" t="s">
        <v>13</v>
      </c>
      <c r="B83" t="s">
        <v>138</v>
      </c>
      <c r="C83" t="s">
        <v>139</v>
      </c>
      <c r="D83">
        <v>102</v>
      </c>
      <c r="E83" t="s">
        <v>11</v>
      </c>
      <c r="F83" t="s">
        <v>18</v>
      </c>
      <c r="G83" t="s">
        <v>129</v>
      </c>
      <c r="H83">
        <v>2</v>
      </c>
    </row>
    <row r="84" spans="1:8" x14ac:dyDescent="0.25">
      <c r="A84" t="s">
        <v>8</v>
      </c>
      <c r="B84" t="s">
        <v>140</v>
      </c>
      <c r="C84" t="s">
        <v>141</v>
      </c>
      <c r="D84">
        <v>102</v>
      </c>
      <c r="E84" t="s">
        <v>11</v>
      </c>
      <c r="F84" t="s">
        <v>18</v>
      </c>
      <c r="G84" t="s">
        <v>129</v>
      </c>
      <c r="H84">
        <v>1</v>
      </c>
    </row>
    <row r="85" spans="1:8" x14ac:dyDescent="0.25">
      <c r="A85" t="s">
        <v>13</v>
      </c>
      <c r="B85" t="s">
        <v>142</v>
      </c>
      <c r="C85" t="s">
        <v>143</v>
      </c>
      <c r="D85">
        <v>102</v>
      </c>
      <c r="E85" t="s">
        <v>11</v>
      </c>
      <c r="F85" t="s">
        <v>18</v>
      </c>
      <c r="G85" t="s">
        <v>12</v>
      </c>
      <c r="H85">
        <v>1</v>
      </c>
    </row>
    <row r="86" spans="1:8" x14ac:dyDescent="0.25">
      <c r="A86" t="s">
        <v>8</v>
      </c>
      <c r="B86" t="s">
        <v>144</v>
      </c>
      <c r="C86" t="s">
        <v>145</v>
      </c>
      <c r="D86">
        <v>102</v>
      </c>
      <c r="E86" t="s">
        <v>11</v>
      </c>
      <c r="F86" t="s">
        <v>18</v>
      </c>
      <c r="G86" t="s">
        <v>12</v>
      </c>
      <c r="H86">
        <v>6</v>
      </c>
    </row>
    <row r="87" spans="1:8" x14ac:dyDescent="0.25">
      <c r="A87" t="s">
        <v>13</v>
      </c>
      <c r="B87" t="s">
        <v>144</v>
      </c>
      <c r="C87" t="s">
        <v>145</v>
      </c>
      <c r="D87">
        <v>102</v>
      </c>
      <c r="E87" t="s">
        <v>11</v>
      </c>
      <c r="F87" t="s">
        <v>18</v>
      </c>
      <c r="G87" t="s">
        <v>12</v>
      </c>
      <c r="H87">
        <v>7</v>
      </c>
    </row>
    <row r="88" spans="1:8" x14ac:dyDescent="0.25">
      <c r="A88" t="s">
        <v>8</v>
      </c>
      <c r="B88" t="s">
        <v>146</v>
      </c>
      <c r="C88" t="s">
        <v>147</v>
      </c>
      <c r="D88">
        <v>102</v>
      </c>
      <c r="E88" t="s">
        <v>11</v>
      </c>
      <c r="F88" t="s">
        <v>18</v>
      </c>
      <c r="G88" t="s">
        <v>12</v>
      </c>
      <c r="H88">
        <v>10</v>
      </c>
    </row>
    <row r="89" spans="1:8" x14ac:dyDescent="0.25">
      <c r="A89" t="s">
        <v>8</v>
      </c>
      <c r="B89" t="s">
        <v>148</v>
      </c>
      <c r="C89" t="s">
        <v>149</v>
      </c>
      <c r="D89">
        <v>102</v>
      </c>
      <c r="E89" t="s">
        <v>11</v>
      </c>
      <c r="F89" t="s">
        <v>18</v>
      </c>
      <c r="G89" t="s">
        <v>12</v>
      </c>
      <c r="H89">
        <v>3</v>
      </c>
    </row>
    <row r="90" spans="1:8" x14ac:dyDescent="0.25">
      <c r="A90" t="s">
        <v>8</v>
      </c>
      <c r="B90" t="s">
        <v>150</v>
      </c>
      <c r="C90" t="s">
        <v>151</v>
      </c>
      <c r="D90">
        <v>102</v>
      </c>
      <c r="E90" t="s">
        <v>11</v>
      </c>
      <c r="F90" t="s">
        <v>18</v>
      </c>
      <c r="G90" t="s">
        <v>12</v>
      </c>
      <c r="H90">
        <v>7</v>
      </c>
    </row>
    <row r="91" spans="1:8" x14ac:dyDescent="0.25">
      <c r="A91" t="s">
        <v>13</v>
      </c>
      <c r="B91" t="s">
        <v>150</v>
      </c>
      <c r="C91" t="s">
        <v>151</v>
      </c>
      <c r="D91">
        <v>102</v>
      </c>
      <c r="E91" t="s">
        <v>11</v>
      </c>
      <c r="F91" t="s">
        <v>18</v>
      </c>
      <c r="G91" t="s">
        <v>12</v>
      </c>
      <c r="H91">
        <v>3</v>
      </c>
    </row>
    <row r="92" spans="1:8" x14ac:dyDescent="0.25">
      <c r="A92" t="s">
        <v>13</v>
      </c>
      <c r="B92" t="s">
        <v>152</v>
      </c>
      <c r="C92" t="s">
        <v>153</v>
      </c>
      <c r="D92">
        <v>102</v>
      </c>
      <c r="E92" t="s">
        <v>11</v>
      </c>
      <c r="F92" t="s">
        <v>154</v>
      </c>
      <c r="G92" t="s">
        <v>155</v>
      </c>
      <c r="H92">
        <v>1</v>
      </c>
    </row>
    <row r="93" spans="1:8" x14ac:dyDescent="0.25">
      <c r="A93" t="s">
        <v>8</v>
      </c>
      <c r="B93" t="s">
        <v>156</v>
      </c>
      <c r="C93" t="s">
        <v>157</v>
      </c>
      <c r="D93">
        <v>102</v>
      </c>
      <c r="E93" t="s">
        <v>11</v>
      </c>
      <c r="F93" t="s">
        <v>42</v>
      </c>
      <c r="G93" t="s">
        <v>53</v>
      </c>
      <c r="H93">
        <v>13</v>
      </c>
    </row>
    <row r="94" spans="1:8" x14ac:dyDescent="0.25">
      <c r="A94" t="s">
        <v>13</v>
      </c>
      <c r="B94" t="s">
        <v>156</v>
      </c>
      <c r="C94" t="s">
        <v>157</v>
      </c>
      <c r="D94">
        <v>102</v>
      </c>
      <c r="E94" t="s">
        <v>11</v>
      </c>
      <c r="F94" t="s">
        <v>42</v>
      </c>
      <c r="G94" t="s">
        <v>53</v>
      </c>
      <c r="H94">
        <v>12</v>
      </c>
    </row>
    <row r="95" spans="1:8" x14ac:dyDescent="0.25">
      <c r="A95" t="s">
        <v>8</v>
      </c>
      <c r="B95" t="s">
        <v>158</v>
      </c>
      <c r="C95" t="s">
        <v>159</v>
      </c>
      <c r="D95">
        <v>102</v>
      </c>
      <c r="E95" t="s">
        <v>11</v>
      </c>
      <c r="F95" t="s">
        <v>52</v>
      </c>
      <c r="G95" t="s">
        <v>53</v>
      </c>
      <c r="H95">
        <v>18</v>
      </c>
    </row>
    <row r="96" spans="1:8" x14ac:dyDescent="0.25">
      <c r="A96" t="s">
        <v>13</v>
      </c>
      <c r="B96" t="s">
        <v>158</v>
      </c>
      <c r="C96" t="s">
        <v>159</v>
      </c>
      <c r="D96">
        <v>102</v>
      </c>
      <c r="E96" t="s">
        <v>11</v>
      </c>
      <c r="F96" t="s">
        <v>52</v>
      </c>
      <c r="G96" t="s">
        <v>53</v>
      </c>
      <c r="H96">
        <v>15</v>
      </c>
    </row>
    <row r="97" spans="1:8" x14ac:dyDescent="0.25">
      <c r="A97" t="s">
        <v>8</v>
      </c>
      <c r="B97" t="s">
        <v>160</v>
      </c>
      <c r="C97" t="s">
        <v>161</v>
      </c>
      <c r="D97">
        <v>102</v>
      </c>
      <c r="E97" t="s">
        <v>11</v>
      </c>
      <c r="F97" t="s">
        <v>58</v>
      </c>
      <c r="G97" t="s">
        <v>59</v>
      </c>
      <c r="H97">
        <v>26</v>
      </c>
    </row>
    <row r="98" spans="1:8" x14ac:dyDescent="0.25">
      <c r="A98" t="s">
        <v>13</v>
      </c>
      <c r="B98" t="s">
        <v>160</v>
      </c>
      <c r="C98" t="s">
        <v>161</v>
      </c>
      <c r="D98">
        <v>102</v>
      </c>
      <c r="E98" t="s">
        <v>11</v>
      </c>
      <c r="F98" t="s">
        <v>58</v>
      </c>
      <c r="G98" t="s">
        <v>59</v>
      </c>
      <c r="H98">
        <v>24</v>
      </c>
    </row>
    <row r="99" spans="1:8" x14ac:dyDescent="0.25">
      <c r="A99" t="s">
        <v>8</v>
      </c>
      <c r="B99" t="s">
        <v>162</v>
      </c>
      <c r="C99" t="s">
        <v>163</v>
      </c>
      <c r="D99">
        <v>102</v>
      </c>
      <c r="E99" t="s">
        <v>11</v>
      </c>
      <c r="F99" t="s">
        <v>164</v>
      </c>
      <c r="G99" t="s">
        <v>165</v>
      </c>
      <c r="H99">
        <v>10</v>
      </c>
    </row>
    <row r="100" spans="1:8" x14ac:dyDescent="0.25">
      <c r="A100" t="s">
        <v>13</v>
      </c>
      <c r="B100" t="s">
        <v>162</v>
      </c>
      <c r="C100" t="s">
        <v>163</v>
      </c>
      <c r="D100">
        <v>102</v>
      </c>
      <c r="E100" t="s">
        <v>11</v>
      </c>
      <c r="F100" t="s">
        <v>164</v>
      </c>
      <c r="G100" t="s">
        <v>165</v>
      </c>
      <c r="H100">
        <v>24</v>
      </c>
    </row>
    <row r="101" spans="1:8" x14ac:dyDescent="0.25">
      <c r="A101" t="s">
        <v>8</v>
      </c>
      <c r="B101" t="s">
        <v>166</v>
      </c>
      <c r="C101" t="s">
        <v>167</v>
      </c>
      <c r="D101">
        <v>102</v>
      </c>
      <c r="E101" t="s">
        <v>11</v>
      </c>
      <c r="F101" t="s">
        <v>164</v>
      </c>
      <c r="G101" t="s">
        <v>165</v>
      </c>
      <c r="H101">
        <v>12</v>
      </c>
    </row>
    <row r="102" spans="1:8" x14ac:dyDescent="0.25">
      <c r="A102" t="s">
        <v>13</v>
      </c>
      <c r="B102" t="s">
        <v>166</v>
      </c>
      <c r="C102" t="s">
        <v>167</v>
      </c>
      <c r="D102">
        <v>102</v>
      </c>
      <c r="E102" t="s">
        <v>11</v>
      </c>
      <c r="F102" t="s">
        <v>164</v>
      </c>
      <c r="G102" t="s">
        <v>165</v>
      </c>
      <c r="H102">
        <v>24</v>
      </c>
    </row>
    <row r="103" spans="1:8" x14ac:dyDescent="0.25">
      <c r="A103" t="s">
        <v>8</v>
      </c>
      <c r="B103" t="s">
        <v>168</v>
      </c>
      <c r="C103" t="s">
        <v>169</v>
      </c>
      <c r="D103">
        <v>102</v>
      </c>
      <c r="E103" t="s">
        <v>11</v>
      </c>
      <c r="F103" t="s">
        <v>164</v>
      </c>
      <c r="G103" t="s">
        <v>165</v>
      </c>
      <c r="H103">
        <v>12</v>
      </c>
    </row>
    <row r="104" spans="1:8" x14ac:dyDescent="0.25">
      <c r="A104" t="s">
        <v>13</v>
      </c>
      <c r="B104" t="s">
        <v>168</v>
      </c>
      <c r="C104" t="s">
        <v>169</v>
      </c>
      <c r="D104">
        <v>102</v>
      </c>
      <c r="E104" t="s">
        <v>11</v>
      </c>
      <c r="F104" t="s">
        <v>164</v>
      </c>
      <c r="G104" t="s">
        <v>165</v>
      </c>
      <c r="H104">
        <v>25</v>
      </c>
    </row>
    <row r="105" spans="1:8" x14ac:dyDescent="0.25">
      <c r="A105" t="s">
        <v>8</v>
      </c>
      <c r="B105" t="s">
        <v>170</v>
      </c>
      <c r="C105" t="s">
        <v>171</v>
      </c>
      <c r="D105">
        <v>102</v>
      </c>
      <c r="E105" t="s">
        <v>11</v>
      </c>
      <c r="F105" t="s">
        <v>172</v>
      </c>
      <c r="G105" t="s">
        <v>173</v>
      </c>
      <c r="H105">
        <v>13</v>
      </c>
    </row>
    <row r="106" spans="1:8" x14ac:dyDescent="0.25">
      <c r="A106" t="s">
        <v>13</v>
      </c>
      <c r="B106" t="s">
        <v>170</v>
      </c>
      <c r="C106" t="s">
        <v>171</v>
      </c>
      <c r="D106">
        <v>102</v>
      </c>
      <c r="E106" t="s">
        <v>11</v>
      </c>
      <c r="F106" t="s">
        <v>172</v>
      </c>
      <c r="G106" t="s">
        <v>173</v>
      </c>
      <c r="H106">
        <v>12</v>
      </c>
    </row>
    <row r="107" spans="1:8" x14ac:dyDescent="0.25">
      <c r="A107" t="s">
        <v>8</v>
      </c>
      <c r="B107" t="s">
        <v>174</v>
      </c>
      <c r="C107" t="s">
        <v>175</v>
      </c>
      <c r="D107">
        <v>102</v>
      </c>
      <c r="E107" t="s">
        <v>11</v>
      </c>
      <c r="F107" t="s">
        <v>172</v>
      </c>
      <c r="G107" t="s">
        <v>173</v>
      </c>
      <c r="H107">
        <v>13</v>
      </c>
    </row>
    <row r="108" spans="1:8" x14ac:dyDescent="0.25">
      <c r="A108" t="s">
        <v>13</v>
      </c>
      <c r="B108" t="s">
        <v>174</v>
      </c>
      <c r="C108" t="s">
        <v>175</v>
      </c>
      <c r="D108">
        <v>102</v>
      </c>
      <c r="E108" t="s">
        <v>11</v>
      </c>
      <c r="F108" t="s">
        <v>172</v>
      </c>
      <c r="G108" t="s">
        <v>173</v>
      </c>
      <c r="H108">
        <v>12</v>
      </c>
    </row>
    <row r="109" spans="1:8" x14ac:dyDescent="0.25">
      <c r="A109" t="s">
        <v>8</v>
      </c>
      <c r="B109" t="s">
        <v>176</v>
      </c>
      <c r="C109" t="s">
        <v>177</v>
      </c>
      <c r="D109">
        <v>102</v>
      </c>
      <c r="E109" t="s">
        <v>11</v>
      </c>
      <c r="F109" t="s">
        <v>172</v>
      </c>
      <c r="G109" t="s">
        <v>173</v>
      </c>
      <c r="H109">
        <v>14</v>
      </c>
    </row>
    <row r="110" spans="1:8" x14ac:dyDescent="0.25">
      <c r="A110" t="s">
        <v>13</v>
      </c>
      <c r="B110" t="s">
        <v>176</v>
      </c>
      <c r="C110" t="s">
        <v>177</v>
      </c>
      <c r="D110">
        <v>102</v>
      </c>
      <c r="E110" t="s">
        <v>11</v>
      </c>
      <c r="F110" t="s">
        <v>172</v>
      </c>
      <c r="G110" t="s">
        <v>173</v>
      </c>
      <c r="H110">
        <v>16</v>
      </c>
    </row>
    <row r="111" spans="1:8" x14ac:dyDescent="0.25">
      <c r="A111" t="s">
        <v>8</v>
      </c>
      <c r="B111" t="s">
        <v>178</v>
      </c>
      <c r="C111" t="s">
        <v>179</v>
      </c>
      <c r="D111">
        <v>102</v>
      </c>
      <c r="E111" t="s">
        <v>11</v>
      </c>
      <c r="F111" t="s">
        <v>172</v>
      </c>
      <c r="G111" t="s">
        <v>173</v>
      </c>
      <c r="H111">
        <v>18</v>
      </c>
    </row>
    <row r="112" spans="1:8" x14ac:dyDescent="0.25">
      <c r="A112" t="s">
        <v>13</v>
      </c>
      <c r="B112" t="s">
        <v>178</v>
      </c>
      <c r="C112" t="s">
        <v>179</v>
      </c>
      <c r="D112">
        <v>102</v>
      </c>
      <c r="E112" t="s">
        <v>11</v>
      </c>
      <c r="F112" t="s">
        <v>172</v>
      </c>
      <c r="G112" t="s">
        <v>173</v>
      </c>
      <c r="H112">
        <v>13</v>
      </c>
    </row>
    <row r="113" spans="1:8" x14ac:dyDescent="0.25">
      <c r="A113" t="s">
        <v>8</v>
      </c>
      <c r="B113" t="s">
        <v>180</v>
      </c>
      <c r="C113" t="s">
        <v>181</v>
      </c>
      <c r="D113">
        <v>102</v>
      </c>
      <c r="E113" t="s">
        <v>11</v>
      </c>
      <c r="F113" t="s">
        <v>172</v>
      </c>
      <c r="G113" t="s">
        <v>173</v>
      </c>
      <c r="H113">
        <v>12</v>
      </c>
    </row>
    <row r="114" spans="1:8" x14ac:dyDescent="0.25">
      <c r="A114" t="s">
        <v>13</v>
      </c>
      <c r="B114" t="s">
        <v>180</v>
      </c>
      <c r="C114" t="s">
        <v>181</v>
      </c>
      <c r="D114">
        <v>102</v>
      </c>
      <c r="E114" t="s">
        <v>11</v>
      </c>
      <c r="F114" t="s">
        <v>172</v>
      </c>
      <c r="G114" t="s">
        <v>173</v>
      </c>
      <c r="H114">
        <v>12</v>
      </c>
    </row>
    <row r="115" spans="1:8" x14ac:dyDescent="0.25">
      <c r="A115" t="s">
        <v>8</v>
      </c>
      <c r="B115" t="s">
        <v>182</v>
      </c>
      <c r="C115" t="s">
        <v>183</v>
      </c>
      <c r="D115">
        <v>102</v>
      </c>
      <c r="E115" t="s">
        <v>11</v>
      </c>
      <c r="F115" t="s">
        <v>64</v>
      </c>
      <c r="G115" t="s">
        <v>59</v>
      </c>
      <c r="H115">
        <v>22</v>
      </c>
    </row>
    <row r="116" spans="1:8" x14ac:dyDescent="0.25">
      <c r="A116" t="s">
        <v>8</v>
      </c>
      <c r="B116" t="s">
        <v>184</v>
      </c>
      <c r="C116" t="s">
        <v>185</v>
      </c>
    </row>
    <row r="117" spans="1:8" x14ac:dyDescent="0.25">
      <c r="A117" t="s">
        <v>186</v>
      </c>
      <c r="B117">
        <v>102</v>
      </c>
      <c r="C117" t="s">
        <v>11</v>
      </c>
      <c r="D117" t="s">
        <v>64</v>
      </c>
      <c r="E117" t="s">
        <v>59</v>
      </c>
      <c r="F117">
        <v>11</v>
      </c>
    </row>
    <row r="118" spans="1:8" x14ac:dyDescent="0.25">
      <c r="A118" t="s">
        <v>13</v>
      </c>
      <c r="B118" t="s">
        <v>184</v>
      </c>
      <c r="C118" t="s">
        <v>185</v>
      </c>
    </row>
    <row r="119" spans="1:8" x14ac:dyDescent="0.25">
      <c r="A119" t="s">
        <v>186</v>
      </c>
      <c r="B119">
        <v>102</v>
      </c>
      <c r="C119" t="s">
        <v>11</v>
      </c>
      <c r="D119" t="s">
        <v>64</v>
      </c>
      <c r="E119" t="s">
        <v>59</v>
      </c>
      <c r="F119">
        <v>6</v>
      </c>
    </row>
    <row r="120" spans="1:8" x14ac:dyDescent="0.25">
      <c r="A120" t="s">
        <v>8</v>
      </c>
      <c r="B120" t="s">
        <v>187</v>
      </c>
      <c r="C120" t="s">
        <v>188</v>
      </c>
      <c r="D120">
        <v>102</v>
      </c>
      <c r="E120" t="s">
        <v>11</v>
      </c>
      <c r="F120" t="s">
        <v>189</v>
      </c>
      <c r="G120" t="s">
        <v>190</v>
      </c>
      <c r="H120">
        <v>12</v>
      </c>
    </row>
    <row r="121" spans="1:8" x14ac:dyDescent="0.25">
      <c r="A121" t="s">
        <v>13</v>
      </c>
      <c r="B121" t="s">
        <v>187</v>
      </c>
      <c r="C121" t="s">
        <v>188</v>
      </c>
      <c r="D121">
        <v>102</v>
      </c>
      <c r="E121" t="s">
        <v>11</v>
      </c>
      <c r="F121" t="s">
        <v>189</v>
      </c>
      <c r="G121" t="s">
        <v>190</v>
      </c>
      <c r="H121">
        <v>7</v>
      </c>
    </row>
    <row r="122" spans="1:8" x14ac:dyDescent="0.25">
      <c r="A122" t="s">
        <v>8</v>
      </c>
      <c r="B122" t="s">
        <v>191</v>
      </c>
      <c r="C122" t="s">
        <v>192</v>
      </c>
      <c r="D122">
        <v>102</v>
      </c>
      <c r="E122" t="s">
        <v>11</v>
      </c>
      <c r="F122" t="s">
        <v>193</v>
      </c>
      <c r="G122" t="s">
        <v>194</v>
      </c>
      <c r="H122">
        <v>1</v>
      </c>
    </row>
    <row r="123" spans="1:8" x14ac:dyDescent="0.25">
      <c r="A123" t="s">
        <v>8</v>
      </c>
      <c r="B123" t="s">
        <v>195</v>
      </c>
      <c r="C123" t="s">
        <v>196</v>
      </c>
      <c r="D123">
        <v>102</v>
      </c>
      <c r="E123" t="s">
        <v>11</v>
      </c>
      <c r="F123" t="s">
        <v>197</v>
      </c>
      <c r="G123" t="s">
        <v>194</v>
      </c>
      <c r="H123">
        <v>1</v>
      </c>
    </row>
    <row r="124" spans="1:8" x14ac:dyDescent="0.25">
      <c r="A124" t="s">
        <v>8</v>
      </c>
      <c r="B124" t="s">
        <v>198</v>
      </c>
      <c r="C124" t="s">
        <v>199</v>
      </c>
      <c r="D124">
        <v>102</v>
      </c>
      <c r="E124" t="s">
        <v>11</v>
      </c>
      <c r="F124" t="s">
        <v>200</v>
      </c>
      <c r="G124" t="s">
        <v>201</v>
      </c>
      <c r="H124">
        <v>1</v>
      </c>
    </row>
    <row r="125" spans="1:8" x14ac:dyDescent="0.25">
      <c r="A125" t="s">
        <v>13</v>
      </c>
      <c r="B125" t="s">
        <v>198</v>
      </c>
      <c r="C125" t="s">
        <v>199</v>
      </c>
      <c r="D125">
        <v>102</v>
      </c>
      <c r="E125" t="s">
        <v>11</v>
      </c>
      <c r="F125" t="s">
        <v>200</v>
      </c>
      <c r="G125" t="s">
        <v>201</v>
      </c>
      <c r="H125">
        <v>2</v>
      </c>
    </row>
    <row r="126" spans="1:8" x14ac:dyDescent="0.25">
      <c r="A126" t="s">
        <v>8</v>
      </c>
      <c r="B126" t="s">
        <v>202</v>
      </c>
      <c r="C126" t="s">
        <v>203</v>
      </c>
      <c r="D126">
        <v>102</v>
      </c>
      <c r="E126" t="s">
        <v>11</v>
      </c>
      <c r="F126" t="s">
        <v>204</v>
      </c>
      <c r="G126" t="s">
        <v>205</v>
      </c>
      <c r="H126">
        <v>15</v>
      </c>
    </row>
    <row r="127" spans="1:8" x14ac:dyDescent="0.25">
      <c r="A127" t="s">
        <v>13</v>
      </c>
      <c r="B127" t="s">
        <v>202</v>
      </c>
      <c r="C127" t="s">
        <v>203</v>
      </c>
      <c r="D127">
        <v>102</v>
      </c>
      <c r="E127" t="s">
        <v>11</v>
      </c>
      <c r="F127" t="s">
        <v>204</v>
      </c>
      <c r="G127" t="s">
        <v>205</v>
      </c>
      <c r="H127">
        <v>21</v>
      </c>
    </row>
    <row r="128" spans="1:8" x14ac:dyDescent="0.25">
      <c r="A128" t="s">
        <v>8</v>
      </c>
      <c r="B128" t="s">
        <v>206</v>
      </c>
      <c r="C128" t="s">
        <v>207</v>
      </c>
      <c r="D128">
        <v>102</v>
      </c>
      <c r="E128" t="s">
        <v>11</v>
      </c>
      <c r="F128" t="s">
        <v>204</v>
      </c>
      <c r="G128" t="s">
        <v>205</v>
      </c>
      <c r="H128">
        <v>38</v>
      </c>
    </row>
    <row r="129" spans="1:8" x14ac:dyDescent="0.25">
      <c r="A129" t="s">
        <v>13</v>
      </c>
      <c r="B129" t="s">
        <v>206</v>
      </c>
      <c r="C129" t="s">
        <v>207</v>
      </c>
      <c r="D129">
        <v>102</v>
      </c>
      <c r="E129" t="s">
        <v>11</v>
      </c>
      <c r="F129" t="s">
        <v>204</v>
      </c>
      <c r="G129" t="s">
        <v>205</v>
      </c>
      <c r="H129">
        <v>34</v>
      </c>
    </row>
    <row r="130" spans="1:8" x14ac:dyDescent="0.25">
      <c r="A130" t="s">
        <v>8</v>
      </c>
      <c r="B130" t="s">
        <v>208</v>
      </c>
      <c r="C130" t="s">
        <v>209</v>
      </c>
      <c r="D130">
        <v>102</v>
      </c>
      <c r="E130" t="s">
        <v>11</v>
      </c>
      <c r="F130" t="s">
        <v>204</v>
      </c>
      <c r="G130" t="s">
        <v>205</v>
      </c>
      <c r="H130">
        <v>21</v>
      </c>
    </row>
    <row r="131" spans="1:8" x14ac:dyDescent="0.25">
      <c r="A131" t="s">
        <v>13</v>
      </c>
      <c r="B131" t="s">
        <v>208</v>
      </c>
      <c r="C131" t="s">
        <v>209</v>
      </c>
      <c r="D131">
        <v>102</v>
      </c>
      <c r="E131" t="s">
        <v>11</v>
      </c>
      <c r="F131" t="s">
        <v>204</v>
      </c>
      <c r="G131" t="s">
        <v>205</v>
      </c>
      <c r="H131">
        <v>30</v>
      </c>
    </row>
    <row r="132" spans="1:8" x14ac:dyDescent="0.25">
      <c r="A132" t="s">
        <v>8</v>
      </c>
      <c r="B132" t="s">
        <v>210</v>
      </c>
      <c r="C132" t="s">
        <v>211</v>
      </c>
      <c r="D132">
        <v>102</v>
      </c>
      <c r="E132" t="s">
        <v>11</v>
      </c>
      <c r="F132" t="s">
        <v>204</v>
      </c>
      <c r="G132" t="s">
        <v>205</v>
      </c>
      <c r="H132">
        <v>33</v>
      </c>
    </row>
    <row r="133" spans="1:8" x14ac:dyDescent="0.25">
      <c r="A133" t="s">
        <v>13</v>
      </c>
      <c r="B133" t="s">
        <v>210</v>
      </c>
      <c r="C133" t="s">
        <v>211</v>
      </c>
      <c r="D133">
        <v>102</v>
      </c>
      <c r="E133" t="s">
        <v>11</v>
      </c>
      <c r="F133" t="s">
        <v>204</v>
      </c>
      <c r="G133" t="s">
        <v>205</v>
      </c>
      <c r="H133">
        <v>25</v>
      </c>
    </row>
    <row r="134" spans="1:8" x14ac:dyDescent="0.25">
      <c r="A134" t="s">
        <v>8</v>
      </c>
      <c r="B134" t="s">
        <v>212</v>
      </c>
      <c r="C134" t="s">
        <v>213</v>
      </c>
      <c r="D134">
        <v>102</v>
      </c>
      <c r="E134" t="s">
        <v>11</v>
      </c>
      <c r="F134" t="s">
        <v>204</v>
      </c>
      <c r="G134" t="s">
        <v>214</v>
      </c>
      <c r="H134">
        <v>12</v>
      </c>
    </row>
    <row r="135" spans="1:8" x14ac:dyDescent="0.25">
      <c r="A135" t="s">
        <v>13</v>
      </c>
      <c r="B135" t="s">
        <v>212</v>
      </c>
      <c r="C135" t="s">
        <v>213</v>
      </c>
      <c r="D135">
        <v>102</v>
      </c>
      <c r="E135" t="s">
        <v>11</v>
      </c>
      <c r="F135" t="s">
        <v>204</v>
      </c>
      <c r="G135" t="s">
        <v>214</v>
      </c>
      <c r="H135">
        <v>11</v>
      </c>
    </row>
    <row r="136" spans="1:8" x14ac:dyDescent="0.25">
      <c r="A136" t="s">
        <v>8</v>
      </c>
      <c r="B136" t="s">
        <v>215</v>
      </c>
      <c r="C136" t="s">
        <v>216</v>
      </c>
      <c r="D136">
        <v>102</v>
      </c>
      <c r="E136" t="s">
        <v>11</v>
      </c>
      <c r="F136" t="s">
        <v>217</v>
      </c>
      <c r="G136" t="s">
        <v>218</v>
      </c>
      <c r="H136">
        <v>1</v>
      </c>
    </row>
    <row r="137" spans="1:8" x14ac:dyDescent="0.25">
      <c r="A137" t="s">
        <v>8</v>
      </c>
      <c r="B137" t="s">
        <v>219</v>
      </c>
      <c r="C137" t="s">
        <v>220</v>
      </c>
      <c r="D137">
        <v>102</v>
      </c>
      <c r="E137" t="s">
        <v>11</v>
      </c>
      <c r="F137" t="s">
        <v>221</v>
      </c>
      <c r="G137" t="s">
        <v>218</v>
      </c>
      <c r="H137">
        <v>79</v>
      </c>
    </row>
    <row r="138" spans="1:8" x14ac:dyDescent="0.25">
      <c r="A138" t="s">
        <v>13</v>
      </c>
      <c r="B138" t="s">
        <v>219</v>
      </c>
      <c r="C138" t="s">
        <v>220</v>
      </c>
      <c r="D138">
        <v>102</v>
      </c>
      <c r="E138" t="s">
        <v>11</v>
      </c>
      <c r="F138" t="s">
        <v>221</v>
      </c>
      <c r="G138" t="s">
        <v>218</v>
      </c>
      <c r="H138">
        <v>83</v>
      </c>
    </row>
    <row r="139" spans="1:8" x14ac:dyDescent="0.25">
      <c r="A139" t="s">
        <v>8</v>
      </c>
      <c r="B139" t="s">
        <v>222</v>
      </c>
      <c r="C139" t="s">
        <v>223</v>
      </c>
      <c r="D139">
        <v>102</v>
      </c>
      <c r="E139" t="s">
        <v>11</v>
      </c>
      <c r="F139" t="s">
        <v>221</v>
      </c>
      <c r="G139" t="s">
        <v>218</v>
      </c>
      <c r="H139">
        <v>14</v>
      </c>
    </row>
    <row r="140" spans="1:8" x14ac:dyDescent="0.25">
      <c r="A140" t="s">
        <v>13</v>
      </c>
      <c r="B140" t="s">
        <v>222</v>
      </c>
      <c r="C140" t="s">
        <v>223</v>
      </c>
      <c r="D140">
        <v>102</v>
      </c>
      <c r="E140" t="s">
        <v>11</v>
      </c>
      <c r="F140" t="s">
        <v>221</v>
      </c>
      <c r="G140" t="s">
        <v>218</v>
      </c>
      <c r="H140">
        <v>16</v>
      </c>
    </row>
    <row r="141" spans="1:8" x14ac:dyDescent="0.25">
      <c r="A141" t="s">
        <v>8</v>
      </c>
      <c r="B141" t="s">
        <v>224</v>
      </c>
      <c r="C141" t="s">
        <v>225</v>
      </c>
      <c r="D141">
        <v>102</v>
      </c>
      <c r="E141" t="s">
        <v>11</v>
      </c>
      <c r="F141" t="s">
        <v>221</v>
      </c>
      <c r="G141" t="s">
        <v>218</v>
      </c>
      <c r="H141">
        <v>12</v>
      </c>
    </row>
    <row r="142" spans="1:8" x14ac:dyDescent="0.25">
      <c r="A142" t="s">
        <v>13</v>
      </c>
      <c r="B142" t="s">
        <v>224</v>
      </c>
      <c r="C142" t="s">
        <v>225</v>
      </c>
      <c r="D142">
        <v>102</v>
      </c>
      <c r="E142" t="s">
        <v>11</v>
      </c>
      <c r="F142" t="s">
        <v>221</v>
      </c>
      <c r="G142" t="s">
        <v>218</v>
      </c>
      <c r="H142">
        <v>9</v>
      </c>
    </row>
    <row r="143" spans="1:8" x14ac:dyDescent="0.25">
      <c r="A143" t="s">
        <v>8</v>
      </c>
      <c r="B143" t="s">
        <v>226</v>
      </c>
      <c r="C143" t="s">
        <v>227</v>
      </c>
      <c r="D143">
        <v>102</v>
      </c>
      <c r="E143" t="s">
        <v>11</v>
      </c>
      <c r="F143" t="s">
        <v>221</v>
      </c>
      <c r="G143" t="s">
        <v>218</v>
      </c>
      <c r="H143">
        <v>1</v>
      </c>
    </row>
    <row r="144" spans="1:8" x14ac:dyDescent="0.25">
      <c r="A144" t="s">
        <v>8</v>
      </c>
      <c r="B144" t="s">
        <v>228</v>
      </c>
      <c r="C144" t="s">
        <v>229</v>
      </c>
      <c r="D144">
        <v>102</v>
      </c>
      <c r="E144" t="s">
        <v>11</v>
      </c>
      <c r="F144" t="s">
        <v>221</v>
      </c>
      <c r="G144" t="s">
        <v>218</v>
      </c>
      <c r="H144">
        <v>10</v>
      </c>
    </row>
    <row r="145" spans="1:8" x14ac:dyDescent="0.25">
      <c r="A145" t="s">
        <v>13</v>
      </c>
      <c r="B145" t="s">
        <v>228</v>
      </c>
      <c r="C145" t="s">
        <v>229</v>
      </c>
      <c r="D145">
        <v>102</v>
      </c>
      <c r="E145" t="s">
        <v>11</v>
      </c>
      <c r="F145" t="s">
        <v>221</v>
      </c>
      <c r="G145" t="s">
        <v>218</v>
      </c>
      <c r="H145">
        <v>11</v>
      </c>
    </row>
    <row r="146" spans="1:8" x14ac:dyDescent="0.25">
      <c r="A146" t="s">
        <v>8</v>
      </c>
      <c r="B146" t="s">
        <v>230</v>
      </c>
      <c r="C146" t="s">
        <v>231</v>
      </c>
      <c r="D146">
        <v>102</v>
      </c>
      <c r="E146" t="s">
        <v>11</v>
      </c>
      <c r="F146" t="s">
        <v>232</v>
      </c>
      <c r="G146" t="s">
        <v>218</v>
      </c>
      <c r="H146">
        <v>12</v>
      </c>
    </row>
    <row r="147" spans="1:8" x14ac:dyDescent="0.25">
      <c r="A147" t="s">
        <v>13</v>
      </c>
      <c r="B147" t="s">
        <v>230</v>
      </c>
      <c r="C147" t="s">
        <v>231</v>
      </c>
      <c r="D147">
        <v>102</v>
      </c>
      <c r="E147" t="s">
        <v>11</v>
      </c>
      <c r="F147" t="s">
        <v>232</v>
      </c>
      <c r="G147" t="s">
        <v>218</v>
      </c>
      <c r="H147">
        <v>4</v>
      </c>
    </row>
    <row r="148" spans="1:8" x14ac:dyDescent="0.25">
      <c r="A148" t="s">
        <v>8</v>
      </c>
      <c r="B148" t="s">
        <v>233</v>
      </c>
      <c r="C148" t="s">
        <v>234</v>
      </c>
      <c r="D148">
        <v>102</v>
      </c>
      <c r="E148" t="s">
        <v>11</v>
      </c>
      <c r="F148" t="s">
        <v>235</v>
      </c>
      <c r="G148" t="s">
        <v>218</v>
      </c>
      <c r="H148">
        <v>11</v>
      </c>
    </row>
    <row r="149" spans="1:8" x14ac:dyDescent="0.25">
      <c r="A149" t="s">
        <v>13</v>
      </c>
      <c r="B149" t="s">
        <v>233</v>
      </c>
      <c r="C149" t="s">
        <v>234</v>
      </c>
      <c r="D149">
        <v>102</v>
      </c>
      <c r="E149" t="s">
        <v>11</v>
      </c>
      <c r="F149" t="s">
        <v>235</v>
      </c>
      <c r="G149" t="s">
        <v>218</v>
      </c>
      <c r="H149">
        <v>7</v>
      </c>
    </row>
    <row r="150" spans="1:8" x14ac:dyDescent="0.25">
      <c r="A150" t="s">
        <v>8</v>
      </c>
      <c r="B150" t="s">
        <v>236</v>
      </c>
      <c r="C150" t="s">
        <v>237</v>
      </c>
      <c r="D150">
        <v>102</v>
      </c>
      <c r="E150" t="s">
        <v>11</v>
      </c>
      <c r="F150" t="s">
        <v>238</v>
      </c>
      <c r="G150" t="s">
        <v>218</v>
      </c>
      <c r="H150">
        <v>31</v>
      </c>
    </row>
    <row r="151" spans="1:8" x14ac:dyDescent="0.25">
      <c r="A151" t="s">
        <v>13</v>
      </c>
      <c r="B151" t="s">
        <v>236</v>
      </c>
      <c r="C151" t="s">
        <v>237</v>
      </c>
      <c r="D151">
        <v>102</v>
      </c>
      <c r="E151" t="s">
        <v>11</v>
      </c>
      <c r="F151" t="s">
        <v>238</v>
      </c>
      <c r="G151" t="s">
        <v>218</v>
      </c>
      <c r="H151">
        <v>28</v>
      </c>
    </row>
    <row r="152" spans="1:8" x14ac:dyDescent="0.25">
      <c r="A152" t="s">
        <v>8</v>
      </c>
      <c r="B152" t="s">
        <v>239</v>
      </c>
      <c r="C152" t="s">
        <v>240</v>
      </c>
      <c r="D152">
        <v>102</v>
      </c>
      <c r="E152" t="s">
        <v>11</v>
      </c>
      <c r="F152" t="s">
        <v>241</v>
      </c>
      <c r="G152" t="s">
        <v>201</v>
      </c>
      <c r="H152">
        <v>1</v>
      </c>
    </row>
    <row r="153" spans="1:8" x14ac:dyDescent="0.25">
      <c r="A153" t="s">
        <v>13</v>
      </c>
      <c r="B153" t="s">
        <v>242</v>
      </c>
      <c r="C153" t="s">
        <v>243</v>
      </c>
      <c r="D153">
        <v>102</v>
      </c>
      <c r="E153" t="s">
        <v>11</v>
      </c>
      <c r="F153" t="s">
        <v>18</v>
      </c>
      <c r="G153" t="s">
        <v>129</v>
      </c>
      <c r="H153">
        <v>1</v>
      </c>
    </row>
    <row r="154" spans="1:8" x14ac:dyDescent="0.25">
      <c r="A154" t="s">
        <v>8</v>
      </c>
      <c r="B154" t="s">
        <v>244</v>
      </c>
      <c r="C154" t="s">
        <v>245</v>
      </c>
      <c r="D154">
        <v>102</v>
      </c>
      <c r="E154" t="s">
        <v>11</v>
      </c>
      <c r="F154" t="s">
        <v>18</v>
      </c>
      <c r="G154" t="s">
        <v>12</v>
      </c>
      <c r="H154">
        <v>3</v>
      </c>
    </row>
    <row r="155" spans="1:8" x14ac:dyDescent="0.25">
      <c r="A155" t="s">
        <v>8</v>
      </c>
      <c r="B155" t="s">
        <v>246</v>
      </c>
      <c r="C155" t="s">
        <v>247</v>
      </c>
      <c r="D155">
        <v>102</v>
      </c>
      <c r="E155" t="s">
        <v>11</v>
      </c>
      <c r="F155" t="s">
        <v>18</v>
      </c>
      <c r="G155" t="s">
        <v>12</v>
      </c>
      <c r="H155">
        <v>1</v>
      </c>
    </row>
    <row r="156" spans="1:8" x14ac:dyDescent="0.25">
      <c r="A156" t="s">
        <v>8</v>
      </c>
      <c r="B156" t="s">
        <v>248</v>
      </c>
      <c r="C156" t="s">
        <v>249</v>
      </c>
      <c r="D156">
        <v>102</v>
      </c>
      <c r="E156" t="s">
        <v>11</v>
      </c>
      <c r="F156" t="s">
        <v>18</v>
      </c>
      <c r="G156" t="s">
        <v>12</v>
      </c>
      <c r="H156">
        <v>9</v>
      </c>
    </row>
    <row r="157" spans="1:8" x14ac:dyDescent="0.25">
      <c r="A157" t="s">
        <v>8</v>
      </c>
      <c r="B157" t="s">
        <v>250</v>
      </c>
      <c r="C157" t="s">
        <v>251</v>
      </c>
      <c r="D157">
        <v>102</v>
      </c>
      <c r="E157" t="s">
        <v>11</v>
      </c>
      <c r="F157" t="s">
        <v>18</v>
      </c>
      <c r="G157" t="s">
        <v>12</v>
      </c>
      <c r="H157">
        <v>12</v>
      </c>
    </row>
    <row r="158" spans="1:8" x14ac:dyDescent="0.25">
      <c r="A158" t="s">
        <v>8</v>
      </c>
      <c r="B158" t="s">
        <v>252</v>
      </c>
      <c r="C158" t="s">
        <v>253</v>
      </c>
      <c r="D158">
        <v>102</v>
      </c>
      <c r="E158" t="s">
        <v>11</v>
      </c>
      <c r="F158" t="s">
        <v>18</v>
      </c>
      <c r="G158" t="s">
        <v>129</v>
      </c>
      <c r="H158">
        <v>3</v>
      </c>
    </row>
    <row r="159" spans="1:8" x14ac:dyDescent="0.25">
      <c r="A159" t="s">
        <v>8</v>
      </c>
      <c r="B159" t="s">
        <v>254</v>
      </c>
      <c r="C159" t="s">
        <v>255</v>
      </c>
      <c r="D159">
        <v>102</v>
      </c>
      <c r="E159" t="s">
        <v>11</v>
      </c>
      <c r="F159" t="s">
        <v>18</v>
      </c>
      <c r="G159" t="s">
        <v>129</v>
      </c>
      <c r="H159">
        <v>2</v>
      </c>
    </row>
    <row r="160" spans="1:8" x14ac:dyDescent="0.25">
      <c r="A160" t="s">
        <v>13</v>
      </c>
      <c r="B160" t="s">
        <v>256</v>
      </c>
      <c r="C160" t="s">
        <v>257</v>
      </c>
      <c r="D160">
        <v>102</v>
      </c>
      <c r="E160" t="s">
        <v>11</v>
      </c>
      <c r="F160" t="s">
        <v>18</v>
      </c>
      <c r="G160" t="s">
        <v>129</v>
      </c>
      <c r="H160">
        <v>3</v>
      </c>
    </row>
    <row r="161" spans="1:8" x14ac:dyDescent="0.25">
      <c r="A161" t="s">
        <v>13</v>
      </c>
      <c r="B161" t="s">
        <v>258</v>
      </c>
      <c r="C161" t="s">
        <v>259</v>
      </c>
      <c r="D161">
        <v>102</v>
      </c>
      <c r="E161" t="s">
        <v>11</v>
      </c>
      <c r="F161" t="s">
        <v>18</v>
      </c>
      <c r="G161" t="s">
        <v>129</v>
      </c>
      <c r="H161">
        <v>1</v>
      </c>
    </row>
    <row r="162" spans="1:8" x14ac:dyDescent="0.25">
      <c r="A162" t="s">
        <v>13</v>
      </c>
      <c r="B162" t="s">
        <v>260</v>
      </c>
      <c r="C162" t="s">
        <v>261</v>
      </c>
      <c r="D162">
        <v>102</v>
      </c>
      <c r="E162" t="s">
        <v>11</v>
      </c>
      <c r="F162" t="s">
        <v>18</v>
      </c>
      <c r="G162" t="s">
        <v>129</v>
      </c>
      <c r="H162">
        <v>1</v>
      </c>
    </row>
    <row r="163" spans="1:8" x14ac:dyDescent="0.25">
      <c r="A163" t="s">
        <v>8</v>
      </c>
      <c r="B163" t="s">
        <v>262</v>
      </c>
      <c r="C163" t="s">
        <v>263</v>
      </c>
      <c r="D163">
        <v>102</v>
      </c>
      <c r="E163" t="s">
        <v>11</v>
      </c>
      <c r="F163" t="s">
        <v>18</v>
      </c>
      <c r="G163" t="s">
        <v>129</v>
      </c>
      <c r="H163">
        <v>1</v>
      </c>
    </row>
    <row r="164" spans="1:8" x14ac:dyDescent="0.25">
      <c r="A164" t="s">
        <v>13</v>
      </c>
      <c r="B164" t="s">
        <v>262</v>
      </c>
      <c r="C164" t="s">
        <v>263</v>
      </c>
      <c r="D164">
        <v>102</v>
      </c>
      <c r="E164" t="s">
        <v>11</v>
      </c>
      <c r="F164" t="s">
        <v>18</v>
      </c>
      <c r="G164" t="s">
        <v>129</v>
      </c>
      <c r="H164">
        <v>1</v>
      </c>
    </row>
    <row r="165" spans="1:8" x14ac:dyDescent="0.25">
      <c r="A165" t="s">
        <v>8</v>
      </c>
      <c r="B165" t="s">
        <v>264</v>
      </c>
      <c r="C165" t="s">
        <v>265</v>
      </c>
      <c r="D165">
        <v>102</v>
      </c>
      <c r="E165" t="s">
        <v>11</v>
      </c>
      <c r="F165" t="s">
        <v>18</v>
      </c>
      <c r="G165" t="s">
        <v>129</v>
      </c>
      <c r="H165">
        <v>2</v>
      </c>
    </row>
    <row r="166" spans="1:8" x14ac:dyDescent="0.25">
      <c r="A166" t="s">
        <v>8</v>
      </c>
      <c r="B166" t="s">
        <v>266</v>
      </c>
      <c r="C166" t="s">
        <v>267</v>
      </c>
      <c r="D166">
        <v>102</v>
      </c>
      <c r="E166" t="s">
        <v>11</v>
      </c>
      <c r="F166" t="s">
        <v>18</v>
      </c>
      <c r="G166" t="s">
        <v>129</v>
      </c>
      <c r="H166">
        <v>1</v>
      </c>
    </row>
    <row r="167" spans="1:8" x14ac:dyDescent="0.25">
      <c r="A167" t="s">
        <v>8</v>
      </c>
      <c r="B167" t="s">
        <v>268</v>
      </c>
      <c r="C167" t="s">
        <v>269</v>
      </c>
      <c r="D167">
        <v>102</v>
      </c>
      <c r="E167" t="s">
        <v>11</v>
      </c>
      <c r="F167" t="s">
        <v>18</v>
      </c>
      <c r="G167" t="s">
        <v>129</v>
      </c>
      <c r="H167">
        <v>1</v>
      </c>
    </row>
    <row r="168" spans="1:8" x14ac:dyDescent="0.25">
      <c r="A168" t="s">
        <v>13</v>
      </c>
      <c r="B168" t="s">
        <v>268</v>
      </c>
      <c r="C168" t="s">
        <v>269</v>
      </c>
      <c r="D168">
        <v>102</v>
      </c>
      <c r="E168" t="s">
        <v>11</v>
      </c>
      <c r="F168" t="s">
        <v>18</v>
      </c>
      <c r="G168" t="s">
        <v>129</v>
      </c>
      <c r="H168">
        <v>1</v>
      </c>
    </row>
    <row r="169" spans="1:8" x14ac:dyDescent="0.25">
      <c r="A169" t="s">
        <v>8</v>
      </c>
      <c r="B169" t="s">
        <v>270</v>
      </c>
      <c r="C169" t="s">
        <v>271</v>
      </c>
      <c r="D169">
        <v>102</v>
      </c>
      <c r="E169" t="s">
        <v>11</v>
      </c>
      <c r="F169" t="s">
        <v>18</v>
      </c>
      <c r="G169" t="s">
        <v>129</v>
      </c>
      <c r="H169">
        <v>4</v>
      </c>
    </row>
    <row r="170" spans="1:8" x14ac:dyDescent="0.25">
      <c r="A170" t="s">
        <v>8</v>
      </c>
      <c r="B170" t="s">
        <v>272</v>
      </c>
      <c r="C170" t="s">
        <v>273</v>
      </c>
      <c r="D170">
        <v>102</v>
      </c>
      <c r="E170" t="s">
        <v>11</v>
      </c>
      <c r="F170" t="s">
        <v>18</v>
      </c>
      <c r="G170" t="s">
        <v>129</v>
      </c>
      <c r="H170">
        <v>6</v>
      </c>
    </row>
    <row r="171" spans="1:8" x14ac:dyDescent="0.25">
      <c r="A171" t="s">
        <v>13</v>
      </c>
      <c r="B171" t="s">
        <v>272</v>
      </c>
      <c r="C171" t="s">
        <v>273</v>
      </c>
      <c r="D171">
        <v>102</v>
      </c>
      <c r="E171" t="s">
        <v>11</v>
      </c>
      <c r="F171" t="s">
        <v>18</v>
      </c>
      <c r="G171" t="s">
        <v>129</v>
      </c>
      <c r="H171">
        <v>12</v>
      </c>
    </row>
    <row r="172" spans="1:8" x14ac:dyDescent="0.25">
      <c r="A172" t="s">
        <v>8</v>
      </c>
      <c r="B172" t="s">
        <v>274</v>
      </c>
      <c r="C172" t="s">
        <v>275</v>
      </c>
      <c r="D172">
        <v>102</v>
      </c>
      <c r="E172" t="s">
        <v>11</v>
      </c>
      <c r="F172" t="s">
        <v>18</v>
      </c>
      <c r="G172" t="s">
        <v>12</v>
      </c>
      <c r="H172">
        <v>8</v>
      </c>
    </row>
    <row r="173" spans="1:8" x14ac:dyDescent="0.25">
      <c r="A173" t="s">
        <v>13</v>
      </c>
      <c r="B173" t="s">
        <v>274</v>
      </c>
      <c r="C173" t="s">
        <v>275</v>
      </c>
      <c r="D173">
        <v>102</v>
      </c>
      <c r="E173" t="s">
        <v>11</v>
      </c>
      <c r="F173" t="s">
        <v>18</v>
      </c>
      <c r="G173" t="s">
        <v>12</v>
      </c>
      <c r="H173">
        <v>2</v>
      </c>
    </row>
    <row r="174" spans="1:8" x14ac:dyDescent="0.25">
      <c r="A174" t="s">
        <v>8</v>
      </c>
      <c r="B174" t="s">
        <v>276</v>
      </c>
      <c r="C174" t="s">
        <v>277</v>
      </c>
      <c r="D174">
        <v>102</v>
      </c>
      <c r="E174" t="s">
        <v>11</v>
      </c>
      <c r="F174" t="s">
        <v>200</v>
      </c>
      <c r="G174" t="s">
        <v>201</v>
      </c>
      <c r="H174">
        <v>1</v>
      </c>
    </row>
    <row r="175" spans="1:8" x14ac:dyDescent="0.25">
      <c r="A175" t="s">
        <v>13</v>
      </c>
      <c r="B175" t="s">
        <v>276</v>
      </c>
      <c r="C175" t="s">
        <v>277</v>
      </c>
      <c r="D175">
        <v>102</v>
      </c>
      <c r="E175" t="s">
        <v>11</v>
      </c>
      <c r="F175" t="s">
        <v>200</v>
      </c>
      <c r="G175" t="s">
        <v>201</v>
      </c>
      <c r="H175">
        <v>1</v>
      </c>
    </row>
    <row r="176" spans="1:8" x14ac:dyDescent="0.25">
      <c r="A176" t="s">
        <v>13</v>
      </c>
      <c r="B176" t="s">
        <v>278</v>
      </c>
      <c r="C176" t="s">
        <v>279</v>
      </c>
      <c r="D176">
        <v>102</v>
      </c>
      <c r="E176" t="s">
        <v>11</v>
      </c>
      <c r="F176" t="s">
        <v>200</v>
      </c>
      <c r="G176" t="s">
        <v>201</v>
      </c>
      <c r="H176">
        <v>2</v>
      </c>
    </row>
    <row r="177" spans="1:8" x14ac:dyDescent="0.25">
      <c r="A177" t="s">
        <v>8</v>
      </c>
      <c r="B177" t="s">
        <v>280</v>
      </c>
      <c r="C177" t="s">
        <v>281</v>
      </c>
      <c r="D177">
        <v>102</v>
      </c>
      <c r="E177" t="s">
        <v>11</v>
      </c>
      <c r="F177" t="s">
        <v>200</v>
      </c>
      <c r="G177" t="s">
        <v>201</v>
      </c>
      <c r="H177">
        <v>3</v>
      </c>
    </row>
    <row r="178" spans="1:8" x14ac:dyDescent="0.25">
      <c r="A178" t="s">
        <v>8</v>
      </c>
      <c r="B178" t="s">
        <v>282</v>
      </c>
      <c r="C178" t="s">
        <v>283</v>
      </c>
      <c r="D178">
        <v>102</v>
      </c>
      <c r="E178" t="s">
        <v>11</v>
      </c>
      <c r="F178" t="s">
        <v>18</v>
      </c>
      <c r="G178" t="s">
        <v>12</v>
      </c>
      <c r="H178">
        <v>1</v>
      </c>
    </row>
    <row r="179" spans="1:8" x14ac:dyDescent="0.25">
      <c r="A179" t="s">
        <v>8</v>
      </c>
      <c r="B179" t="s">
        <v>284</v>
      </c>
      <c r="C179" t="s">
        <v>285</v>
      </c>
      <c r="D179">
        <v>102</v>
      </c>
      <c r="E179" t="s">
        <v>11</v>
      </c>
      <c r="F179" t="s">
        <v>38</v>
      </c>
      <c r="G179" t="s">
        <v>77</v>
      </c>
      <c r="H179">
        <v>10</v>
      </c>
    </row>
    <row r="180" spans="1:8" x14ac:dyDescent="0.25">
      <c r="A180" t="s">
        <v>13</v>
      </c>
      <c r="B180" t="s">
        <v>284</v>
      </c>
      <c r="C180" t="s">
        <v>285</v>
      </c>
      <c r="D180">
        <v>102</v>
      </c>
      <c r="E180" t="s">
        <v>11</v>
      </c>
      <c r="F180" t="s">
        <v>38</v>
      </c>
      <c r="G180" t="s">
        <v>77</v>
      </c>
      <c r="H180">
        <v>9</v>
      </c>
    </row>
    <row r="181" spans="1:8" x14ac:dyDescent="0.25">
      <c r="A181" t="s">
        <v>8</v>
      </c>
      <c r="B181" t="s">
        <v>286</v>
      </c>
      <c r="C181" t="s">
        <v>287</v>
      </c>
      <c r="D181">
        <v>102</v>
      </c>
      <c r="E181" t="s">
        <v>11</v>
      </c>
      <c r="F181" t="s">
        <v>18</v>
      </c>
      <c r="G181" t="s">
        <v>12</v>
      </c>
      <c r="H181">
        <v>6</v>
      </c>
    </row>
    <row r="182" spans="1:8" x14ac:dyDescent="0.25">
      <c r="A182" t="s">
        <v>8</v>
      </c>
      <c r="B182" t="s">
        <v>288</v>
      </c>
      <c r="C182" t="s">
        <v>289</v>
      </c>
      <c r="D182">
        <v>102</v>
      </c>
      <c r="E182" t="s">
        <v>11</v>
      </c>
      <c r="F182" t="s">
        <v>290</v>
      </c>
      <c r="G182" t="s">
        <v>291</v>
      </c>
      <c r="H182">
        <v>4</v>
      </c>
    </row>
    <row r="183" spans="1:8" x14ac:dyDescent="0.25">
      <c r="A183" t="s">
        <v>8</v>
      </c>
      <c r="B183" t="s">
        <v>292</v>
      </c>
      <c r="C183" t="s">
        <v>293</v>
      </c>
      <c r="D183">
        <v>102</v>
      </c>
      <c r="E183" t="s">
        <v>11</v>
      </c>
      <c r="F183" t="s">
        <v>290</v>
      </c>
      <c r="G183" t="s">
        <v>291</v>
      </c>
      <c r="H183">
        <v>8</v>
      </c>
    </row>
    <row r="184" spans="1:8" x14ac:dyDescent="0.25">
      <c r="A184" t="s">
        <v>13</v>
      </c>
      <c r="B184" t="s">
        <v>294</v>
      </c>
      <c r="C184" t="s">
        <v>295</v>
      </c>
      <c r="D184">
        <v>102</v>
      </c>
      <c r="E184" t="s">
        <v>11</v>
      </c>
      <c r="F184" t="s">
        <v>296</v>
      </c>
      <c r="G184" t="s">
        <v>297</v>
      </c>
      <c r="H184">
        <v>3</v>
      </c>
    </row>
    <row r="185" spans="1:8" x14ac:dyDescent="0.25">
      <c r="A185" t="s">
        <v>8</v>
      </c>
      <c r="B185" t="s">
        <v>298</v>
      </c>
      <c r="C185" t="s">
        <v>299</v>
      </c>
      <c r="D185">
        <v>102</v>
      </c>
      <c r="E185" t="s">
        <v>11</v>
      </c>
      <c r="F185" t="s">
        <v>300</v>
      </c>
      <c r="G185" t="s">
        <v>301</v>
      </c>
      <c r="H185">
        <v>10</v>
      </c>
    </row>
    <row r="186" spans="1:8" x14ac:dyDescent="0.25">
      <c r="A186" t="s">
        <v>13</v>
      </c>
      <c r="B186" t="s">
        <v>298</v>
      </c>
      <c r="C186" t="s">
        <v>299</v>
      </c>
      <c r="D186">
        <v>102</v>
      </c>
      <c r="E186" t="s">
        <v>11</v>
      </c>
      <c r="F186" t="s">
        <v>300</v>
      </c>
      <c r="G186" t="s">
        <v>301</v>
      </c>
      <c r="H186">
        <v>10</v>
      </c>
    </row>
    <row r="187" spans="1:8" x14ac:dyDescent="0.25">
      <c r="A187" t="s">
        <v>8</v>
      </c>
      <c r="B187" t="s">
        <v>302</v>
      </c>
      <c r="C187" t="s">
        <v>303</v>
      </c>
      <c r="D187">
        <v>102</v>
      </c>
      <c r="E187" t="s">
        <v>11</v>
      </c>
      <c r="F187" t="s">
        <v>300</v>
      </c>
      <c r="G187" t="s">
        <v>301</v>
      </c>
      <c r="H187">
        <v>12</v>
      </c>
    </row>
    <row r="188" spans="1:8" x14ac:dyDescent="0.25">
      <c r="A188" t="s">
        <v>13</v>
      </c>
      <c r="B188" t="s">
        <v>302</v>
      </c>
      <c r="C188" t="s">
        <v>303</v>
      </c>
      <c r="D188">
        <v>102</v>
      </c>
      <c r="E188" t="s">
        <v>11</v>
      </c>
      <c r="F188" t="s">
        <v>300</v>
      </c>
      <c r="G188" t="s">
        <v>301</v>
      </c>
      <c r="H188">
        <v>11</v>
      </c>
    </row>
    <row r="189" spans="1:8" x14ac:dyDescent="0.25">
      <c r="A189" t="s">
        <v>8</v>
      </c>
      <c r="B189" t="s">
        <v>304</v>
      </c>
      <c r="C189" t="s">
        <v>305</v>
      </c>
      <c r="D189">
        <v>102</v>
      </c>
      <c r="E189" t="s">
        <v>11</v>
      </c>
      <c r="F189" t="s">
        <v>300</v>
      </c>
      <c r="G189" t="s">
        <v>301</v>
      </c>
      <c r="H189">
        <v>19</v>
      </c>
    </row>
    <row r="190" spans="1:8" x14ac:dyDescent="0.25">
      <c r="A190" t="s">
        <v>13</v>
      </c>
      <c r="B190" t="s">
        <v>304</v>
      </c>
      <c r="C190" t="s">
        <v>305</v>
      </c>
      <c r="D190">
        <v>102</v>
      </c>
      <c r="E190" t="s">
        <v>11</v>
      </c>
      <c r="F190" t="s">
        <v>300</v>
      </c>
      <c r="G190" t="s">
        <v>301</v>
      </c>
      <c r="H190">
        <v>9</v>
      </c>
    </row>
    <row r="191" spans="1:8" x14ac:dyDescent="0.25">
      <c r="A191" t="s">
        <v>8</v>
      </c>
      <c r="B191" t="s">
        <v>306</v>
      </c>
      <c r="C191" t="s">
        <v>307</v>
      </c>
      <c r="D191">
        <v>102</v>
      </c>
      <c r="E191" t="s">
        <v>11</v>
      </c>
      <c r="F191" t="s">
        <v>300</v>
      </c>
      <c r="G191" t="s">
        <v>301</v>
      </c>
      <c r="H191">
        <v>13</v>
      </c>
    </row>
    <row r="192" spans="1:8" x14ac:dyDescent="0.25">
      <c r="A192" t="s">
        <v>13</v>
      </c>
      <c r="B192" t="s">
        <v>306</v>
      </c>
      <c r="C192" t="s">
        <v>307</v>
      </c>
      <c r="D192">
        <v>102</v>
      </c>
      <c r="E192" t="s">
        <v>11</v>
      </c>
      <c r="F192" t="s">
        <v>300</v>
      </c>
      <c r="G192" t="s">
        <v>301</v>
      </c>
      <c r="H192">
        <v>1</v>
      </c>
    </row>
    <row r="193" spans="1:8" x14ac:dyDescent="0.25">
      <c r="A193" t="s">
        <v>8</v>
      </c>
      <c r="B193" t="s">
        <v>308</v>
      </c>
      <c r="C193" t="s">
        <v>309</v>
      </c>
      <c r="D193">
        <v>102</v>
      </c>
      <c r="E193" t="s">
        <v>11</v>
      </c>
      <c r="F193" t="s">
        <v>300</v>
      </c>
      <c r="G193" t="s">
        <v>310</v>
      </c>
      <c r="H193">
        <v>21</v>
      </c>
    </row>
    <row r="194" spans="1:8" x14ac:dyDescent="0.25">
      <c r="A194" t="s">
        <v>8</v>
      </c>
      <c r="B194" t="s">
        <v>311</v>
      </c>
      <c r="C194" t="s">
        <v>312</v>
      </c>
      <c r="D194">
        <v>102</v>
      </c>
      <c r="E194" t="s">
        <v>11</v>
      </c>
      <c r="F194" t="s">
        <v>300</v>
      </c>
      <c r="G194" t="s">
        <v>301</v>
      </c>
      <c r="H194">
        <v>7</v>
      </c>
    </row>
    <row r="195" spans="1:8" x14ac:dyDescent="0.25">
      <c r="A195" t="s">
        <v>8</v>
      </c>
      <c r="B195" t="s">
        <v>313</v>
      </c>
      <c r="C195" t="s">
        <v>314</v>
      </c>
      <c r="D195">
        <v>102</v>
      </c>
      <c r="E195" t="s">
        <v>11</v>
      </c>
      <c r="F195" t="s">
        <v>315</v>
      </c>
      <c r="G195" t="s">
        <v>129</v>
      </c>
      <c r="H195">
        <v>2</v>
      </c>
    </row>
    <row r="196" spans="1:8" x14ac:dyDescent="0.25">
      <c r="A196" t="s">
        <v>13</v>
      </c>
      <c r="B196" t="s">
        <v>316</v>
      </c>
      <c r="C196" t="s">
        <v>317</v>
      </c>
      <c r="D196">
        <v>102</v>
      </c>
      <c r="E196" t="s">
        <v>11</v>
      </c>
      <c r="F196" t="s">
        <v>315</v>
      </c>
      <c r="G196" t="s">
        <v>129</v>
      </c>
      <c r="H196">
        <v>4</v>
      </c>
    </row>
    <row r="197" spans="1:8" x14ac:dyDescent="0.25">
      <c r="A197" t="s">
        <v>8</v>
      </c>
      <c r="B197" t="s">
        <v>318</v>
      </c>
      <c r="C197" t="s">
        <v>319</v>
      </c>
      <c r="D197">
        <v>102</v>
      </c>
      <c r="E197" t="s">
        <v>11</v>
      </c>
      <c r="F197" t="s">
        <v>315</v>
      </c>
      <c r="G197" t="s">
        <v>129</v>
      </c>
      <c r="H197">
        <v>4</v>
      </c>
    </row>
    <row r="198" spans="1:8" x14ac:dyDescent="0.25">
      <c r="A198" t="s">
        <v>13</v>
      </c>
      <c r="B198" t="s">
        <v>320</v>
      </c>
      <c r="C198" t="s">
        <v>321</v>
      </c>
      <c r="D198">
        <v>102</v>
      </c>
      <c r="E198" t="s">
        <v>11</v>
      </c>
      <c r="F198" t="s">
        <v>315</v>
      </c>
      <c r="G198" t="s">
        <v>129</v>
      </c>
      <c r="H198">
        <v>1</v>
      </c>
    </row>
    <row r="199" spans="1:8" x14ac:dyDescent="0.25">
      <c r="A199" t="s">
        <v>8</v>
      </c>
      <c r="B199" t="s">
        <v>322</v>
      </c>
      <c r="C199" t="s">
        <v>323</v>
      </c>
      <c r="D199">
        <v>102</v>
      </c>
      <c r="E199" t="s">
        <v>11</v>
      </c>
      <c r="F199" t="s">
        <v>315</v>
      </c>
      <c r="G199" t="s">
        <v>129</v>
      </c>
      <c r="H199">
        <v>2</v>
      </c>
    </row>
    <row r="200" spans="1:8" x14ac:dyDescent="0.25">
      <c r="A200" t="s">
        <v>8</v>
      </c>
      <c r="B200" t="s">
        <v>324</v>
      </c>
      <c r="C200" t="s">
        <v>325</v>
      </c>
      <c r="D200">
        <v>102</v>
      </c>
      <c r="E200" t="s">
        <v>11</v>
      </c>
      <c r="F200" t="s">
        <v>315</v>
      </c>
      <c r="G200" t="s">
        <v>129</v>
      </c>
      <c r="H200">
        <v>1</v>
      </c>
    </row>
    <row r="201" spans="1:8" x14ac:dyDescent="0.25">
      <c r="A201" t="s">
        <v>13</v>
      </c>
      <c r="B201" t="s">
        <v>326</v>
      </c>
      <c r="C201" t="s">
        <v>327</v>
      </c>
      <c r="D201">
        <v>102</v>
      </c>
      <c r="E201" t="s">
        <v>11</v>
      </c>
      <c r="F201" t="s">
        <v>315</v>
      </c>
      <c r="G201" t="s">
        <v>129</v>
      </c>
      <c r="H201">
        <v>1</v>
      </c>
    </row>
    <row r="202" spans="1:8" x14ac:dyDescent="0.25">
      <c r="A202" t="s">
        <v>13</v>
      </c>
      <c r="B202" t="s">
        <v>328</v>
      </c>
      <c r="C202" t="s">
        <v>329</v>
      </c>
      <c r="D202">
        <v>102</v>
      </c>
      <c r="E202" t="s">
        <v>11</v>
      </c>
      <c r="F202" t="s">
        <v>315</v>
      </c>
      <c r="G202" t="s">
        <v>129</v>
      </c>
      <c r="H202">
        <v>1</v>
      </c>
    </row>
    <row r="203" spans="1:8" x14ac:dyDescent="0.25">
      <c r="A203" t="s">
        <v>8</v>
      </c>
      <c r="B203" t="s">
        <v>330</v>
      </c>
      <c r="C203" t="s">
        <v>331</v>
      </c>
      <c r="D203">
        <v>102</v>
      </c>
      <c r="E203" t="s">
        <v>11</v>
      </c>
      <c r="F203" t="s">
        <v>315</v>
      </c>
      <c r="G203" t="s">
        <v>129</v>
      </c>
      <c r="H203">
        <v>3</v>
      </c>
    </row>
    <row r="204" spans="1:8" x14ac:dyDescent="0.25">
      <c r="A204" t="s">
        <v>13</v>
      </c>
      <c r="B204" t="s">
        <v>330</v>
      </c>
      <c r="C204" t="s">
        <v>331</v>
      </c>
      <c r="D204">
        <v>102</v>
      </c>
      <c r="E204" t="s">
        <v>11</v>
      </c>
      <c r="F204" t="s">
        <v>315</v>
      </c>
      <c r="G204" t="s">
        <v>129</v>
      </c>
      <c r="H204">
        <v>2</v>
      </c>
    </row>
    <row r="205" spans="1:8" x14ac:dyDescent="0.25">
      <c r="A205" t="s">
        <v>8</v>
      </c>
      <c r="B205" t="s">
        <v>332</v>
      </c>
      <c r="C205" t="s">
        <v>333</v>
      </c>
      <c r="D205">
        <v>102</v>
      </c>
      <c r="E205" t="s">
        <v>11</v>
      </c>
      <c r="F205" t="s">
        <v>315</v>
      </c>
      <c r="G205" t="s">
        <v>129</v>
      </c>
      <c r="H205">
        <v>3</v>
      </c>
    </row>
    <row r="206" spans="1:8" x14ac:dyDescent="0.25">
      <c r="A206" t="s">
        <v>13</v>
      </c>
      <c r="B206" t="s">
        <v>332</v>
      </c>
      <c r="C206" t="s">
        <v>333</v>
      </c>
      <c r="D206">
        <v>102</v>
      </c>
      <c r="E206" t="s">
        <v>11</v>
      </c>
      <c r="F206" t="s">
        <v>315</v>
      </c>
      <c r="G206" t="s">
        <v>129</v>
      </c>
      <c r="H206">
        <v>2</v>
      </c>
    </row>
    <row r="207" spans="1:8" x14ac:dyDescent="0.25">
      <c r="A207" t="s">
        <v>8</v>
      </c>
      <c r="B207" t="s">
        <v>334</v>
      </c>
      <c r="C207" t="s">
        <v>335</v>
      </c>
      <c r="D207">
        <v>102</v>
      </c>
      <c r="E207" t="s">
        <v>11</v>
      </c>
      <c r="F207" t="s">
        <v>315</v>
      </c>
      <c r="G207" t="s">
        <v>129</v>
      </c>
      <c r="H207">
        <v>2</v>
      </c>
    </row>
    <row r="208" spans="1:8" x14ac:dyDescent="0.25">
      <c r="A208" t="s">
        <v>13</v>
      </c>
      <c r="B208" t="s">
        <v>334</v>
      </c>
      <c r="C208" t="s">
        <v>335</v>
      </c>
      <c r="D208">
        <v>102</v>
      </c>
      <c r="E208" t="s">
        <v>11</v>
      </c>
      <c r="F208" t="s">
        <v>315</v>
      </c>
      <c r="G208" t="s">
        <v>129</v>
      </c>
      <c r="H208">
        <v>2</v>
      </c>
    </row>
    <row r="209" spans="1:8" x14ac:dyDescent="0.25">
      <c r="A209" t="s">
        <v>8</v>
      </c>
      <c r="B209" t="s">
        <v>336</v>
      </c>
      <c r="C209" t="s">
        <v>337</v>
      </c>
      <c r="D209">
        <v>102</v>
      </c>
      <c r="E209" t="s">
        <v>11</v>
      </c>
      <c r="F209" t="s">
        <v>315</v>
      </c>
      <c r="G209" t="s">
        <v>129</v>
      </c>
      <c r="H209">
        <v>1</v>
      </c>
    </row>
    <row r="210" spans="1:8" x14ac:dyDescent="0.25">
      <c r="A210" t="s">
        <v>8</v>
      </c>
      <c r="B210" t="s">
        <v>338</v>
      </c>
      <c r="C210" t="s">
        <v>339</v>
      </c>
      <c r="D210">
        <v>102</v>
      </c>
      <c r="E210" t="s">
        <v>11</v>
      </c>
      <c r="F210" t="s">
        <v>315</v>
      </c>
      <c r="G210" t="s">
        <v>129</v>
      </c>
      <c r="H210">
        <v>4</v>
      </c>
    </row>
    <row r="211" spans="1:8" x14ac:dyDescent="0.25">
      <c r="A211" t="s">
        <v>8</v>
      </c>
      <c r="B211" t="s">
        <v>340</v>
      </c>
      <c r="C211" t="s">
        <v>341</v>
      </c>
      <c r="D211">
        <v>102</v>
      </c>
      <c r="E211" t="s">
        <v>11</v>
      </c>
      <c r="F211" t="s">
        <v>315</v>
      </c>
      <c r="G211" t="s">
        <v>129</v>
      </c>
      <c r="H211">
        <v>1</v>
      </c>
    </row>
    <row r="212" spans="1:8" x14ac:dyDescent="0.25">
      <c r="A212" t="s">
        <v>13</v>
      </c>
      <c r="B212" t="s">
        <v>340</v>
      </c>
      <c r="C212" t="s">
        <v>341</v>
      </c>
      <c r="D212">
        <v>102</v>
      </c>
      <c r="E212" t="s">
        <v>11</v>
      </c>
      <c r="F212" t="s">
        <v>315</v>
      </c>
      <c r="G212" t="s">
        <v>129</v>
      </c>
      <c r="H212">
        <v>1</v>
      </c>
    </row>
    <row r="213" spans="1:8" x14ac:dyDescent="0.25">
      <c r="A213" t="s">
        <v>8</v>
      </c>
      <c r="B213" t="s">
        <v>342</v>
      </c>
      <c r="C213" t="s">
        <v>343</v>
      </c>
      <c r="D213">
        <v>102</v>
      </c>
      <c r="E213" t="s">
        <v>11</v>
      </c>
      <c r="F213" t="s">
        <v>315</v>
      </c>
      <c r="G213" t="s">
        <v>129</v>
      </c>
      <c r="H213">
        <v>2</v>
      </c>
    </row>
    <row r="214" spans="1:8" x14ac:dyDescent="0.25">
      <c r="A214" t="s">
        <v>8</v>
      </c>
      <c r="B214" t="s">
        <v>344</v>
      </c>
      <c r="C214" t="s">
        <v>345</v>
      </c>
      <c r="D214">
        <v>102</v>
      </c>
      <c r="E214" t="s">
        <v>11</v>
      </c>
      <c r="F214" t="s">
        <v>315</v>
      </c>
      <c r="G214" t="s">
        <v>129</v>
      </c>
      <c r="H214">
        <v>1</v>
      </c>
    </row>
    <row r="215" spans="1:8" x14ac:dyDescent="0.25">
      <c r="A215" t="s">
        <v>13</v>
      </c>
      <c r="B215" t="s">
        <v>344</v>
      </c>
      <c r="C215" t="s">
        <v>345</v>
      </c>
      <c r="D215">
        <v>102</v>
      </c>
      <c r="E215" t="s">
        <v>11</v>
      </c>
      <c r="F215" t="s">
        <v>315</v>
      </c>
      <c r="G215" t="s">
        <v>129</v>
      </c>
      <c r="H215">
        <v>1</v>
      </c>
    </row>
    <row r="216" spans="1:8" x14ac:dyDescent="0.25">
      <c r="A216" t="s">
        <v>8</v>
      </c>
      <c r="B216" t="s">
        <v>346</v>
      </c>
      <c r="C216" t="s">
        <v>347</v>
      </c>
      <c r="D216">
        <v>102</v>
      </c>
      <c r="E216" t="s">
        <v>11</v>
      </c>
      <c r="F216" t="s">
        <v>315</v>
      </c>
      <c r="G216" t="s">
        <v>129</v>
      </c>
      <c r="H216">
        <v>6</v>
      </c>
    </row>
    <row r="217" spans="1:8" x14ac:dyDescent="0.25">
      <c r="A217" t="s">
        <v>13</v>
      </c>
      <c r="B217" t="s">
        <v>346</v>
      </c>
      <c r="C217" t="s">
        <v>347</v>
      </c>
      <c r="D217">
        <v>102</v>
      </c>
      <c r="E217" t="s">
        <v>11</v>
      </c>
      <c r="F217" t="s">
        <v>315</v>
      </c>
      <c r="G217" t="s">
        <v>129</v>
      </c>
      <c r="H217">
        <v>4</v>
      </c>
    </row>
    <row r="218" spans="1:8" x14ac:dyDescent="0.25">
      <c r="A218" t="s">
        <v>8</v>
      </c>
      <c r="B218" t="s">
        <v>348</v>
      </c>
      <c r="C218" t="s">
        <v>349</v>
      </c>
      <c r="D218">
        <v>102</v>
      </c>
      <c r="E218" t="s">
        <v>11</v>
      </c>
      <c r="F218" t="s">
        <v>315</v>
      </c>
      <c r="G218" t="s">
        <v>129</v>
      </c>
      <c r="H218">
        <v>1</v>
      </c>
    </row>
    <row r="219" spans="1:8" x14ac:dyDescent="0.25">
      <c r="A219" t="s">
        <v>13</v>
      </c>
      <c r="B219" t="s">
        <v>348</v>
      </c>
      <c r="C219" t="s">
        <v>349</v>
      </c>
      <c r="D219">
        <v>102</v>
      </c>
      <c r="E219" t="s">
        <v>11</v>
      </c>
      <c r="F219" t="s">
        <v>315</v>
      </c>
      <c r="G219" t="s">
        <v>129</v>
      </c>
      <c r="H219">
        <v>1</v>
      </c>
    </row>
    <row r="220" spans="1:8" x14ac:dyDescent="0.25">
      <c r="A220" t="s">
        <v>8</v>
      </c>
      <c r="B220" t="s">
        <v>350</v>
      </c>
      <c r="C220" t="s">
        <v>351</v>
      </c>
      <c r="D220">
        <v>102</v>
      </c>
      <c r="E220" t="s">
        <v>11</v>
      </c>
      <c r="F220" t="s">
        <v>315</v>
      </c>
      <c r="G220" t="s">
        <v>129</v>
      </c>
      <c r="H220">
        <v>1</v>
      </c>
    </row>
    <row r="221" spans="1:8" x14ac:dyDescent="0.25">
      <c r="A221" t="s">
        <v>8</v>
      </c>
      <c r="B221" t="s">
        <v>352</v>
      </c>
      <c r="C221" t="s">
        <v>353</v>
      </c>
      <c r="D221">
        <v>102</v>
      </c>
      <c r="E221" t="s">
        <v>11</v>
      </c>
      <c r="F221" t="s">
        <v>354</v>
      </c>
      <c r="G221" t="s">
        <v>355</v>
      </c>
      <c r="H221">
        <v>1</v>
      </c>
    </row>
    <row r="222" spans="1:8" x14ac:dyDescent="0.25">
      <c r="A222" t="s">
        <v>13</v>
      </c>
      <c r="B222" t="s">
        <v>352</v>
      </c>
      <c r="C222" t="s">
        <v>353</v>
      </c>
      <c r="D222">
        <v>102</v>
      </c>
      <c r="E222" t="s">
        <v>11</v>
      </c>
      <c r="F222" t="s">
        <v>354</v>
      </c>
      <c r="G222" t="s">
        <v>355</v>
      </c>
      <c r="H222">
        <v>2</v>
      </c>
    </row>
    <row r="223" spans="1:8" x14ac:dyDescent="0.25">
      <c r="A223" t="s">
        <v>8</v>
      </c>
      <c r="B223" t="s">
        <v>356</v>
      </c>
      <c r="C223" t="s">
        <v>357</v>
      </c>
      <c r="D223">
        <v>102</v>
      </c>
      <c r="E223" t="s">
        <v>11</v>
      </c>
      <c r="F223" t="s">
        <v>358</v>
      </c>
      <c r="G223" t="s">
        <v>201</v>
      </c>
      <c r="H223">
        <v>1</v>
      </c>
    </row>
    <row r="224" spans="1:8" x14ac:dyDescent="0.25">
      <c r="A224" t="s">
        <v>13</v>
      </c>
      <c r="B224" t="s">
        <v>359</v>
      </c>
      <c r="C224" t="s">
        <v>360</v>
      </c>
      <c r="D224">
        <v>102</v>
      </c>
      <c r="E224" t="s">
        <v>11</v>
      </c>
      <c r="F224" t="s">
        <v>358</v>
      </c>
      <c r="G224" t="s">
        <v>201</v>
      </c>
      <c r="H224">
        <v>1</v>
      </c>
    </row>
    <row r="225" spans="1:8" x14ac:dyDescent="0.25">
      <c r="A225" t="s">
        <v>8</v>
      </c>
      <c r="B225" t="s">
        <v>361</v>
      </c>
      <c r="C225" t="s">
        <v>362</v>
      </c>
      <c r="D225">
        <v>102</v>
      </c>
      <c r="E225" t="s">
        <v>11</v>
      </c>
      <c r="F225" t="s">
        <v>18</v>
      </c>
      <c r="G225" t="s">
        <v>12</v>
      </c>
      <c r="H225">
        <v>14</v>
      </c>
    </row>
    <row r="226" spans="1:8" x14ac:dyDescent="0.25">
      <c r="A226" t="s">
        <v>13</v>
      </c>
      <c r="B226" t="s">
        <v>361</v>
      </c>
      <c r="C226" t="s">
        <v>362</v>
      </c>
      <c r="D226">
        <v>102</v>
      </c>
      <c r="E226" t="s">
        <v>11</v>
      </c>
      <c r="F226" t="s">
        <v>18</v>
      </c>
      <c r="G226" t="s">
        <v>12</v>
      </c>
      <c r="H226">
        <v>4</v>
      </c>
    </row>
    <row r="227" spans="1:8" x14ac:dyDescent="0.25">
      <c r="A227" t="s">
        <v>8</v>
      </c>
      <c r="B227" t="s">
        <v>363</v>
      </c>
      <c r="C227" t="s">
        <v>364</v>
      </c>
      <c r="D227">
        <v>102</v>
      </c>
      <c r="E227" t="s">
        <v>11</v>
      </c>
      <c r="F227" t="s">
        <v>365</v>
      </c>
      <c r="G227" t="s">
        <v>129</v>
      </c>
      <c r="H227">
        <v>6</v>
      </c>
    </row>
    <row r="228" spans="1:8" x14ac:dyDescent="0.25">
      <c r="A228" t="s">
        <v>13</v>
      </c>
      <c r="B228" t="s">
        <v>366</v>
      </c>
      <c r="C228" t="s">
        <v>367</v>
      </c>
      <c r="D228">
        <v>102</v>
      </c>
      <c r="E228" t="s">
        <v>11</v>
      </c>
      <c r="F228" t="s">
        <v>368</v>
      </c>
      <c r="G228" t="s">
        <v>369</v>
      </c>
      <c r="H228">
        <v>1</v>
      </c>
    </row>
    <row r="229" spans="1:8" x14ac:dyDescent="0.25">
      <c r="A229" t="s">
        <v>13</v>
      </c>
      <c r="B229" t="s">
        <v>370</v>
      </c>
      <c r="C229" t="s">
        <v>371</v>
      </c>
      <c r="D229">
        <v>102</v>
      </c>
      <c r="E229" t="s">
        <v>11</v>
      </c>
      <c r="F229" t="s">
        <v>368</v>
      </c>
      <c r="G229" t="s">
        <v>369</v>
      </c>
      <c r="H229">
        <v>1</v>
      </c>
    </row>
    <row r="230" spans="1:8" x14ac:dyDescent="0.25">
      <c r="A230" t="s">
        <v>13</v>
      </c>
      <c r="B230" t="s">
        <v>372</v>
      </c>
      <c r="C230" t="s">
        <v>373</v>
      </c>
      <c r="D230">
        <v>102</v>
      </c>
      <c r="E230" t="s">
        <v>11</v>
      </c>
      <c r="F230" t="s">
        <v>368</v>
      </c>
      <c r="G230" t="s">
        <v>369</v>
      </c>
      <c r="H230">
        <v>1</v>
      </c>
    </row>
    <row r="231" spans="1:8" x14ac:dyDescent="0.25">
      <c r="A231" t="s">
        <v>8</v>
      </c>
      <c r="B231" t="s">
        <v>374</v>
      </c>
      <c r="C231" t="s">
        <v>375</v>
      </c>
      <c r="D231">
        <v>102</v>
      </c>
      <c r="E231" t="s">
        <v>11</v>
      </c>
      <c r="F231" t="s">
        <v>368</v>
      </c>
      <c r="G231" t="s">
        <v>376</v>
      </c>
      <c r="H231">
        <v>4</v>
      </c>
    </row>
    <row r="232" spans="1:8" x14ac:dyDescent="0.25">
      <c r="A232" t="s">
        <v>13</v>
      </c>
      <c r="B232" t="s">
        <v>374</v>
      </c>
      <c r="C232" t="s">
        <v>375</v>
      </c>
      <c r="D232">
        <v>102</v>
      </c>
      <c r="E232" t="s">
        <v>11</v>
      </c>
      <c r="F232" t="s">
        <v>368</v>
      </c>
      <c r="G232" t="s">
        <v>376</v>
      </c>
      <c r="H232">
        <v>2</v>
      </c>
    </row>
    <row r="233" spans="1:8" x14ac:dyDescent="0.25">
      <c r="A233" t="s">
        <v>13</v>
      </c>
      <c r="B233" t="s">
        <v>377</v>
      </c>
      <c r="C233" t="s">
        <v>378</v>
      </c>
      <c r="D233">
        <v>102</v>
      </c>
      <c r="E233" t="s">
        <v>11</v>
      </c>
      <c r="F233" t="s">
        <v>368</v>
      </c>
      <c r="G233" t="s">
        <v>376</v>
      </c>
      <c r="H233">
        <v>1</v>
      </c>
    </row>
    <row r="234" spans="1:8" x14ac:dyDescent="0.25">
      <c r="A234" t="s">
        <v>8</v>
      </c>
      <c r="B234" t="s">
        <v>379</v>
      </c>
      <c r="C234" t="s">
        <v>380</v>
      </c>
      <c r="D234">
        <v>102</v>
      </c>
      <c r="E234" t="s">
        <v>11</v>
      </c>
      <c r="F234" t="s">
        <v>368</v>
      </c>
      <c r="G234" t="s">
        <v>376</v>
      </c>
      <c r="H234">
        <v>4</v>
      </c>
    </row>
    <row r="235" spans="1:8" x14ac:dyDescent="0.25">
      <c r="A235" t="s">
        <v>13</v>
      </c>
      <c r="B235" t="s">
        <v>381</v>
      </c>
      <c r="C235" t="s">
        <v>382</v>
      </c>
      <c r="D235">
        <v>102</v>
      </c>
      <c r="E235" t="s">
        <v>11</v>
      </c>
      <c r="F235" t="s">
        <v>368</v>
      </c>
      <c r="G235" t="s">
        <v>376</v>
      </c>
      <c r="H235">
        <v>1</v>
      </c>
    </row>
    <row r="236" spans="1:8" x14ac:dyDescent="0.25">
      <c r="A236" t="s">
        <v>8</v>
      </c>
      <c r="B236" t="s">
        <v>383</v>
      </c>
      <c r="C236" t="s">
        <v>384</v>
      </c>
      <c r="D236">
        <v>102</v>
      </c>
      <c r="E236" t="s">
        <v>11</v>
      </c>
      <c r="F236" t="s">
        <v>368</v>
      </c>
      <c r="G236" t="s">
        <v>369</v>
      </c>
      <c r="H236">
        <v>1</v>
      </c>
    </row>
    <row r="237" spans="1:8" x14ac:dyDescent="0.25">
      <c r="A237" t="s">
        <v>13</v>
      </c>
      <c r="B237" t="s">
        <v>383</v>
      </c>
      <c r="C237" t="s">
        <v>384</v>
      </c>
      <c r="D237">
        <v>102</v>
      </c>
      <c r="E237" t="s">
        <v>11</v>
      </c>
      <c r="F237" t="s">
        <v>368</v>
      </c>
      <c r="G237" t="s">
        <v>369</v>
      </c>
      <c r="H237">
        <v>1</v>
      </c>
    </row>
    <row r="238" spans="1:8" x14ac:dyDescent="0.25">
      <c r="A238" t="s">
        <v>8</v>
      </c>
      <c r="B238" t="s">
        <v>385</v>
      </c>
      <c r="C238" t="s">
        <v>386</v>
      </c>
      <c r="D238">
        <v>102</v>
      </c>
      <c r="E238" t="s">
        <v>11</v>
      </c>
      <c r="F238" t="s">
        <v>368</v>
      </c>
      <c r="G238" t="s">
        <v>369</v>
      </c>
      <c r="H238">
        <v>2</v>
      </c>
    </row>
    <row r="239" spans="1:8" x14ac:dyDescent="0.25">
      <c r="A239" t="s">
        <v>8</v>
      </c>
      <c r="B239" t="s">
        <v>387</v>
      </c>
      <c r="C239" t="s">
        <v>388</v>
      </c>
      <c r="D239">
        <v>102</v>
      </c>
      <c r="E239" t="s">
        <v>11</v>
      </c>
      <c r="F239" t="s">
        <v>368</v>
      </c>
      <c r="G239" t="s">
        <v>369</v>
      </c>
      <c r="H239">
        <v>3</v>
      </c>
    </row>
    <row r="240" spans="1:8" x14ac:dyDescent="0.25">
      <c r="A240" t="s">
        <v>13</v>
      </c>
      <c r="B240" t="s">
        <v>387</v>
      </c>
      <c r="C240" t="s">
        <v>388</v>
      </c>
      <c r="D240">
        <v>102</v>
      </c>
      <c r="E240" t="s">
        <v>11</v>
      </c>
      <c r="F240" t="s">
        <v>368</v>
      </c>
      <c r="G240" t="s">
        <v>369</v>
      </c>
      <c r="H240">
        <v>1</v>
      </c>
    </row>
    <row r="241" spans="1:8" x14ac:dyDescent="0.25">
      <c r="A241" t="s">
        <v>8</v>
      </c>
      <c r="B241" t="s">
        <v>389</v>
      </c>
      <c r="C241" t="s">
        <v>390</v>
      </c>
      <c r="D241">
        <v>102</v>
      </c>
      <c r="E241" t="s">
        <v>11</v>
      </c>
      <c r="F241" t="s">
        <v>368</v>
      </c>
      <c r="G241" t="s">
        <v>369</v>
      </c>
      <c r="H241">
        <v>18</v>
      </c>
    </row>
    <row r="242" spans="1:8" x14ac:dyDescent="0.25">
      <c r="A242" t="s">
        <v>13</v>
      </c>
      <c r="B242" t="s">
        <v>389</v>
      </c>
      <c r="C242" t="s">
        <v>390</v>
      </c>
      <c r="D242">
        <v>102</v>
      </c>
      <c r="E242" t="s">
        <v>11</v>
      </c>
      <c r="F242" t="s">
        <v>368</v>
      </c>
      <c r="G242" t="s">
        <v>369</v>
      </c>
      <c r="H242">
        <v>17</v>
      </c>
    </row>
    <row r="243" spans="1:8" x14ac:dyDescent="0.25">
      <c r="A243" t="s">
        <v>8</v>
      </c>
      <c r="B243" t="s">
        <v>391</v>
      </c>
      <c r="C243" t="s">
        <v>392</v>
      </c>
      <c r="D243">
        <v>102</v>
      </c>
      <c r="E243" t="s">
        <v>11</v>
      </c>
      <c r="F243" t="s">
        <v>368</v>
      </c>
      <c r="G243" t="s">
        <v>369</v>
      </c>
      <c r="H243">
        <v>1</v>
      </c>
    </row>
    <row r="244" spans="1:8" x14ac:dyDescent="0.25">
      <c r="A244" t="s">
        <v>13</v>
      </c>
      <c r="B244" t="s">
        <v>391</v>
      </c>
      <c r="C244" t="s">
        <v>392</v>
      </c>
      <c r="D244">
        <v>102</v>
      </c>
      <c r="E244" t="s">
        <v>11</v>
      </c>
      <c r="F244" t="s">
        <v>368</v>
      </c>
      <c r="G244" t="s">
        <v>369</v>
      </c>
      <c r="H244">
        <v>14</v>
      </c>
    </row>
    <row r="245" spans="1:8" x14ac:dyDescent="0.25">
      <c r="A245" t="s">
        <v>8</v>
      </c>
      <c r="B245" t="s">
        <v>393</v>
      </c>
      <c r="C245" t="s">
        <v>394</v>
      </c>
      <c r="D245">
        <v>102</v>
      </c>
      <c r="E245" t="s">
        <v>11</v>
      </c>
      <c r="F245" t="s">
        <v>368</v>
      </c>
      <c r="G245" t="s">
        <v>369</v>
      </c>
      <c r="H245">
        <v>5</v>
      </c>
    </row>
    <row r="246" spans="1:8" x14ac:dyDescent="0.25">
      <c r="A246" t="s">
        <v>13</v>
      </c>
      <c r="B246" t="s">
        <v>393</v>
      </c>
      <c r="C246" t="s">
        <v>394</v>
      </c>
      <c r="D246">
        <v>102</v>
      </c>
      <c r="E246" t="s">
        <v>11</v>
      </c>
      <c r="F246" t="s">
        <v>368</v>
      </c>
      <c r="G246" t="s">
        <v>369</v>
      </c>
      <c r="H246">
        <v>1</v>
      </c>
    </row>
    <row r="247" spans="1:8" x14ac:dyDescent="0.25">
      <c r="A247" t="s">
        <v>8</v>
      </c>
      <c r="B247" t="s">
        <v>395</v>
      </c>
      <c r="C247" t="s">
        <v>396</v>
      </c>
      <c r="D247">
        <v>102</v>
      </c>
      <c r="E247" t="s">
        <v>11</v>
      </c>
      <c r="F247" t="s">
        <v>368</v>
      </c>
      <c r="G247" t="s">
        <v>369</v>
      </c>
      <c r="H247">
        <v>1</v>
      </c>
    </row>
    <row r="248" spans="1:8" x14ac:dyDescent="0.25">
      <c r="A248" t="s">
        <v>13</v>
      </c>
      <c r="B248" t="s">
        <v>395</v>
      </c>
      <c r="C248" t="s">
        <v>396</v>
      </c>
      <c r="D248">
        <v>102</v>
      </c>
      <c r="E248" t="s">
        <v>11</v>
      </c>
      <c r="F248" t="s">
        <v>368</v>
      </c>
      <c r="G248" t="s">
        <v>369</v>
      </c>
      <c r="H248">
        <v>5</v>
      </c>
    </row>
    <row r="249" spans="1:8" x14ac:dyDescent="0.25">
      <c r="A249" t="s">
        <v>8</v>
      </c>
      <c r="B249" t="s">
        <v>397</v>
      </c>
      <c r="C249" t="s">
        <v>398</v>
      </c>
      <c r="D249">
        <v>102</v>
      </c>
      <c r="E249" t="s">
        <v>11</v>
      </c>
      <c r="F249" t="s">
        <v>368</v>
      </c>
      <c r="G249" t="s">
        <v>369</v>
      </c>
      <c r="H249">
        <v>1</v>
      </c>
    </row>
    <row r="250" spans="1:8" x14ac:dyDescent="0.25">
      <c r="A250" t="s">
        <v>13</v>
      </c>
      <c r="B250" t="s">
        <v>397</v>
      </c>
      <c r="C250" t="s">
        <v>398</v>
      </c>
      <c r="D250">
        <v>102</v>
      </c>
      <c r="E250" t="s">
        <v>11</v>
      </c>
      <c r="F250" t="s">
        <v>368</v>
      </c>
      <c r="G250" t="s">
        <v>369</v>
      </c>
      <c r="H250">
        <v>2</v>
      </c>
    </row>
    <row r="251" spans="1:8" x14ac:dyDescent="0.25">
      <c r="A251" t="s">
        <v>8</v>
      </c>
      <c r="B251" t="s">
        <v>399</v>
      </c>
      <c r="C251" t="s">
        <v>400</v>
      </c>
      <c r="D251">
        <v>102</v>
      </c>
      <c r="E251" t="s">
        <v>11</v>
      </c>
      <c r="F251" t="s">
        <v>368</v>
      </c>
      <c r="G251" t="s">
        <v>369</v>
      </c>
      <c r="H251">
        <v>2</v>
      </c>
    </row>
    <row r="252" spans="1:8" x14ac:dyDescent="0.25">
      <c r="A252" t="s">
        <v>8</v>
      </c>
      <c r="B252" t="s">
        <v>401</v>
      </c>
      <c r="C252" t="s">
        <v>402</v>
      </c>
      <c r="D252">
        <v>102</v>
      </c>
      <c r="E252" t="s">
        <v>11</v>
      </c>
      <c r="F252" t="s">
        <v>368</v>
      </c>
      <c r="G252" t="s">
        <v>403</v>
      </c>
      <c r="H252">
        <v>1</v>
      </c>
    </row>
    <row r="253" spans="1:8" x14ac:dyDescent="0.25">
      <c r="A253" t="s">
        <v>13</v>
      </c>
      <c r="B253" t="s">
        <v>401</v>
      </c>
      <c r="C253" t="s">
        <v>402</v>
      </c>
      <c r="D253">
        <v>102</v>
      </c>
      <c r="E253" t="s">
        <v>11</v>
      </c>
      <c r="F253" t="s">
        <v>368</v>
      </c>
      <c r="G253" t="s">
        <v>403</v>
      </c>
      <c r="H253">
        <v>3</v>
      </c>
    </row>
    <row r="254" spans="1:8" x14ac:dyDescent="0.25">
      <c r="A254" t="s">
        <v>8</v>
      </c>
      <c r="B254" t="s">
        <v>404</v>
      </c>
      <c r="C254" t="s">
        <v>405</v>
      </c>
      <c r="D254">
        <v>102</v>
      </c>
      <c r="E254" t="s">
        <v>11</v>
      </c>
      <c r="F254" t="s">
        <v>368</v>
      </c>
      <c r="G254" t="s">
        <v>406</v>
      </c>
      <c r="H254">
        <v>3</v>
      </c>
    </row>
    <row r="255" spans="1:8" x14ac:dyDescent="0.25">
      <c r="A255" t="s">
        <v>13</v>
      </c>
      <c r="B255" t="s">
        <v>407</v>
      </c>
      <c r="C255" t="s">
        <v>408</v>
      </c>
      <c r="D255">
        <v>102</v>
      </c>
      <c r="E255" t="s">
        <v>11</v>
      </c>
      <c r="F255" t="s">
        <v>368</v>
      </c>
      <c r="G255" t="s">
        <v>403</v>
      </c>
      <c r="H255">
        <v>2</v>
      </c>
    </row>
    <row r="256" spans="1:8" x14ac:dyDescent="0.25">
      <c r="A256" t="s">
        <v>8</v>
      </c>
      <c r="B256" t="s">
        <v>409</v>
      </c>
      <c r="C256" t="s">
        <v>410</v>
      </c>
      <c r="D256">
        <v>102</v>
      </c>
      <c r="E256" t="s">
        <v>11</v>
      </c>
      <c r="F256" t="s">
        <v>38</v>
      </c>
      <c r="G256" t="s">
        <v>411</v>
      </c>
      <c r="H256">
        <v>1</v>
      </c>
    </row>
    <row r="257" spans="1:8" x14ac:dyDescent="0.25">
      <c r="A257" t="s">
        <v>8</v>
      </c>
      <c r="B257" t="s">
        <v>412</v>
      </c>
      <c r="C257" t="s">
        <v>413</v>
      </c>
      <c r="D257">
        <v>102</v>
      </c>
      <c r="E257" t="s">
        <v>11</v>
      </c>
      <c r="F257" t="s">
        <v>414</v>
      </c>
      <c r="G257" t="s">
        <v>218</v>
      </c>
      <c r="H257">
        <v>6</v>
      </c>
    </row>
    <row r="258" spans="1:8" x14ac:dyDescent="0.25">
      <c r="A258" t="s">
        <v>13</v>
      </c>
      <c r="B258" t="s">
        <v>412</v>
      </c>
      <c r="C258" t="s">
        <v>413</v>
      </c>
      <c r="D258">
        <v>102</v>
      </c>
      <c r="E258" t="s">
        <v>11</v>
      </c>
      <c r="F258" t="s">
        <v>414</v>
      </c>
      <c r="G258" t="s">
        <v>218</v>
      </c>
      <c r="H258">
        <v>11</v>
      </c>
    </row>
    <row r="259" spans="1:8" x14ac:dyDescent="0.25">
      <c r="A259" t="s">
        <v>8</v>
      </c>
      <c r="B259" t="s">
        <v>415</v>
      </c>
      <c r="C259" t="s">
        <v>416</v>
      </c>
      <c r="D259">
        <v>102</v>
      </c>
      <c r="E259" t="s">
        <v>11</v>
      </c>
      <c r="F259" t="s">
        <v>414</v>
      </c>
      <c r="G259" t="s">
        <v>218</v>
      </c>
      <c r="H259">
        <v>15</v>
      </c>
    </row>
    <row r="260" spans="1:8" x14ac:dyDescent="0.25">
      <c r="A260" t="s">
        <v>13</v>
      </c>
      <c r="B260" t="s">
        <v>415</v>
      </c>
      <c r="C260" t="s">
        <v>416</v>
      </c>
      <c r="D260">
        <v>102</v>
      </c>
      <c r="E260" t="s">
        <v>11</v>
      </c>
      <c r="F260" t="s">
        <v>414</v>
      </c>
      <c r="G260" t="s">
        <v>218</v>
      </c>
      <c r="H260">
        <v>27</v>
      </c>
    </row>
    <row r="261" spans="1:8" x14ac:dyDescent="0.25">
      <c r="A261" t="s">
        <v>8</v>
      </c>
      <c r="B261" t="s">
        <v>417</v>
      </c>
      <c r="C261" t="s">
        <v>418</v>
      </c>
      <c r="D261">
        <v>102</v>
      </c>
      <c r="E261" t="s">
        <v>11</v>
      </c>
      <c r="F261" t="s">
        <v>414</v>
      </c>
      <c r="G261" t="s">
        <v>218</v>
      </c>
      <c r="H261">
        <v>1</v>
      </c>
    </row>
    <row r="262" spans="1:8" x14ac:dyDescent="0.25">
      <c r="A262" t="s">
        <v>8</v>
      </c>
      <c r="B262" t="s">
        <v>419</v>
      </c>
      <c r="C262" t="s">
        <v>420</v>
      </c>
      <c r="D262">
        <v>102</v>
      </c>
      <c r="E262" t="s">
        <v>11</v>
      </c>
      <c r="F262" t="s">
        <v>421</v>
      </c>
      <c r="G262" t="s">
        <v>218</v>
      </c>
      <c r="H262">
        <v>19</v>
      </c>
    </row>
    <row r="263" spans="1:8" x14ac:dyDescent="0.25">
      <c r="A263" t="s">
        <v>13</v>
      </c>
      <c r="B263" t="s">
        <v>419</v>
      </c>
      <c r="C263" t="s">
        <v>420</v>
      </c>
      <c r="D263">
        <v>102</v>
      </c>
      <c r="E263" t="s">
        <v>11</v>
      </c>
      <c r="F263" t="s">
        <v>421</v>
      </c>
      <c r="G263" t="s">
        <v>218</v>
      </c>
      <c r="H263">
        <v>13</v>
      </c>
    </row>
    <row r="264" spans="1:8" x14ac:dyDescent="0.25">
      <c r="A264" t="s">
        <v>8</v>
      </c>
      <c r="B264" t="s">
        <v>422</v>
      </c>
      <c r="C264" t="s">
        <v>423</v>
      </c>
      <c r="D264">
        <v>102</v>
      </c>
      <c r="E264" t="s">
        <v>11</v>
      </c>
      <c r="F264" t="s">
        <v>221</v>
      </c>
      <c r="G264" t="s">
        <v>218</v>
      </c>
      <c r="H264">
        <v>9</v>
      </c>
    </row>
    <row r="265" spans="1:8" x14ac:dyDescent="0.25">
      <c r="A265" t="s">
        <v>13</v>
      </c>
      <c r="B265" t="s">
        <v>422</v>
      </c>
      <c r="C265" t="s">
        <v>423</v>
      </c>
      <c r="D265">
        <v>102</v>
      </c>
      <c r="E265" t="s">
        <v>11</v>
      </c>
      <c r="F265" t="s">
        <v>221</v>
      </c>
      <c r="G265" t="s">
        <v>218</v>
      </c>
      <c r="H265">
        <v>16</v>
      </c>
    </row>
    <row r="266" spans="1:8" x14ac:dyDescent="0.25">
      <c r="A266" t="s">
        <v>8</v>
      </c>
      <c r="B266" t="s">
        <v>424</v>
      </c>
      <c r="C266" t="s">
        <v>425</v>
      </c>
      <c r="D266">
        <v>102</v>
      </c>
      <c r="E266" t="s">
        <v>11</v>
      </c>
      <c r="F266" t="s">
        <v>426</v>
      </c>
      <c r="G266" t="s">
        <v>218</v>
      </c>
      <c r="H266">
        <v>10</v>
      </c>
    </row>
    <row r="267" spans="1:8" x14ac:dyDescent="0.25">
      <c r="A267" t="s">
        <v>13</v>
      </c>
      <c r="B267" t="s">
        <v>424</v>
      </c>
      <c r="C267" t="s">
        <v>425</v>
      </c>
      <c r="D267">
        <v>102</v>
      </c>
      <c r="E267" t="s">
        <v>11</v>
      </c>
      <c r="F267" t="s">
        <v>426</v>
      </c>
      <c r="G267" t="s">
        <v>218</v>
      </c>
      <c r="H267">
        <v>13</v>
      </c>
    </row>
    <row r="268" spans="1:8" x14ac:dyDescent="0.25">
      <c r="A268" t="s">
        <v>8</v>
      </c>
      <c r="B268" t="s">
        <v>427</v>
      </c>
      <c r="C268" t="s">
        <v>428</v>
      </c>
      <c r="D268">
        <v>102</v>
      </c>
      <c r="E268" t="s">
        <v>11</v>
      </c>
      <c r="F268" t="s">
        <v>315</v>
      </c>
      <c r="G268" t="s">
        <v>129</v>
      </c>
      <c r="H268">
        <v>2</v>
      </c>
    </row>
    <row r="269" spans="1:8" x14ac:dyDescent="0.25">
      <c r="A269" t="s">
        <v>13</v>
      </c>
      <c r="B269" t="s">
        <v>427</v>
      </c>
      <c r="C269" t="s">
        <v>428</v>
      </c>
      <c r="D269">
        <v>102</v>
      </c>
      <c r="E269" t="s">
        <v>11</v>
      </c>
      <c r="F269" t="s">
        <v>315</v>
      </c>
      <c r="G269" t="s">
        <v>129</v>
      </c>
      <c r="H269">
        <v>3</v>
      </c>
    </row>
    <row r="270" spans="1:8" x14ac:dyDescent="0.25">
      <c r="A270" t="s">
        <v>8</v>
      </c>
      <c r="B270" t="s">
        <v>429</v>
      </c>
      <c r="C270" t="s">
        <v>430</v>
      </c>
      <c r="D270">
        <v>102</v>
      </c>
      <c r="E270" t="s">
        <v>11</v>
      </c>
      <c r="F270" t="s">
        <v>315</v>
      </c>
      <c r="G270" t="s">
        <v>129</v>
      </c>
      <c r="H270">
        <v>1</v>
      </c>
    </row>
    <row r="271" spans="1:8" x14ac:dyDescent="0.25">
      <c r="A271" t="s">
        <v>13</v>
      </c>
      <c r="B271" t="s">
        <v>429</v>
      </c>
      <c r="C271" t="s">
        <v>430</v>
      </c>
      <c r="D271">
        <v>102</v>
      </c>
      <c r="E271" t="s">
        <v>11</v>
      </c>
      <c r="F271" t="s">
        <v>315</v>
      </c>
      <c r="G271" t="s">
        <v>129</v>
      </c>
      <c r="H271">
        <v>1</v>
      </c>
    </row>
    <row r="272" spans="1:8" x14ac:dyDescent="0.25">
      <c r="A272" t="s">
        <v>8</v>
      </c>
      <c r="B272" t="s">
        <v>431</v>
      </c>
      <c r="C272" t="s">
        <v>432</v>
      </c>
      <c r="D272">
        <v>102</v>
      </c>
      <c r="E272" t="s">
        <v>11</v>
      </c>
      <c r="F272" t="s">
        <v>315</v>
      </c>
      <c r="G272" t="s">
        <v>129</v>
      </c>
      <c r="H272">
        <v>3</v>
      </c>
    </row>
    <row r="273" spans="1:8" x14ac:dyDescent="0.25">
      <c r="A273" t="s">
        <v>13</v>
      </c>
      <c r="B273" t="s">
        <v>431</v>
      </c>
      <c r="C273" t="s">
        <v>432</v>
      </c>
      <c r="D273">
        <v>102</v>
      </c>
      <c r="E273" t="s">
        <v>11</v>
      </c>
      <c r="F273" t="s">
        <v>315</v>
      </c>
      <c r="G273" t="s">
        <v>129</v>
      </c>
      <c r="H273">
        <v>5</v>
      </c>
    </row>
    <row r="274" spans="1:8" x14ac:dyDescent="0.25">
      <c r="A274" t="s">
        <v>13</v>
      </c>
      <c r="B274" t="s">
        <v>433</v>
      </c>
      <c r="C274" t="s">
        <v>434</v>
      </c>
      <c r="D274">
        <v>102</v>
      </c>
      <c r="E274" t="s">
        <v>11</v>
      </c>
      <c r="F274" t="s">
        <v>315</v>
      </c>
      <c r="G274" t="s">
        <v>129</v>
      </c>
      <c r="H274">
        <v>1</v>
      </c>
    </row>
    <row r="275" spans="1:8" x14ac:dyDescent="0.25">
      <c r="A275" t="s">
        <v>13</v>
      </c>
      <c r="B275" t="s">
        <v>435</v>
      </c>
      <c r="C275" t="s">
        <v>436</v>
      </c>
      <c r="D275">
        <v>102</v>
      </c>
      <c r="E275" t="s">
        <v>11</v>
      </c>
      <c r="F275" t="s">
        <v>315</v>
      </c>
      <c r="G275" t="s">
        <v>129</v>
      </c>
      <c r="H275">
        <v>1</v>
      </c>
    </row>
    <row r="276" spans="1:8" x14ac:dyDescent="0.25">
      <c r="A276" t="s">
        <v>13</v>
      </c>
      <c r="B276" t="s">
        <v>437</v>
      </c>
      <c r="C276" t="s">
        <v>438</v>
      </c>
      <c r="D276">
        <v>102</v>
      </c>
      <c r="E276" t="s">
        <v>11</v>
      </c>
      <c r="F276" t="s">
        <v>315</v>
      </c>
      <c r="G276" t="s">
        <v>129</v>
      </c>
      <c r="H276">
        <v>1</v>
      </c>
    </row>
    <row r="277" spans="1:8" x14ac:dyDescent="0.25">
      <c r="A277" t="s">
        <v>8</v>
      </c>
      <c r="B277" t="s">
        <v>439</v>
      </c>
      <c r="C277" t="s">
        <v>440</v>
      </c>
      <c r="D277">
        <v>102</v>
      </c>
      <c r="E277" t="s">
        <v>11</v>
      </c>
      <c r="F277" t="s">
        <v>315</v>
      </c>
      <c r="G277" t="s">
        <v>129</v>
      </c>
      <c r="H277">
        <v>1</v>
      </c>
    </row>
    <row r="278" spans="1:8" x14ac:dyDescent="0.25">
      <c r="A278" t="s">
        <v>13</v>
      </c>
      <c r="B278" t="s">
        <v>439</v>
      </c>
      <c r="C278" t="s">
        <v>440</v>
      </c>
      <c r="D278">
        <v>102</v>
      </c>
      <c r="E278" t="s">
        <v>11</v>
      </c>
      <c r="F278" t="s">
        <v>315</v>
      </c>
      <c r="G278" t="s">
        <v>129</v>
      </c>
      <c r="H278">
        <v>2</v>
      </c>
    </row>
    <row r="279" spans="1:8" x14ac:dyDescent="0.25">
      <c r="A279" t="s">
        <v>8</v>
      </c>
      <c r="B279" t="s">
        <v>441</v>
      </c>
      <c r="C279" t="s">
        <v>442</v>
      </c>
      <c r="D279">
        <v>102</v>
      </c>
      <c r="E279" t="s">
        <v>11</v>
      </c>
      <c r="F279" t="s">
        <v>315</v>
      </c>
      <c r="G279" t="s">
        <v>129</v>
      </c>
      <c r="H279">
        <v>1</v>
      </c>
    </row>
    <row r="280" spans="1:8" x14ac:dyDescent="0.25">
      <c r="A280" t="s">
        <v>13</v>
      </c>
      <c r="B280" t="s">
        <v>443</v>
      </c>
      <c r="C280" t="s">
        <v>444</v>
      </c>
      <c r="D280">
        <v>102</v>
      </c>
      <c r="E280" t="s">
        <v>11</v>
      </c>
      <c r="F280" t="s">
        <v>315</v>
      </c>
      <c r="G280" t="s">
        <v>129</v>
      </c>
      <c r="H280">
        <v>1</v>
      </c>
    </row>
    <row r="281" spans="1:8" x14ac:dyDescent="0.25">
      <c r="A281" t="s">
        <v>8</v>
      </c>
      <c r="B281" t="s">
        <v>445</v>
      </c>
      <c r="C281" t="s">
        <v>446</v>
      </c>
      <c r="D281">
        <v>102</v>
      </c>
      <c r="E281" t="s">
        <v>11</v>
      </c>
      <c r="F281" t="s">
        <v>315</v>
      </c>
      <c r="G281" t="s">
        <v>129</v>
      </c>
      <c r="H281">
        <v>1</v>
      </c>
    </row>
    <row r="282" spans="1:8" x14ac:dyDescent="0.25">
      <c r="A282" t="s">
        <v>8</v>
      </c>
      <c r="B282" t="s">
        <v>447</v>
      </c>
      <c r="C282" t="s">
        <v>448</v>
      </c>
      <c r="D282">
        <v>102</v>
      </c>
      <c r="E282" t="s">
        <v>11</v>
      </c>
      <c r="F282" t="s">
        <v>315</v>
      </c>
      <c r="G282" t="s">
        <v>129</v>
      </c>
      <c r="H282">
        <v>1</v>
      </c>
    </row>
    <row r="283" spans="1:8" x14ac:dyDescent="0.25">
      <c r="A283" t="s">
        <v>13</v>
      </c>
      <c r="B283" t="s">
        <v>447</v>
      </c>
      <c r="C283" t="s">
        <v>448</v>
      </c>
      <c r="D283">
        <v>102</v>
      </c>
      <c r="E283" t="s">
        <v>11</v>
      </c>
      <c r="F283" t="s">
        <v>315</v>
      </c>
      <c r="G283" t="s">
        <v>129</v>
      </c>
      <c r="H283">
        <v>2</v>
      </c>
    </row>
    <row r="284" spans="1:8" x14ac:dyDescent="0.25">
      <c r="A284" t="s">
        <v>13</v>
      </c>
      <c r="B284" t="s">
        <v>449</v>
      </c>
      <c r="C284" t="s">
        <v>450</v>
      </c>
      <c r="D284">
        <v>102</v>
      </c>
      <c r="E284" t="s">
        <v>11</v>
      </c>
      <c r="F284" t="s">
        <v>315</v>
      </c>
      <c r="G284" t="s">
        <v>129</v>
      </c>
      <c r="H284">
        <v>1</v>
      </c>
    </row>
    <row r="285" spans="1:8" x14ac:dyDescent="0.25">
      <c r="A285" t="s">
        <v>13</v>
      </c>
      <c r="B285" t="s">
        <v>451</v>
      </c>
      <c r="C285" t="s">
        <v>452</v>
      </c>
      <c r="D285">
        <v>102</v>
      </c>
      <c r="E285" t="s">
        <v>11</v>
      </c>
      <c r="F285" t="s">
        <v>315</v>
      </c>
      <c r="G285" t="s">
        <v>129</v>
      </c>
      <c r="H285">
        <v>1</v>
      </c>
    </row>
    <row r="286" spans="1:8" x14ac:dyDescent="0.25">
      <c r="A286" t="s">
        <v>13</v>
      </c>
      <c r="B286" t="s">
        <v>453</v>
      </c>
      <c r="C286" t="s">
        <v>454</v>
      </c>
      <c r="D286">
        <v>102</v>
      </c>
      <c r="E286" t="s">
        <v>11</v>
      </c>
      <c r="F286" t="s">
        <v>315</v>
      </c>
      <c r="G286" t="s">
        <v>129</v>
      </c>
      <c r="H286">
        <v>1</v>
      </c>
    </row>
    <row r="287" spans="1:8" x14ac:dyDescent="0.25">
      <c r="A287" t="s">
        <v>13</v>
      </c>
      <c r="B287" t="s">
        <v>455</v>
      </c>
      <c r="C287" t="s">
        <v>456</v>
      </c>
      <c r="D287">
        <v>102</v>
      </c>
      <c r="E287" t="s">
        <v>11</v>
      </c>
      <c r="F287" t="s">
        <v>315</v>
      </c>
      <c r="G287" t="s">
        <v>129</v>
      </c>
      <c r="H287">
        <v>2</v>
      </c>
    </row>
    <row r="288" spans="1:8" x14ac:dyDescent="0.25">
      <c r="A288" t="s">
        <v>13</v>
      </c>
      <c r="B288" t="s">
        <v>457</v>
      </c>
      <c r="C288" t="s">
        <v>458</v>
      </c>
      <c r="D288">
        <v>102</v>
      </c>
      <c r="E288" t="s">
        <v>11</v>
      </c>
      <c r="F288" t="s">
        <v>315</v>
      </c>
      <c r="G288" t="s">
        <v>129</v>
      </c>
      <c r="H288">
        <v>1</v>
      </c>
    </row>
    <row r="289" spans="1:8" x14ac:dyDescent="0.25">
      <c r="A289" t="s">
        <v>8</v>
      </c>
      <c r="B289" t="s">
        <v>459</v>
      </c>
      <c r="C289" t="s">
        <v>460</v>
      </c>
      <c r="D289">
        <v>102</v>
      </c>
      <c r="E289" t="s">
        <v>11</v>
      </c>
      <c r="F289" t="s">
        <v>315</v>
      </c>
      <c r="G289" t="s">
        <v>129</v>
      </c>
      <c r="H289">
        <v>1</v>
      </c>
    </row>
    <row r="290" spans="1:8" x14ac:dyDescent="0.25">
      <c r="A290" t="s">
        <v>8</v>
      </c>
      <c r="B290" t="s">
        <v>461</v>
      </c>
      <c r="C290" t="s">
        <v>462</v>
      </c>
      <c r="D290">
        <v>102</v>
      </c>
      <c r="E290" t="s">
        <v>11</v>
      </c>
      <c r="F290" t="s">
        <v>315</v>
      </c>
      <c r="G290" t="s">
        <v>129</v>
      </c>
      <c r="H290">
        <v>2</v>
      </c>
    </row>
    <row r="291" spans="1:8" x14ac:dyDescent="0.25">
      <c r="A291" t="s">
        <v>13</v>
      </c>
      <c r="B291" t="s">
        <v>461</v>
      </c>
      <c r="C291" t="s">
        <v>462</v>
      </c>
      <c r="D291">
        <v>102</v>
      </c>
      <c r="E291" t="s">
        <v>11</v>
      </c>
      <c r="F291" t="s">
        <v>315</v>
      </c>
      <c r="G291" t="s">
        <v>129</v>
      </c>
      <c r="H291">
        <v>1</v>
      </c>
    </row>
    <row r="292" spans="1:8" x14ac:dyDescent="0.25">
      <c r="A292" t="s">
        <v>8</v>
      </c>
      <c r="B292" t="s">
        <v>463</v>
      </c>
      <c r="C292" t="s">
        <v>464</v>
      </c>
      <c r="D292">
        <v>102</v>
      </c>
      <c r="E292" t="s">
        <v>11</v>
      </c>
      <c r="F292" t="s">
        <v>315</v>
      </c>
      <c r="G292" t="s">
        <v>129</v>
      </c>
      <c r="H292">
        <v>1</v>
      </c>
    </row>
    <row r="293" spans="1:8" x14ac:dyDescent="0.25">
      <c r="A293" t="s">
        <v>13</v>
      </c>
      <c r="B293" t="s">
        <v>463</v>
      </c>
      <c r="C293" t="s">
        <v>464</v>
      </c>
      <c r="D293">
        <v>102</v>
      </c>
      <c r="E293" t="s">
        <v>11</v>
      </c>
      <c r="F293" t="s">
        <v>315</v>
      </c>
      <c r="G293" t="s">
        <v>129</v>
      </c>
      <c r="H293">
        <v>2</v>
      </c>
    </row>
    <row r="294" spans="1:8" x14ac:dyDescent="0.25">
      <c r="A294" t="s">
        <v>8</v>
      </c>
      <c r="B294" t="s">
        <v>465</v>
      </c>
      <c r="C294" t="s">
        <v>466</v>
      </c>
      <c r="D294">
        <v>102</v>
      </c>
      <c r="E294" t="s">
        <v>11</v>
      </c>
      <c r="F294" t="s">
        <v>315</v>
      </c>
      <c r="G294" t="s">
        <v>129</v>
      </c>
      <c r="H294">
        <v>1</v>
      </c>
    </row>
    <row r="295" spans="1:8" x14ac:dyDescent="0.25">
      <c r="A295" t="s">
        <v>13</v>
      </c>
      <c r="B295" t="s">
        <v>465</v>
      </c>
      <c r="C295" t="s">
        <v>466</v>
      </c>
      <c r="D295">
        <v>102</v>
      </c>
      <c r="E295" t="s">
        <v>11</v>
      </c>
      <c r="F295" t="s">
        <v>315</v>
      </c>
      <c r="G295" t="s">
        <v>129</v>
      </c>
      <c r="H295">
        <v>3</v>
      </c>
    </row>
    <row r="296" spans="1:8" x14ac:dyDescent="0.25">
      <c r="A296" t="s">
        <v>8</v>
      </c>
      <c r="B296" t="s">
        <v>467</v>
      </c>
      <c r="C296" t="s">
        <v>468</v>
      </c>
      <c r="D296">
        <v>102</v>
      </c>
      <c r="E296" t="s">
        <v>11</v>
      </c>
      <c r="F296" t="s">
        <v>315</v>
      </c>
      <c r="G296" t="s">
        <v>129</v>
      </c>
      <c r="H296">
        <v>4</v>
      </c>
    </row>
    <row r="297" spans="1:8" x14ac:dyDescent="0.25">
      <c r="A297" t="s">
        <v>8</v>
      </c>
      <c r="B297" t="s">
        <v>469</v>
      </c>
      <c r="C297" t="s">
        <v>470</v>
      </c>
      <c r="D297">
        <v>102</v>
      </c>
      <c r="E297" t="s">
        <v>11</v>
      </c>
      <c r="F297" t="s">
        <v>315</v>
      </c>
      <c r="G297" t="s">
        <v>129</v>
      </c>
      <c r="H297">
        <v>1</v>
      </c>
    </row>
    <row r="298" spans="1:8" x14ac:dyDescent="0.25">
      <c r="A298" t="s">
        <v>8</v>
      </c>
      <c r="B298" t="s">
        <v>471</v>
      </c>
      <c r="C298" t="s">
        <v>472</v>
      </c>
      <c r="D298">
        <v>102</v>
      </c>
      <c r="E298" t="s">
        <v>11</v>
      </c>
      <c r="F298" t="s">
        <v>473</v>
      </c>
      <c r="G298" t="s">
        <v>474</v>
      </c>
      <c r="H298">
        <v>26</v>
      </c>
    </row>
    <row r="299" spans="1:8" x14ac:dyDescent="0.25">
      <c r="A299" t="s">
        <v>13</v>
      </c>
      <c r="B299" t="s">
        <v>471</v>
      </c>
      <c r="C299" t="s">
        <v>472</v>
      </c>
      <c r="D299">
        <v>102</v>
      </c>
      <c r="E299" t="s">
        <v>11</v>
      </c>
      <c r="F299" t="s">
        <v>473</v>
      </c>
      <c r="G299" t="s">
        <v>474</v>
      </c>
      <c r="H299">
        <v>12</v>
      </c>
    </row>
    <row r="300" spans="1:8" x14ac:dyDescent="0.25">
      <c r="A300" t="s">
        <v>8</v>
      </c>
      <c r="B300" t="s">
        <v>475</v>
      </c>
      <c r="C300" t="s">
        <v>476</v>
      </c>
      <c r="D300">
        <v>102</v>
      </c>
      <c r="E300" t="s">
        <v>11</v>
      </c>
      <c r="F300" t="s">
        <v>477</v>
      </c>
      <c r="G300" t="s">
        <v>478</v>
      </c>
      <c r="H300">
        <v>18</v>
      </c>
    </row>
    <row r="301" spans="1:8" x14ac:dyDescent="0.25">
      <c r="A301" t="s">
        <v>13</v>
      </c>
      <c r="B301" t="s">
        <v>475</v>
      </c>
      <c r="C301" t="s">
        <v>476</v>
      </c>
      <c r="D301">
        <v>102</v>
      </c>
      <c r="E301" t="s">
        <v>11</v>
      </c>
      <c r="F301" t="s">
        <v>477</v>
      </c>
      <c r="G301" t="s">
        <v>478</v>
      </c>
      <c r="H301">
        <v>13</v>
      </c>
    </row>
    <row r="302" spans="1:8" x14ac:dyDescent="0.25">
      <c r="A302" t="s">
        <v>8</v>
      </c>
      <c r="B302" t="s">
        <v>479</v>
      </c>
      <c r="C302" t="s">
        <v>480</v>
      </c>
      <c r="D302">
        <v>102</v>
      </c>
      <c r="E302" t="s">
        <v>11</v>
      </c>
      <c r="F302" t="s">
        <v>481</v>
      </c>
      <c r="G302" t="s">
        <v>165</v>
      </c>
      <c r="H302">
        <v>2</v>
      </c>
    </row>
    <row r="303" spans="1:8" x14ac:dyDescent="0.25">
      <c r="A303" t="s">
        <v>8</v>
      </c>
      <c r="B303" t="s">
        <v>482</v>
      </c>
      <c r="C303" t="s">
        <v>483</v>
      </c>
      <c r="D303">
        <v>102</v>
      </c>
      <c r="E303" t="s">
        <v>11</v>
      </c>
      <c r="F303" t="s">
        <v>484</v>
      </c>
      <c r="G303" t="s">
        <v>173</v>
      </c>
      <c r="H303">
        <v>2</v>
      </c>
    </row>
    <row r="304" spans="1:8" x14ac:dyDescent="0.25">
      <c r="A304" t="s">
        <v>8</v>
      </c>
      <c r="B304" t="s">
        <v>485</v>
      </c>
      <c r="C304" t="s">
        <v>486</v>
      </c>
      <c r="D304">
        <v>102</v>
      </c>
      <c r="E304" t="s">
        <v>11</v>
      </c>
      <c r="F304" t="s">
        <v>487</v>
      </c>
      <c r="G304" t="s">
        <v>488</v>
      </c>
      <c r="H304">
        <v>54</v>
      </c>
    </row>
    <row r="305" spans="1:8" x14ac:dyDescent="0.25">
      <c r="A305" t="s">
        <v>13</v>
      </c>
      <c r="B305" t="s">
        <v>485</v>
      </c>
      <c r="C305" t="s">
        <v>486</v>
      </c>
      <c r="D305">
        <v>102</v>
      </c>
      <c r="E305" t="s">
        <v>11</v>
      </c>
      <c r="F305" t="s">
        <v>487</v>
      </c>
      <c r="G305" t="s">
        <v>488</v>
      </c>
      <c r="H305">
        <v>76</v>
      </c>
    </row>
    <row r="306" spans="1:8" x14ac:dyDescent="0.25">
      <c r="A306" t="s">
        <v>8</v>
      </c>
      <c r="B306" t="s">
        <v>489</v>
      </c>
      <c r="C306" t="s">
        <v>490</v>
      </c>
      <c r="D306">
        <v>102</v>
      </c>
      <c r="E306" t="s">
        <v>11</v>
      </c>
      <c r="F306" t="s">
        <v>487</v>
      </c>
      <c r="G306" t="s">
        <v>491</v>
      </c>
      <c r="H306">
        <v>38</v>
      </c>
    </row>
    <row r="307" spans="1:8" x14ac:dyDescent="0.25">
      <c r="A307" t="s">
        <v>13</v>
      </c>
      <c r="B307" t="s">
        <v>489</v>
      </c>
      <c r="C307" t="s">
        <v>490</v>
      </c>
      <c r="D307">
        <v>102</v>
      </c>
      <c r="E307" t="s">
        <v>11</v>
      </c>
      <c r="F307" t="s">
        <v>487</v>
      </c>
      <c r="G307" t="s">
        <v>491</v>
      </c>
      <c r="H307">
        <v>34</v>
      </c>
    </row>
    <row r="308" spans="1:8" x14ac:dyDescent="0.25">
      <c r="A308" t="s">
        <v>8</v>
      </c>
      <c r="B308" t="s">
        <v>492</v>
      </c>
      <c r="C308" t="s">
        <v>493</v>
      </c>
      <c r="D308">
        <v>102</v>
      </c>
      <c r="E308" t="s">
        <v>11</v>
      </c>
      <c r="F308" t="s">
        <v>494</v>
      </c>
      <c r="G308" t="s">
        <v>474</v>
      </c>
      <c r="H308">
        <v>51</v>
      </c>
    </row>
    <row r="309" spans="1:8" x14ac:dyDescent="0.25">
      <c r="A309" t="s">
        <v>13</v>
      </c>
      <c r="B309" t="s">
        <v>492</v>
      </c>
      <c r="C309" t="s">
        <v>493</v>
      </c>
      <c r="D309">
        <v>102</v>
      </c>
      <c r="E309" t="s">
        <v>11</v>
      </c>
      <c r="F309" t="s">
        <v>494</v>
      </c>
      <c r="G309" t="s">
        <v>474</v>
      </c>
      <c r="H309">
        <v>39</v>
      </c>
    </row>
    <row r="310" spans="1:8" x14ac:dyDescent="0.25">
      <c r="A310" t="s">
        <v>8</v>
      </c>
      <c r="B310" t="s">
        <v>495</v>
      </c>
      <c r="C310" t="s">
        <v>496</v>
      </c>
      <c r="D310">
        <v>102</v>
      </c>
      <c r="E310" t="s">
        <v>11</v>
      </c>
      <c r="F310" t="s">
        <v>494</v>
      </c>
      <c r="G310" t="s">
        <v>497</v>
      </c>
      <c r="H310">
        <v>33</v>
      </c>
    </row>
    <row r="311" spans="1:8" x14ac:dyDescent="0.25">
      <c r="A311" t="s">
        <v>13</v>
      </c>
      <c r="B311" t="s">
        <v>495</v>
      </c>
      <c r="C311" t="s">
        <v>496</v>
      </c>
      <c r="D311">
        <v>102</v>
      </c>
      <c r="E311" t="s">
        <v>11</v>
      </c>
      <c r="F311" t="s">
        <v>494</v>
      </c>
      <c r="G311" t="s">
        <v>497</v>
      </c>
      <c r="H311">
        <v>40</v>
      </c>
    </row>
    <row r="312" spans="1:8" x14ac:dyDescent="0.25">
      <c r="A312" t="s">
        <v>8</v>
      </c>
      <c r="B312" t="s">
        <v>498</v>
      </c>
      <c r="C312" t="s">
        <v>499</v>
      </c>
      <c r="D312">
        <v>102</v>
      </c>
      <c r="E312" t="s">
        <v>11</v>
      </c>
      <c r="F312" t="s">
        <v>494</v>
      </c>
      <c r="G312" t="s">
        <v>491</v>
      </c>
      <c r="H312">
        <v>14</v>
      </c>
    </row>
    <row r="313" spans="1:8" x14ac:dyDescent="0.25">
      <c r="A313" t="s">
        <v>13</v>
      </c>
      <c r="B313" t="s">
        <v>498</v>
      </c>
      <c r="C313" t="s">
        <v>499</v>
      </c>
      <c r="D313">
        <v>102</v>
      </c>
      <c r="E313" t="s">
        <v>11</v>
      </c>
      <c r="F313" t="s">
        <v>494</v>
      </c>
      <c r="G313" t="s">
        <v>491</v>
      </c>
      <c r="H313">
        <v>65</v>
      </c>
    </row>
    <row r="314" spans="1:8" x14ac:dyDescent="0.25">
      <c r="A314" t="s">
        <v>8</v>
      </c>
      <c r="B314" t="s">
        <v>500</v>
      </c>
      <c r="C314" t="s">
        <v>501</v>
      </c>
      <c r="D314">
        <v>102</v>
      </c>
      <c r="E314" t="s">
        <v>11</v>
      </c>
      <c r="F314" t="s">
        <v>494</v>
      </c>
      <c r="G314" t="s">
        <v>502</v>
      </c>
      <c r="H314">
        <v>1</v>
      </c>
    </row>
    <row r="315" spans="1:8" x14ac:dyDescent="0.25">
      <c r="A315" t="s">
        <v>13</v>
      </c>
      <c r="B315" t="s">
        <v>500</v>
      </c>
      <c r="C315" t="s">
        <v>501</v>
      </c>
      <c r="D315">
        <v>102</v>
      </c>
      <c r="E315" t="s">
        <v>11</v>
      </c>
      <c r="F315" t="s">
        <v>494</v>
      </c>
      <c r="G315" t="s">
        <v>502</v>
      </c>
      <c r="H315">
        <v>5</v>
      </c>
    </row>
    <row r="316" spans="1:8" x14ac:dyDescent="0.25">
      <c r="A316" t="s">
        <v>8</v>
      </c>
      <c r="B316" t="s">
        <v>503</v>
      </c>
      <c r="C316" t="s">
        <v>504</v>
      </c>
      <c r="D316">
        <v>102</v>
      </c>
      <c r="E316" t="s">
        <v>11</v>
      </c>
      <c r="F316" t="s">
        <v>505</v>
      </c>
      <c r="G316" t="s">
        <v>173</v>
      </c>
      <c r="H316">
        <v>3</v>
      </c>
    </row>
    <row r="317" spans="1:8" x14ac:dyDescent="0.25">
      <c r="A317" t="s">
        <v>13</v>
      </c>
      <c r="B317" t="s">
        <v>503</v>
      </c>
      <c r="C317" t="s">
        <v>504</v>
      </c>
      <c r="D317">
        <v>102</v>
      </c>
      <c r="E317" t="s">
        <v>11</v>
      </c>
      <c r="F317" t="s">
        <v>505</v>
      </c>
      <c r="G317" t="s">
        <v>173</v>
      </c>
      <c r="H317">
        <v>1</v>
      </c>
    </row>
    <row r="318" spans="1:8" x14ac:dyDescent="0.25">
      <c r="A318" t="s">
        <v>8</v>
      </c>
      <c r="B318" t="s">
        <v>506</v>
      </c>
      <c r="C318" t="s">
        <v>507</v>
      </c>
      <c r="D318">
        <v>102</v>
      </c>
      <c r="E318" t="s">
        <v>11</v>
      </c>
      <c r="F318" t="s">
        <v>508</v>
      </c>
      <c r="G318" t="s">
        <v>474</v>
      </c>
      <c r="H318">
        <v>24</v>
      </c>
    </row>
    <row r="319" spans="1:8" x14ac:dyDescent="0.25">
      <c r="A319" t="s">
        <v>13</v>
      </c>
      <c r="B319" t="s">
        <v>506</v>
      </c>
      <c r="C319" t="s">
        <v>507</v>
      </c>
      <c r="D319">
        <v>102</v>
      </c>
      <c r="E319" t="s">
        <v>11</v>
      </c>
      <c r="F319" t="s">
        <v>508</v>
      </c>
      <c r="G319" t="s">
        <v>474</v>
      </c>
      <c r="H319">
        <v>25</v>
      </c>
    </row>
    <row r="320" spans="1:8" x14ac:dyDescent="0.25">
      <c r="A320" t="s">
        <v>8</v>
      </c>
      <c r="B320" t="s">
        <v>509</v>
      </c>
      <c r="C320" t="s">
        <v>510</v>
      </c>
      <c r="D320">
        <v>102</v>
      </c>
      <c r="E320" t="s">
        <v>11</v>
      </c>
      <c r="F320" t="s">
        <v>511</v>
      </c>
      <c r="G320" t="s">
        <v>512</v>
      </c>
      <c r="H320">
        <v>24</v>
      </c>
    </row>
    <row r="321" spans="1:8" x14ac:dyDescent="0.25">
      <c r="A321" t="s">
        <v>13</v>
      </c>
      <c r="B321" t="s">
        <v>509</v>
      </c>
      <c r="C321" t="s">
        <v>510</v>
      </c>
      <c r="D321">
        <v>102</v>
      </c>
      <c r="E321" t="s">
        <v>11</v>
      </c>
      <c r="F321" t="s">
        <v>511</v>
      </c>
      <c r="G321" t="s">
        <v>512</v>
      </c>
      <c r="H321">
        <v>31</v>
      </c>
    </row>
    <row r="322" spans="1:8" x14ac:dyDescent="0.25">
      <c r="A322" t="s">
        <v>8</v>
      </c>
      <c r="B322" t="s">
        <v>513</v>
      </c>
      <c r="C322" t="s">
        <v>514</v>
      </c>
      <c r="D322">
        <v>102</v>
      </c>
      <c r="E322" t="s">
        <v>11</v>
      </c>
      <c r="F322" t="s">
        <v>511</v>
      </c>
      <c r="G322" t="s">
        <v>512</v>
      </c>
      <c r="H322">
        <v>5</v>
      </c>
    </row>
    <row r="323" spans="1:8" x14ac:dyDescent="0.25">
      <c r="A323" t="s">
        <v>13</v>
      </c>
      <c r="B323" t="s">
        <v>513</v>
      </c>
      <c r="C323" t="s">
        <v>514</v>
      </c>
      <c r="D323">
        <v>102</v>
      </c>
      <c r="E323" t="s">
        <v>11</v>
      </c>
      <c r="F323" t="s">
        <v>511</v>
      </c>
      <c r="G323" t="s">
        <v>512</v>
      </c>
      <c r="H323">
        <v>15</v>
      </c>
    </row>
    <row r="324" spans="1:8" x14ac:dyDescent="0.25">
      <c r="A324" t="s">
        <v>8</v>
      </c>
      <c r="B324" t="s">
        <v>515</v>
      </c>
      <c r="C324" t="s">
        <v>516</v>
      </c>
      <c r="D324">
        <v>102</v>
      </c>
      <c r="E324" t="s">
        <v>11</v>
      </c>
      <c r="F324" t="s">
        <v>511</v>
      </c>
      <c r="G324" t="s">
        <v>512</v>
      </c>
      <c r="H324">
        <v>1</v>
      </c>
    </row>
    <row r="325" spans="1:8" x14ac:dyDescent="0.25">
      <c r="A325" t="s">
        <v>8</v>
      </c>
      <c r="B325" t="s">
        <v>517</v>
      </c>
      <c r="C325" t="s">
        <v>518</v>
      </c>
      <c r="D325">
        <v>102</v>
      </c>
      <c r="E325" t="s">
        <v>11</v>
      </c>
      <c r="F325" t="s">
        <v>519</v>
      </c>
      <c r="G325" t="s">
        <v>214</v>
      </c>
      <c r="H325">
        <v>1</v>
      </c>
    </row>
    <row r="326" spans="1:8" x14ac:dyDescent="0.25">
      <c r="A326" t="s">
        <v>8</v>
      </c>
      <c r="B326" t="s">
        <v>520</v>
      </c>
      <c r="C326" t="s">
        <v>521</v>
      </c>
      <c r="D326">
        <v>102</v>
      </c>
      <c r="E326" t="s">
        <v>11</v>
      </c>
      <c r="F326" t="s">
        <v>522</v>
      </c>
      <c r="G326" t="s">
        <v>173</v>
      </c>
      <c r="H326">
        <v>1</v>
      </c>
    </row>
    <row r="327" spans="1:8" x14ac:dyDescent="0.25">
      <c r="A327" t="s">
        <v>13</v>
      </c>
      <c r="B327" t="s">
        <v>520</v>
      </c>
      <c r="C327" t="s">
        <v>521</v>
      </c>
      <c r="D327">
        <v>102</v>
      </c>
      <c r="E327" t="s">
        <v>11</v>
      </c>
      <c r="F327" t="s">
        <v>522</v>
      </c>
      <c r="G327" t="s">
        <v>173</v>
      </c>
      <c r="H327">
        <v>1</v>
      </c>
    </row>
    <row r="328" spans="1:8" x14ac:dyDescent="0.25">
      <c r="A328" t="s">
        <v>8</v>
      </c>
      <c r="B328" t="s">
        <v>523</v>
      </c>
      <c r="C328" t="s">
        <v>524</v>
      </c>
      <c r="D328">
        <v>102</v>
      </c>
      <c r="E328" t="s">
        <v>11</v>
      </c>
      <c r="F328" t="s">
        <v>525</v>
      </c>
      <c r="G328" t="s">
        <v>526</v>
      </c>
      <c r="H328">
        <v>1</v>
      </c>
    </row>
    <row r="329" spans="1:8" x14ac:dyDescent="0.25">
      <c r="A329" t="s">
        <v>13</v>
      </c>
      <c r="B329" t="s">
        <v>523</v>
      </c>
      <c r="C329" t="s">
        <v>524</v>
      </c>
      <c r="D329">
        <v>102</v>
      </c>
      <c r="E329" t="s">
        <v>11</v>
      </c>
      <c r="F329" t="s">
        <v>525</v>
      </c>
      <c r="G329" t="s">
        <v>526</v>
      </c>
      <c r="H329">
        <v>1</v>
      </c>
    </row>
    <row r="330" spans="1:8" x14ac:dyDescent="0.25">
      <c r="A330" t="s">
        <v>8</v>
      </c>
      <c r="B330" t="s">
        <v>527</v>
      </c>
      <c r="C330" t="s">
        <v>528</v>
      </c>
      <c r="D330">
        <v>102</v>
      </c>
      <c r="E330" t="s">
        <v>11</v>
      </c>
      <c r="F330" t="s">
        <v>315</v>
      </c>
      <c r="G330" t="s">
        <v>129</v>
      </c>
      <c r="H330">
        <v>1</v>
      </c>
    </row>
    <row r="331" spans="1:8" x14ac:dyDescent="0.25">
      <c r="A331" t="s">
        <v>8</v>
      </c>
      <c r="B331" t="s">
        <v>529</v>
      </c>
      <c r="C331" t="s">
        <v>530</v>
      </c>
      <c r="D331">
        <v>102</v>
      </c>
      <c r="E331" t="s">
        <v>11</v>
      </c>
      <c r="F331" t="s">
        <v>315</v>
      </c>
      <c r="G331" t="s">
        <v>129</v>
      </c>
      <c r="H331">
        <v>2</v>
      </c>
    </row>
    <row r="332" spans="1:8" x14ac:dyDescent="0.25">
      <c r="A332" t="s">
        <v>13</v>
      </c>
      <c r="B332" t="s">
        <v>529</v>
      </c>
      <c r="C332" t="s">
        <v>530</v>
      </c>
      <c r="D332">
        <v>102</v>
      </c>
      <c r="E332" t="s">
        <v>11</v>
      </c>
      <c r="F332" t="s">
        <v>315</v>
      </c>
      <c r="G332" t="s">
        <v>129</v>
      </c>
      <c r="H332">
        <v>1</v>
      </c>
    </row>
    <row r="333" spans="1:8" x14ac:dyDescent="0.25">
      <c r="A333" t="s">
        <v>8</v>
      </c>
      <c r="B333" t="s">
        <v>531</v>
      </c>
      <c r="C333" t="s">
        <v>532</v>
      </c>
      <c r="D333">
        <v>102</v>
      </c>
      <c r="E333" t="s">
        <v>11</v>
      </c>
      <c r="F333" t="s">
        <v>315</v>
      </c>
      <c r="G333" t="s">
        <v>129</v>
      </c>
      <c r="H333">
        <v>3</v>
      </c>
    </row>
    <row r="334" spans="1:8" x14ac:dyDescent="0.25">
      <c r="A334" t="s">
        <v>13</v>
      </c>
      <c r="B334" t="s">
        <v>531</v>
      </c>
      <c r="C334" t="s">
        <v>532</v>
      </c>
      <c r="D334">
        <v>102</v>
      </c>
      <c r="E334" t="s">
        <v>11</v>
      </c>
      <c r="F334" t="s">
        <v>315</v>
      </c>
      <c r="G334" t="s">
        <v>129</v>
      </c>
      <c r="H334">
        <v>2</v>
      </c>
    </row>
    <row r="335" spans="1:8" x14ac:dyDescent="0.25">
      <c r="A335" t="s">
        <v>8</v>
      </c>
      <c r="B335" t="s">
        <v>533</v>
      </c>
      <c r="C335" t="s">
        <v>534</v>
      </c>
      <c r="D335">
        <v>102</v>
      </c>
      <c r="E335" t="s">
        <v>11</v>
      </c>
      <c r="F335" t="s">
        <v>315</v>
      </c>
      <c r="G335" t="s">
        <v>129</v>
      </c>
      <c r="H335">
        <v>1</v>
      </c>
    </row>
    <row r="336" spans="1:8" x14ac:dyDescent="0.25">
      <c r="A336" t="s">
        <v>13</v>
      </c>
      <c r="B336" t="s">
        <v>533</v>
      </c>
      <c r="C336" t="s">
        <v>534</v>
      </c>
      <c r="D336">
        <v>102</v>
      </c>
      <c r="E336" t="s">
        <v>11</v>
      </c>
      <c r="F336" t="s">
        <v>315</v>
      </c>
      <c r="G336" t="s">
        <v>129</v>
      </c>
      <c r="H336">
        <v>1</v>
      </c>
    </row>
    <row r="337" spans="1:8" x14ac:dyDescent="0.25">
      <c r="A337" t="s">
        <v>8</v>
      </c>
      <c r="B337" t="s">
        <v>535</v>
      </c>
      <c r="C337" t="s">
        <v>536</v>
      </c>
      <c r="D337">
        <v>102</v>
      </c>
      <c r="E337" t="s">
        <v>11</v>
      </c>
      <c r="F337" t="s">
        <v>315</v>
      </c>
      <c r="G337" t="s">
        <v>129</v>
      </c>
      <c r="H337">
        <v>4</v>
      </c>
    </row>
    <row r="338" spans="1:8" x14ac:dyDescent="0.25">
      <c r="A338" t="s">
        <v>13</v>
      </c>
      <c r="B338" t="s">
        <v>535</v>
      </c>
      <c r="C338" t="s">
        <v>536</v>
      </c>
      <c r="D338">
        <v>102</v>
      </c>
      <c r="E338" t="s">
        <v>11</v>
      </c>
      <c r="F338" t="s">
        <v>315</v>
      </c>
      <c r="G338" t="s">
        <v>129</v>
      </c>
      <c r="H338">
        <v>1</v>
      </c>
    </row>
    <row r="339" spans="1:8" x14ac:dyDescent="0.25">
      <c r="A339" t="s">
        <v>8</v>
      </c>
      <c r="B339" t="s">
        <v>537</v>
      </c>
      <c r="C339" t="s">
        <v>538</v>
      </c>
      <c r="D339">
        <v>102</v>
      </c>
      <c r="E339" t="s">
        <v>11</v>
      </c>
      <c r="F339" t="s">
        <v>315</v>
      </c>
      <c r="G339" t="s">
        <v>129</v>
      </c>
      <c r="H339">
        <v>3</v>
      </c>
    </row>
    <row r="340" spans="1:8" x14ac:dyDescent="0.25">
      <c r="A340" t="s">
        <v>8</v>
      </c>
      <c r="B340" t="s">
        <v>539</v>
      </c>
      <c r="C340" t="s">
        <v>540</v>
      </c>
      <c r="D340">
        <v>102</v>
      </c>
      <c r="E340" t="s">
        <v>11</v>
      </c>
      <c r="F340" t="s">
        <v>315</v>
      </c>
      <c r="G340" t="s">
        <v>129</v>
      </c>
      <c r="H340">
        <v>1</v>
      </c>
    </row>
    <row r="341" spans="1:8" x14ac:dyDescent="0.25">
      <c r="A341" t="s">
        <v>13</v>
      </c>
      <c r="B341" t="s">
        <v>539</v>
      </c>
      <c r="C341" t="s">
        <v>540</v>
      </c>
      <c r="D341">
        <v>102</v>
      </c>
      <c r="E341" t="s">
        <v>11</v>
      </c>
      <c r="F341" t="s">
        <v>315</v>
      </c>
      <c r="G341" t="s">
        <v>129</v>
      </c>
      <c r="H341">
        <v>3</v>
      </c>
    </row>
    <row r="342" spans="1:8" x14ac:dyDescent="0.25">
      <c r="A342" t="s">
        <v>8</v>
      </c>
      <c r="B342" t="s">
        <v>541</v>
      </c>
      <c r="C342" t="s">
        <v>542</v>
      </c>
      <c r="D342">
        <v>102</v>
      </c>
      <c r="E342" t="s">
        <v>11</v>
      </c>
      <c r="F342" t="s">
        <v>315</v>
      </c>
      <c r="G342" t="s">
        <v>129</v>
      </c>
      <c r="H342">
        <v>2</v>
      </c>
    </row>
    <row r="343" spans="1:8" x14ac:dyDescent="0.25">
      <c r="A343" t="s">
        <v>13</v>
      </c>
      <c r="B343" t="s">
        <v>541</v>
      </c>
      <c r="C343" t="s">
        <v>542</v>
      </c>
      <c r="D343">
        <v>102</v>
      </c>
      <c r="E343" t="s">
        <v>11</v>
      </c>
      <c r="F343" t="s">
        <v>315</v>
      </c>
      <c r="G343" t="s">
        <v>129</v>
      </c>
      <c r="H343">
        <v>2</v>
      </c>
    </row>
    <row r="344" spans="1:8" x14ac:dyDescent="0.25">
      <c r="A344" t="s">
        <v>8</v>
      </c>
      <c r="B344" t="s">
        <v>543</v>
      </c>
      <c r="C344" t="s">
        <v>544</v>
      </c>
      <c r="D344">
        <v>102</v>
      </c>
      <c r="E344" t="s">
        <v>11</v>
      </c>
      <c r="F344" t="s">
        <v>315</v>
      </c>
      <c r="G344" t="s">
        <v>129</v>
      </c>
      <c r="H344">
        <v>3</v>
      </c>
    </row>
    <row r="345" spans="1:8" x14ac:dyDescent="0.25">
      <c r="A345" t="s">
        <v>13</v>
      </c>
      <c r="B345" t="s">
        <v>543</v>
      </c>
      <c r="C345" t="s">
        <v>544</v>
      </c>
      <c r="D345">
        <v>102</v>
      </c>
      <c r="E345" t="s">
        <v>11</v>
      </c>
      <c r="F345" t="s">
        <v>315</v>
      </c>
      <c r="G345" t="s">
        <v>129</v>
      </c>
      <c r="H345">
        <v>2</v>
      </c>
    </row>
    <row r="346" spans="1:8" x14ac:dyDescent="0.25">
      <c r="A346" t="s">
        <v>8</v>
      </c>
      <c r="B346" t="s">
        <v>545</v>
      </c>
      <c r="C346" t="s">
        <v>546</v>
      </c>
      <c r="D346">
        <v>102</v>
      </c>
      <c r="E346" t="s">
        <v>11</v>
      </c>
      <c r="F346" t="s">
        <v>315</v>
      </c>
      <c r="G346" t="s">
        <v>129</v>
      </c>
      <c r="H346">
        <v>2</v>
      </c>
    </row>
    <row r="347" spans="1:8" x14ac:dyDescent="0.25">
      <c r="A347" t="s">
        <v>8</v>
      </c>
      <c r="B347" t="s">
        <v>547</v>
      </c>
      <c r="C347" t="s">
        <v>548</v>
      </c>
      <c r="D347">
        <v>102</v>
      </c>
      <c r="E347" t="s">
        <v>11</v>
      </c>
      <c r="F347" t="s">
        <v>315</v>
      </c>
      <c r="G347" t="s">
        <v>129</v>
      </c>
      <c r="H347">
        <v>2</v>
      </c>
    </row>
    <row r="348" spans="1:8" x14ac:dyDescent="0.25">
      <c r="A348" t="s">
        <v>13</v>
      </c>
      <c r="B348" t="s">
        <v>547</v>
      </c>
      <c r="C348" t="s">
        <v>548</v>
      </c>
      <c r="D348">
        <v>102</v>
      </c>
      <c r="E348" t="s">
        <v>11</v>
      </c>
      <c r="F348" t="s">
        <v>315</v>
      </c>
      <c r="G348" t="s">
        <v>129</v>
      </c>
      <c r="H348">
        <v>3</v>
      </c>
    </row>
    <row r="349" spans="1:8" x14ac:dyDescent="0.25">
      <c r="A349" t="s">
        <v>8</v>
      </c>
      <c r="B349" t="s">
        <v>549</v>
      </c>
      <c r="C349" t="s">
        <v>550</v>
      </c>
      <c r="D349">
        <v>102</v>
      </c>
      <c r="E349" t="s">
        <v>11</v>
      </c>
      <c r="F349" t="s">
        <v>315</v>
      </c>
      <c r="G349" t="s">
        <v>129</v>
      </c>
      <c r="H349">
        <v>2</v>
      </c>
    </row>
    <row r="350" spans="1:8" x14ac:dyDescent="0.25">
      <c r="A350" t="s">
        <v>13</v>
      </c>
      <c r="B350" t="s">
        <v>549</v>
      </c>
      <c r="C350" t="s">
        <v>550</v>
      </c>
      <c r="D350">
        <v>102</v>
      </c>
      <c r="E350" t="s">
        <v>11</v>
      </c>
      <c r="F350" t="s">
        <v>315</v>
      </c>
      <c r="G350" t="s">
        <v>129</v>
      </c>
      <c r="H350">
        <v>3</v>
      </c>
    </row>
    <row r="351" spans="1:8" x14ac:dyDescent="0.25">
      <c r="A351" t="s">
        <v>8</v>
      </c>
      <c r="B351" t="s">
        <v>551</v>
      </c>
      <c r="C351" t="s">
        <v>552</v>
      </c>
      <c r="D351">
        <v>102</v>
      </c>
      <c r="E351" t="s">
        <v>11</v>
      </c>
      <c r="F351" t="s">
        <v>315</v>
      </c>
      <c r="G351" t="s">
        <v>129</v>
      </c>
      <c r="H351">
        <v>2</v>
      </c>
    </row>
    <row r="352" spans="1:8" x14ac:dyDescent="0.25">
      <c r="A352" t="s">
        <v>13</v>
      </c>
      <c r="B352" t="s">
        <v>551</v>
      </c>
      <c r="C352" t="s">
        <v>552</v>
      </c>
      <c r="D352">
        <v>102</v>
      </c>
      <c r="E352" t="s">
        <v>11</v>
      </c>
      <c r="F352" t="s">
        <v>315</v>
      </c>
      <c r="G352" t="s">
        <v>129</v>
      </c>
      <c r="H352">
        <v>3</v>
      </c>
    </row>
    <row r="353" spans="1:8" x14ac:dyDescent="0.25">
      <c r="A353" t="s">
        <v>8</v>
      </c>
      <c r="B353" t="s">
        <v>553</v>
      </c>
      <c r="C353" t="s">
        <v>554</v>
      </c>
      <c r="D353">
        <v>102</v>
      </c>
      <c r="E353" t="s">
        <v>11</v>
      </c>
      <c r="F353" t="s">
        <v>315</v>
      </c>
      <c r="G353" t="s">
        <v>129</v>
      </c>
      <c r="H353">
        <v>2</v>
      </c>
    </row>
    <row r="354" spans="1:8" x14ac:dyDescent="0.25">
      <c r="A354" t="s">
        <v>13</v>
      </c>
      <c r="B354" t="s">
        <v>553</v>
      </c>
      <c r="C354" t="s">
        <v>554</v>
      </c>
      <c r="D354">
        <v>102</v>
      </c>
      <c r="E354" t="s">
        <v>11</v>
      </c>
      <c r="F354" t="s">
        <v>315</v>
      </c>
      <c r="G354" t="s">
        <v>129</v>
      </c>
      <c r="H354">
        <v>2</v>
      </c>
    </row>
    <row r="355" spans="1:8" x14ac:dyDescent="0.25">
      <c r="A355" t="s">
        <v>8</v>
      </c>
      <c r="B355" t="s">
        <v>555</v>
      </c>
      <c r="C355" t="s">
        <v>556</v>
      </c>
      <c r="D355">
        <v>102</v>
      </c>
      <c r="E355" t="s">
        <v>11</v>
      </c>
      <c r="F355" t="s">
        <v>315</v>
      </c>
      <c r="G355" t="s">
        <v>129</v>
      </c>
      <c r="H355">
        <v>2</v>
      </c>
    </row>
    <row r="356" spans="1:8" x14ac:dyDescent="0.25">
      <c r="A356" t="s">
        <v>13</v>
      </c>
      <c r="B356" t="s">
        <v>555</v>
      </c>
      <c r="C356" t="s">
        <v>556</v>
      </c>
      <c r="D356">
        <v>102</v>
      </c>
      <c r="E356" t="s">
        <v>11</v>
      </c>
      <c r="F356" t="s">
        <v>315</v>
      </c>
      <c r="G356" t="s">
        <v>129</v>
      </c>
      <c r="H356">
        <v>2</v>
      </c>
    </row>
    <row r="357" spans="1:8" x14ac:dyDescent="0.25">
      <c r="A357" t="s">
        <v>8</v>
      </c>
      <c r="B357" t="s">
        <v>557</v>
      </c>
      <c r="C357" t="s">
        <v>558</v>
      </c>
      <c r="D357">
        <v>102</v>
      </c>
      <c r="E357" t="s">
        <v>11</v>
      </c>
      <c r="F357" t="s">
        <v>315</v>
      </c>
      <c r="G357" t="s">
        <v>129</v>
      </c>
      <c r="H357">
        <v>2</v>
      </c>
    </row>
    <row r="358" spans="1:8" x14ac:dyDescent="0.25">
      <c r="A358" t="s">
        <v>13</v>
      </c>
      <c r="B358" t="s">
        <v>557</v>
      </c>
      <c r="C358" t="s">
        <v>558</v>
      </c>
      <c r="D358">
        <v>102</v>
      </c>
      <c r="E358" t="s">
        <v>11</v>
      </c>
      <c r="F358" t="s">
        <v>315</v>
      </c>
      <c r="G358" t="s">
        <v>129</v>
      </c>
      <c r="H358">
        <v>3</v>
      </c>
    </row>
    <row r="359" spans="1:8" x14ac:dyDescent="0.25">
      <c r="A359" t="s">
        <v>8</v>
      </c>
      <c r="B359" t="s">
        <v>559</v>
      </c>
      <c r="C359" t="s">
        <v>560</v>
      </c>
      <c r="D359">
        <v>102</v>
      </c>
      <c r="E359" t="s">
        <v>11</v>
      </c>
      <c r="F359" t="s">
        <v>315</v>
      </c>
      <c r="G359" t="s">
        <v>129</v>
      </c>
      <c r="H359">
        <v>2</v>
      </c>
    </row>
    <row r="360" spans="1:8" x14ac:dyDescent="0.25">
      <c r="A360" t="s">
        <v>13</v>
      </c>
      <c r="B360" t="s">
        <v>559</v>
      </c>
      <c r="C360" t="s">
        <v>560</v>
      </c>
      <c r="D360">
        <v>102</v>
      </c>
      <c r="E360" t="s">
        <v>11</v>
      </c>
      <c r="F360" t="s">
        <v>315</v>
      </c>
      <c r="G360" t="s">
        <v>129</v>
      </c>
      <c r="H360">
        <v>4</v>
      </c>
    </row>
    <row r="361" spans="1:8" x14ac:dyDescent="0.25">
      <c r="A361" t="s">
        <v>8</v>
      </c>
      <c r="B361" t="s">
        <v>561</v>
      </c>
      <c r="C361" t="s">
        <v>562</v>
      </c>
      <c r="D361">
        <v>102</v>
      </c>
      <c r="E361" t="s">
        <v>11</v>
      </c>
      <c r="F361" t="s">
        <v>315</v>
      </c>
      <c r="G361" t="s">
        <v>129</v>
      </c>
      <c r="H361">
        <v>1</v>
      </c>
    </row>
    <row r="362" spans="1:8" x14ac:dyDescent="0.25">
      <c r="A362" t="s">
        <v>13</v>
      </c>
      <c r="B362" t="s">
        <v>561</v>
      </c>
      <c r="C362" t="s">
        <v>562</v>
      </c>
      <c r="D362">
        <v>102</v>
      </c>
      <c r="E362" t="s">
        <v>11</v>
      </c>
      <c r="F362" t="s">
        <v>315</v>
      </c>
      <c r="G362" t="s">
        <v>129</v>
      </c>
      <c r="H362">
        <v>3</v>
      </c>
    </row>
    <row r="363" spans="1:8" x14ac:dyDescent="0.25">
      <c r="A363" t="s">
        <v>8</v>
      </c>
      <c r="B363" t="s">
        <v>563</v>
      </c>
      <c r="C363" t="s">
        <v>564</v>
      </c>
      <c r="D363">
        <v>102</v>
      </c>
      <c r="E363" t="s">
        <v>11</v>
      </c>
      <c r="F363" t="s">
        <v>315</v>
      </c>
      <c r="G363" t="s">
        <v>129</v>
      </c>
      <c r="H363">
        <v>3</v>
      </c>
    </row>
    <row r="364" spans="1:8" x14ac:dyDescent="0.25">
      <c r="A364" t="s">
        <v>13</v>
      </c>
      <c r="B364" t="s">
        <v>563</v>
      </c>
      <c r="C364" t="s">
        <v>564</v>
      </c>
      <c r="D364">
        <v>102</v>
      </c>
      <c r="E364" t="s">
        <v>11</v>
      </c>
      <c r="F364" t="s">
        <v>315</v>
      </c>
      <c r="G364" t="s">
        <v>129</v>
      </c>
      <c r="H364">
        <v>1</v>
      </c>
    </row>
    <row r="365" spans="1:8" x14ac:dyDescent="0.25">
      <c r="A365" t="s">
        <v>13</v>
      </c>
      <c r="B365" t="s">
        <v>565</v>
      </c>
      <c r="C365" t="s">
        <v>566</v>
      </c>
      <c r="D365">
        <v>102</v>
      </c>
      <c r="E365" t="s">
        <v>11</v>
      </c>
      <c r="F365" t="s">
        <v>315</v>
      </c>
      <c r="G365" t="s">
        <v>129</v>
      </c>
      <c r="H365">
        <v>1</v>
      </c>
    </row>
    <row r="366" spans="1:8" x14ac:dyDescent="0.25">
      <c r="A366" t="s">
        <v>13</v>
      </c>
      <c r="B366" t="s">
        <v>567</v>
      </c>
      <c r="C366" t="s">
        <v>568</v>
      </c>
      <c r="D366">
        <v>102</v>
      </c>
      <c r="E366" t="s">
        <v>11</v>
      </c>
      <c r="F366" t="s">
        <v>315</v>
      </c>
      <c r="G366" t="s">
        <v>129</v>
      </c>
      <c r="H366">
        <v>1</v>
      </c>
    </row>
    <row r="367" spans="1:8" x14ac:dyDescent="0.25">
      <c r="A367" t="s">
        <v>8</v>
      </c>
      <c r="B367" t="s">
        <v>569</v>
      </c>
      <c r="C367" t="s">
        <v>570</v>
      </c>
      <c r="D367">
        <v>102</v>
      </c>
      <c r="E367" t="s">
        <v>11</v>
      </c>
      <c r="F367" t="s">
        <v>315</v>
      </c>
      <c r="G367" t="s">
        <v>129</v>
      </c>
      <c r="H367">
        <v>1</v>
      </c>
    </row>
    <row r="368" spans="1:8" x14ac:dyDescent="0.25">
      <c r="A368" t="s">
        <v>13</v>
      </c>
      <c r="B368" t="s">
        <v>569</v>
      </c>
      <c r="C368" t="s">
        <v>570</v>
      </c>
      <c r="D368">
        <v>102</v>
      </c>
      <c r="E368" t="s">
        <v>11</v>
      </c>
      <c r="F368" t="s">
        <v>315</v>
      </c>
      <c r="G368" t="s">
        <v>129</v>
      </c>
      <c r="H368">
        <v>1</v>
      </c>
    </row>
    <row r="369" spans="1:8" x14ac:dyDescent="0.25">
      <c r="A369" t="s">
        <v>8</v>
      </c>
      <c r="B369" t="s">
        <v>571</v>
      </c>
      <c r="C369" t="s">
        <v>572</v>
      </c>
      <c r="D369">
        <v>102</v>
      </c>
      <c r="E369" t="s">
        <v>11</v>
      </c>
      <c r="F369" t="s">
        <v>315</v>
      </c>
      <c r="G369" t="s">
        <v>129</v>
      </c>
      <c r="H369">
        <v>3</v>
      </c>
    </row>
    <row r="370" spans="1:8" x14ac:dyDescent="0.25">
      <c r="A370" t="s">
        <v>8</v>
      </c>
      <c r="B370" t="s">
        <v>573</v>
      </c>
      <c r="C370" t="s">
        <v>574</v>
      </c>
      <c r="D370">
        <v>102</v>
      </c>
      <c r="E370" t="s">
        <v>11</v>
      </c>
      <c r="F370" t="s">
        <v>315</v>
      </c>
      <c r="G370" t="s">
        <v>129</v>
      </c>
      <c r="H370">
        <v>1</v>
      </c>
    </row>
    <row r="371" spans="1:8" x14ac:dyDescent="0.25">
      <c r="A371" t="s">
        <v>13</v>
      </c>
      <c r="B371" t="s">
        <v>573</v>
      </c>
      <c r="C371" t="s">
        <v>574</v>
      </c>
      <c r="D371">
        <v>102</v>
      </c>
      <c r="E371" t="s">
        <v>11</v>
      </c>
      <c r="F371" t="s">
        <v>315</v>
      </c>
      <c r="G371" t="s">
        <v>129</v>
      </c>
      <c r="H371">
        <v>2</v>
      </c>
    </row>
    <row r="372" spans="1:8" x14ac:dyDescent="0.25">
      <c r="A372" t="s">
        <v>8</v>
      </c>
      <c r="B372" t="s">
        <v>575</v>
      </c>
      <c r="C372" t="s">
        <v>576</v>
      </c>
      <c r="D372">
        <v>102</v>
      </c>
      <c r="E372" t="s">
        <v>11</v>
      </c>
      <c r="F372" t="s">
        <v>315</v>
      </c>
      <c r="G372" t="s">
        <v>129</v>
      </c>
      <c r="H372">
        <v>2</v>
      </c>
    </row>
    <row r="373" spans="1:8" x14ac:dyDescent="0.25">
      <c r="A373" t="s">
        <v>13</v>
      </c>
      <c r="B373" t="s">
        <v>575</v>
      </c>
      <c r="C373" t="s">
        <v>576</v>
      </c>
      <c r="D373">
        <v>102</v>
      </c>
      <c r="E373" t="s">
        <v>11</v>
      </c>
      <c r="F373" t="s">
        <v>315</v>
      </c>
      <c r="G373" t="s">
        <v>129</v>
      </c>
      <c r="H373">
        <v>2</v>
      </c>
    </row>
    <row r="374" spans="1:8" x14ac:dyDescent="0.25">
      <c r="A374" t="s">
        <v>8</v>
      </c>
      <c r="B374" t="s">
        <v>577</v>
      </c>
      <c r="C374" t="s">
        <v>578</v>
      </c>
      <c r="D374">
        <v>102</v>
      </c>
      <c r="E374" t="s">
        <v>11</v>
      </c>
      <c r="F374" t="s">
        <v>200</v>
      </c>
      <c r="G374" t="s">
        <v>201</v>
      </c>
      <c r="H374">
        <v>1</v>
      </c>
    </row>
    <row r="375" spans="1:8" x14ac:dyDescent="0.25">
      <c r="A375" t="s">
        <v>8</v>
      </c>
      <c r="B375" t="s">
        <v>579</v>
      </c>
      <c r="C375" t="s">
        <v>580</v>
      </c>
      <c r="D375">
        <v>102</v>
      </c>
      <c r="E375" t="s">
        <v>11</v>
      </c>
      <c r="F375" t="s">
        <v>315</v>
      </c>
      <c r="G375" t="s">
        <v>129</v>
      </c>
      <c r="H375">
        <v>1</v>
      </c>
    </row>
    <row r="376" spans="1:8" x14ac:dyDescent="0.25">
      <c r="A376" t="s">
        <v>13</v>
      </c>
      <c r="B376" t="s">
        <v>579</v>
      </c>
      <c r="C376" t="s">
        <v>580</v>
      </c>
      <c r="D376">
        <v>102</v>
      </c>
      <c r="E376" t="s">
        <v>11</v>
      </c>
      <c r="F376" t="s">
        <v>315</v>
      </c>
      <c r="G376" t="s">
        <v>129</v>
      </c>
      <c r="H376">
        <v>1</v>
      </c>
    </row>
    <row r="377" spans="1:8" x14ac:dyDescent="0.25">
      <c r="A377" t="s">
        <v>13</v>
      </c>
      <c r="B377" t="s">
        <v>581</v>
      </c>
      <c r="C377" t="s">
        <v>582</v>
      </c>
      <c r="D377">
        <v>102</v>
      </c>
      <c r="E377" t="s">
        <v>11</v>
      </c>
      <c r="F377" t="s">
        <v>315</v>
      </c>
      <c r="G377" t="s">
        <v>129</v>
      </c>
      <c r="H377">
        <v>3</v>
      </c>
    </row>
    <row r="378" spans="1:8" x14ac:dyDescent="0.25">
      <c r="A378" t="s">
        <v>8</v>
      </c>
      <c r="B378" t="s">
        <v>583</v>
      </c>
      <c r="C378" t="s">
        <v>584</v>
      </c>
      <c r="D378">
        <v>102</v>
      </c>
      <c r="E378" t="s">
        <v>11</v>
      </c>
      <c r="F378" t="s">
        <v>315</v>
      </c>
      <c r="G378" t="s">
        <v>129</v>
      </c>
      <c r="H378">
        <v>1</v>
      </c>
    </row>
    <row r="379" spans="1:8" x14ac:dyDescent="0.25">
      <c r="A379" t="s">
        <v>8</v>
      </c>
      <c r="B379" t="s">
        <v>585</v>
      </c>
      <c r="C379" t="s">
        <v>586</v>
      </c>
      <c r="D379">
        <v>102</v>
      </c>
      <c r="E379" t="s">
        <v>11</v>
      </c>
      <c r="F379" t="s">
        <v>18</v>
      </c>
      <c r="G379" t="s">
        <v>12</v>
      </c>
      <c r="H379">
        <v>9</v>
      </c>
    </row>
    <row r="380" spans="1:8" x14ac:dyDescent="0.25">
      <c r="A380" t="s">
        <v>13</v>
      </c>
      <c r="B380" t="s">
        <v>585</v>
      </c>
      <c r="C380" t="s">
        <v>586</v>
      </c>
      <c r="D380">
        <v>102</v>
      </c>
      <c r="E380" t="s">
        <v>11</v>
      </c>
      <c r="F380" t="s">
        <v>18</v>
      </c>
      <c r="G380" t="s">
        <v>12</v>
      </c>
      <c r="H380">
        <v>16</v>
      </c>
    </row>
    <row r="381" spans="1:8" x14ac:dyDescent="0.25">
      <c r="A381" t="s">
        <v>13</v>
      </c>
      <c r="B381" t="s">
        <v>587</v>
      </c>
      <c r="C381" t="s">
        <v>588</v>
      </c>
      <c r="D381">
        <v>102</v>
      </c>
      <c r="E381" t="s">
        <v>11</v>
      </c>
      <c r="F381" t="s">
        <v>315</v>
      </c>
      <c r="G381" t="s">
        <v>129</v>
      </c>
      <c r="H381">
        <v>1</v>
      </c>
    </row>
    <row r="382" spans="1:8" x14ac:dyDescent="0.25">
      <c r="A382" t="s">
        <v>13</v>
      </c>
      <c r="B382" t="s">
        <v>589</v>
      </c>
      <c r="C382" t="s">
        <v>590</v>
      </c>
      <c r="D382">
        <v>102</v>
      </c>
      <c r="E382" t="s">
        <v>11</v>
      </c>
      <c r="F382" t="s">
        <v>315</v>
      </c>
      <c r="G382" t="s">
        <v>129</v>
      </c>
      <c r="H382">
        <v>1</v>
      </c>
    </row>
    <row r="383" spans="1:8" x14ac:dyDescent="0.25">
      <c r="A383" t="s">
        <v>13</v>
      </c>
      <c r="B383" t="s">
        <v>591</v>
      </c>
      <c r="C383" t="s">
        <v>592</v>
      </c>
      <c r="D383">
        <v>102</v>
      </c>
      <c r="E383" t="s">
        <v>11</v>
      </c>
      <c r="F383" t="s">
        <v>315</v>
      </c>
      <c r="G383" t="s">
        <v>129</v>
      </c>
      <c r="H383">
        <v>1</v>
      </c>
    </row>
    <row r="384" spans="1:8" x14ac:dyDescent="0.25">
      <c r="A384" t="s">
        <v>13</v>
      </c>
      <c r="B384" t="s">
        <v>593</v>
      </c>
      <c r="C384" t="s">
        <v>594</v>
      </c>
      <c r="D384">
        <v>102</v>
      </c>
      <c r="E384" t="s">
        <v>11</v>
      </c>
      <c r="F384" t="s">
        <v>315</v>
      </c>
      <c r="G384" t="s">
        <v>129</v>
      </c>
      <c r="H384">
        <v>1</v>
      </c>
    </row>
    <row r="385" spans="1:8" x14ac:dyDescent="0.25">
      <c r="A385" t="s">
        <v>8</v>
      </c>
      <c r="B385" t="s">
        <v>595</v>
      </c>
      <c r="C385" t="s">
        <v>596</v>
      </c>
      <c r="D385">
        <v>102</v>
      </c>
      <c r="E385" t="s">
        <v>11</v>
      </c>
      <c r="F385" t="s">
        <v>315</v>
      </c>
      <c r="G385" t="s">
        <v>129</v>
      </c>
      <c r="H385">
        <v>1</v>
      </c>
    </row>
    <row r="386" spans="1:8" x14ac:dyDescent="0.25">
      <c r="A386" t="s">
        <v>13</v>
      </c>
      <c r="B386" t="s">
        <v>595</v>
      </c>
      <c r="C386" t="s">
        <v>596</v>
      </c>
      <c r="D386">
        <v>102</v>
      </c>
      <c r="E386" t="s">
        <v>11</v>
      </c>
      <c r="F386" t="s">
        <v>315</v>
      </c>
      <c r="G386" t="s">
        <v>129</v>
      </c>
      <c r="H386">
        <v>2</v>
      </c>
    </row>
    <row r="387" spans="1:8" x14ac:dyDescent="0.25">
      <c r="A387" t="s">
        <v>13</v>
      </c>
      <c r="B387" t="s">
        <v>597</v>
      </c>
      <c r="C387" t="s">
        <v>598</v>
      </c>
      <c r="D387">
        <v>102</v>
      </c>
      <c r="E387" t="s">
        <v>11</v>
      </c>
      <c r="F387" t="s">
        <v>241</v>
      </c>
      <c r="G387" t="s">
        <v>201</v>
      </c>
      <c r="H387">
        <v>1</v>
      </c>
    </row>
    <row r="388" spans="1:8" x14ac:dyDescent="0.25">
      <c r="A388" t="s">
        <v>8</v>
      </c>
      <c r="B388" t="s">
        <v>599</v>
      </c>
      <c r="C388" t="s">
        <v>600</v>
      </c>
      <c r="D388">
        <v>102</v>
      </c>
      <c r="E388" t="s">
        <v>11</v>
      </c>
      <c r="F388" t="s">
        <v>241</v>
      </c>
      <c r="G388" t="s">
        <v>201</v>
      </c>
      <c r="H388">
        <v>1</v>
      </c>
    </row>
    <row r="389" spans="1:8" x14ac:dyDescent="0.25">
      <c r="A389" t="s">
        <v>8</v>
      </c>
      <c r="B389" t="s">
        <v>601</v>
      </c>
      <c r="C389" t="s">
        <v>602</v>
      </c>
      <c r="D389">
        <v>102</v>
      </c>
      <c r="E389" t="s">
        <v>11</v>
      </c>
      <c r="F389" t="s">
        <v>241</v>
      </c>
      <c r="G389" t="s">
        <v>201</v>
      </c>
      <c r="H389">
        <v>2</v>
      </c>
    </row>
    <row r="390" spans="1:8" x14ac:dyDescent="0.25">
      <c r="A390" t="s">
        <v>8</v>
      </c>
      <c r="B390" t="s">
        <v>603</v>
      </c>
      <c r="C390" t="s">
        <v>604</v>
      </c>
      <c r="D390">
        <v>102</v>
      </c>
      <c r="E390" t="s">
        <v>11</v>
      </c>
      <c r="F390" t="s">
        <v>605</v>
      </c>
      <c r="G390" t="s">
        <v>129</v>
      </c>
      <c r="H390">
        <v>45</v>
      </c>
    </row>
    <row r="391" spans="1:8" x14ac:dyDescent="0.25">
      <c r="A391" t="s">
        <v>13</v>
      </c>
      <c r="B391" t="s">
        <v>603</v>
      </c>
      <c r="C391" t="s">
        <v>604</v>
      </c>
      <c r="D391">
        <v>102</v>
      </c>
      <c r="E391" t="s">
        <v>11</v>
      </c>
      <c r="F391" t="s">
        <v>605</v>
      </c>
      <c r="G391" t="s">
        <v>129</v>
      </c>
      <c r="H391">
        <v>55</v>
      </c>
    </row>
    <row r="392" spans="1:8" x14ac:dyDescent="0.25">
      <c r="A392" t="s">
        <v>8</v>
      </c>
      <c r="B392" t="s">
        <v>606</v>
      </c>
      <c r="C392" t="s">
        <v>607</v>
      </c>
      <c r="D392">
        <v>102</v>
      </c>
      <c r="E392" t="s">
        <v>11</v>
      </c>
      <c r="F392" t="s">
        <v>605</v>
      </c>
      <c r="G392" t="s">
        <v>608</v>
      </c>
      <c r="H392">
        <v>415</v>
      </c>
    </row>
    <row r="393" spans="1:8" x14ac:dyDescent="0.25">
      <c r="A393" t="s">
        <v>13</v>
      </c>
      <c r="B393" t="s">
        <v>606</v>
      </c>
      <c r="C393" t="s">
        <v>607</v>
      </c>
      <c r="D393">
        <v>102</v>
      </c>
      <c r="E393" t="s">
        <v>11</v>
      </c>
      <c r="F393" t="s">
        <v>605</v>
      </c>
      <c r="G393" t="s">
        <v>608</v>
      </c>
      <c r="H393">
        <v>238</v>
      </c>
    </row>
    <row r="394" spans="1:8" x14ac:dyDescent="0.25">
      <c r="A394" t="s">
        <v>8</v>
      </c>
      <c r="B394" t="s">
        <v>609</v>
      </c>
      <c r="C394" t="s">
        <v>610</v>
      </c>
      <c r="D394">
        <v>102</v>
      </c>
      <c r="E394" t="s">
        <v>11</v>
      </c>
      <c r="F394" t="s">
        <v>368</v>
      </c>
      <c r="G394" t="s">
        <v>376</v>
      </c>
      <c r="H394">
        <v>1</v>
      </c>
    </row>
    <row r="395" spans="1:8" x14ac:dyDescent="0.25">
      <c r="A395" t="s">
        <v>8</v>
      </c>
      <c r="B395" t="s">
        <v>611</v>
      </c>
      <c r="C395" t="s">
        <v>612</v>
      </c>
      <c r="D395">
        <v>102</v>
      </c>
      <c r="E395" t="s">
        <v>11</v>
      </c>
      <c r="F395" t="s">
        <v>18</v>
      </c>
      <c r="G395" t="s">
        <v>613</v>
      </c>
      <c r="H395">
        <v>2</v>
      </c>
    </row>
    <row r="396" spans="1:8" x14ac:dyDescent="0.25">
      <c r="A396" t="s">
        <v>8</v>
      </c>
      <c r="B396" t="s">
        <v>614</v>
      </c>
      <c r="C396" t="s">
        <v>615</v>
      </c>
      <c r="D396">
        <v>102</v>
      </c>
      <c r="E396" t="s">
        <v>11</v>
      </c>
      <c r="F396" t="s">
        <v>18</v>
      </c>
      <c r="G396" t="s">
        <v>613</v>
      </c>
      <c r="H396">
        <v>13</v>
      </c>
    </row>
    <row r="397" spans="1:8" x14ac:dyDescent="0.25">
      <c r="A397" t="s">
        <v>13</v>
      </c>
      <c r="B397" t="s">
        <v>614</v>
      </c>
      <c r="C397" t="s">
        <v>615</v>
      </c>
      <c r="D397">
        <v>102</v>
      </c>
      <c r="E397" t="s">
        <v>11</v>
      </c>
      <c r="F397" t="s">
        <v>18</v>
      </c>
      <c r="G397" t="s">
        <v>613</v>
      </c>
      <c r="H397">
        <v>2</v>
      </c>
    </row>
    <row r="398" spans="1:8" x14ac:dyDescent="0.25">
      <c r="A398" t="s">
        <v>8</v>
      </c>
      <c r="B398" t="s">
        <v>616</v>
      </c>
      <c r="C398" t="s">
        <v>617</v>
      </c>
      <c r="D398">
        <v>102</v>
      </c>
      <c r="E398" t="s">
        <v>11</v>
      </c>
      <c r="F398" t="s">
        <v>18</v>
      </c>
      <c r="G398" t="s">
        <v>613</v>
      </c>
      <c r="H398">
        <v>2</v>
      </c>
    </row>
    <row r="399" spans="1:8" x14ac:dyDescent="0.25">
      <c r="A399" t="s">
        <v>8</v>
      </c>
      <c r="B399" t="s">
        <v>618</v>
      </c>
      <c r="C399" t="s">
        <v>619</v>
      </c>
      <c r="D399">
        <v>102</v>
      </c>
      <c r="E399" t="s">
        <v>11</v>
      </c>
      <c r="F399" t="s">
        <v>18</v>
      </c>
      <c r="G399" t="s">
        <v>12</v>
      </c>
      <c r="H399">
        <v>11</v>
      </c>
    </row>
    <row r="400" spans="1:8" x14ac:dyDescent="0.25">
      <c r="A400" t="s">
        <v>13</v>
      </c>
      <c r="B400" t="s">
        <v>618</v>
      </c>
      <c r="C400" t="s">
        <v>619</v>
      </c>
      <c r="D400">
        <v>102</v>
      </c>
      <c r="E400" t="s">
        <v>11</v>
      </c>
      <c r="F400" t="s">
        <v>18</v>
      </c>
      <c r="G400" t="s">
        <v>12</v>
      </c>
      <c r="H400">
        <v>4</v>
      </c>
    </row>
    <row r="401" spans="1:8" x14ac:dyDescent="0.25">
      <c r="A401" t="s">
        <v>8</v>
      </c>
      <c r="B401" t="s">
        <v>620</v>
      </c>
      <c r="C401" t="s">
        <v>621</v>
      </c>
      <c r="D401">
        <v>102</v>
      </c>
      <c r="E401" t="s">
        <v>11</v>
      </c>
      <c r="F401" t="s">
        <v>38</v>
      </c>
      <c r="G401" t="s">
        <v>39</v>
      </c>
      <c r="H401">
        <v>1</v>
      </c>
    </row>
    <row r="402" spans="1:8" x14ac:dyDescent="0.25">
      <c r="A402" t="s">
        <v>8</v>
      </c>
      <c r="B402" t="s">
        <v>622</v>
      </c>
      <c r="C402" t="s">
        <v>623</v>
      </c>
      <c r="D402">
        <v>102</v>
      </c>
      <c r="E402" t="s">
        <v>11</v>
      </c>
      <c r="F402" t="s">
        <v>38</v>
      </c>
      <c r="G402" t="s">
        <v>77</v>
      </c>
      <c r="H402">
        <v>1</v>
      </c>
    </row>
    <row r="403" spans="1:8" x14ac:dyDescent="0.25">
      <c r="A403" t="s">
        <v>13</v>
      </c>
      <c r="B403" t="s">
        <v>624</v>
      </c>
      <c r="C403" t="s">
        <v>625</v>
      </c>
      <c r="D403">
        <v>102</v>
      </c>
      <c r="E403" t="s">
        <v>11</v>
      </c>
      <c r="F403" t="s">
        <v>38</v>
      </c>
      <c r="G403" t="s">
        <v>129</v>
      </c>
      <c r="H403">
        <v>1</v>
      </c>
    </row>
    <row r="404" spans="1:8" x14ac:dyDescent="0.25">
      <c r="A404" t="s">
        <v>8</v>
      </c>
      <c r="B404" t="s">
        <v>626</v>
      </c>
      <c r="C404" t="s">
        <v>627</v>
      </c>
      <c r="D404">
        <v>102</v>
      </c>
      <c r="E404" t="s">
        <v>11</v>
      </c>
      <c r="F404" t="s">
        <v>628</v>
      </c>
      <c r="G404" t="s">
        <v>629</v>
      </c>
      <c r="H404">
        <v>61</v>
      </c>
    </row>
    <row r="405" spans="1:8" x14ac:dyDescent="0.25">
      <c r="A405" t="s">
        <v>13</v>
      </c>
      <c r="B405" t="s">
        <v>626</v>
      </c>
      <c r="C405" t="s">
        <v>627</v>
      </c>
      <c r="D405">
        <v>102</v>
      </c>
      <c r="E405" t="s">
        <v>11</v>
      </c>
      <c r="F405" t="s">
        <v>628</v>
      </c>
      <c r="G405" t="s">
        <v>629</v>
      </c>
      <c r="H405">
        <v>95</v>
      </c>
    </row>
    <row r="406" spans="1:8" x14ac:dyDescent="0.25">
      <c r="A406" t="s">
        <v>8</v>
      </c>
      <c r="B406" t="s">
        <v>630</v>
      </c>
      <c r="C406" t="s">
        <v>631</v>
      </c>
      <c r="D406">
        <v>102</v>
      </c>
      <c r="E406" t="s">
        <v>11</v>
      </c>
      <c r="F406" t="s">
        <v>200</v>
      </c>
      <c r="G406" t="s">
        <v>201</v>
      </c>
      <c r="H406">
        <v>3</v>
      </c>
    </row>
    <row r="407" spans="1:8" x14ac:dyDescent="0.25">
      <c r="A407" t="s">
        <v>13</v>
      </c>
      <c r="B407" t="s">
        <v>630</v>
      </c>
      <c r="C407" t="s">
        <v>631</v>
      </c>
      <c r="D407">
        <v>102</v>
      </c>
      <c r="E407" t="s">
        <v>11</v>
      </c>
      <c r="F407" t="s">
        <v>200</v>
      </c>
      <c r="G407" t="s">
        <v>201</v>
      </c>
      <c r="H407">
        <v>7</v>
      </c>
    </row>
    <row r="408" spans="1:8" x14ac:dyDescent="0.25">
      <c r="A408" t="s">
        <v>13</v>
      </c>
      <c r="B408" t="s">
        <v>632</v>
      </c>
      <c r="C408" t="s">
        <v>633</v>
      </c>
      <c r="D408">
        <v>102</v>
      </c>
      <c r="E408" t="s">
        <v>11</v>
      </c>
      <c r="F408" t="s">
        <v>18</v>
      </c>
      <c r="G408" t="s">
        <v>129</v>
      </c>
      <c r="H408">
        <v>4</v>
      </c>
    </row>
    <row r="409" spans="1:8" x14ac:dyDescent="0.25">
      <c r="A409" t="s">
        <v>8</v>
      </c>
      <c r="B409" t="s">
        <v>634</v>
      </c>
      <c r="C409" t="s">
        <v>635</v>
      </c>
      <c r="D409">
        <v>102</v>
      </c>
      <c r="E409" t="s">
        <v>11</v>
      </c>
      <c r="F409" t="s">
        <v>18</v>
      </c>
      <c r="G409" t="s">
        <v>129</v>
      </c>
      <c r="H409">
        <v>11</v>
      </c>
    </row>
    <row r="410" spans="1:8" x14ac:dyDescent="0.25">
      <c r="A410" t="s">
        <v>13</v>
      </c>
      <c r="B410" t="s">
        <v>634</v>
      </c>
      <c r="C410" t="s">
        <v>635</v>
      </c>
      <c r="D410">
        <v>102</v>
      </c>
      <c r="E410" t="s">
        <v>11</v>
      </c>
      <c r="F410" t="s">
        <v>18</v>
      </c>
      <c r="G410" t="s">
        <v>129</v>
      </c>
      <c r="H410">
        <v>12</v>
      </c>
    </row>
    <row r="411" spans="1:8" x14ac:dyDescent="0.25">
      <c r="A411" t="s">
        <v>13</v>
      </c>
      <c r="B411" t="s">
        <v>636</v>
      </c>
      <c r="C411" t="s">
        <v>637</v>
      </c>
      <c r="D411">
        <v>102</v>
      </c>
      <c r="E411" t="s">
        <v>11</v>
      </c>
      <c r="F411" t="s">
        <v>638</v>
      </c>
      <c r="G411" t="s">
        <v>201</v>
      </c>
      <c r="H411">
        <v>3</v>
      </c>
    </row>
    <row r="412" spans="1:8" x14ac:dyDescent="0.25">
      <c r="A412" t="s">
        <v>13</v>
      </c>
      <c r="B412" t="s">
        <v>639</v>
      </c>
      <c r="C412" t="s">
        <v>640</v>
      </c>
      <c r="D412">
        <v>102</v>
      </c>
      <c r="E412" t="s">
        <v>11</v>
      </c>
      <c r="F412" t="s">
        <v>638</v>
      </c>
      <c r="G412" t="s">
        <v>201</v>
      </c>
      <c r="H412">
        <v>1</v>
      </c>
    </row>
    <row r="413" spans="1:8" x14ac:dyDescent="0.25">
      <c r="A413" t="s">
        <v>13</v>
      </c>
      <c r="B413" t="s">
        <v>641</v>
      </c>
      <c r="C413" t="s">
        <v>642</v>
      </c>
      <c r="D413">
        <v>102</v>
      </c>
      <c r="E413" t="s">
        <v>11</v>
      </c>
      <c r="F413" t="s">
        <v>638</v>
      </c>
      <c r="G413" t="s">
        <v>201</v>
      </c>
      <c r="H413">
        <v>5</v>
      </c>
    </row>
    <row r="414" spans="1:8" x14ac:dyDescent="0.25">
      <c r="A414" t="s">
        <v>8</v>
      </c>
      <c r="B414" t="s">
        <v>643</v>
      </c>
      <c r="C414" t="s">
        <v>644</v>
      </c>
      <c r="D414">
        <v>102</v>
      </c>
      <c r="E414" t="s">
        <v>11</v>
      </c>
      <c r="F414" t="s">
        <v>645</v>
      </c>
      <c r="G414" t="s">
        <v>173</v>
      </c>
      <c r="H414">
        <v>63</v>
      </c>
    </row>
    <row r="415" spans="1:8" x14ac:dyDescent="0.25">
      <c r="A415" t="s">
        <v>13</v>
      </c>
      <c r="B415" t="s">
        <v>643</v>
      </c>
      <c r="C415" t="s">
        <v>644</v>
      </c>
      <c r="D415">
        <v>102</v>
      </c>
      <c r="E415" t="s">
        <v>11</v>
      </c>
      <c r="F415" t="s">
        <v>645</v>
      </c>
      <c r="G415" t="s">
        <v>173</v>
      </c>
      <c r="H415">
        <v>5</v>
      </c>
    </row>
    <row r="416" spans="1:8" x14ac:dyDescent="0.25">
      <c r="A416" t="s">
        <v>8</v>
      </c>
      <c r="B416" t="s">
        <v>646</v>
      </c>
      <c r="C416" t="s">
        <v>647</v>
      </c>
      <c r="D416">
        <v>102</v>
      </c>
      <c r="E416" t="s">
        <v>11</v>
      </c>
      <c r="F416" t="s">
        <v>481</v>
      </c>
      <c r="G416" t="s">
        <v>155</v>
      </c>
      <c r="H416">
        <v>66</v>
      </c>
    </row>
    <row r="417" spans="1:8" x14ac:dyDescent="0.25">
      <c r="A417" t="s">
        <v>13</v>
      </c>
      <c r="B417" t="s">
        <v>646</v>
      </c>
      <c r="C417" t="s">
        <v>647</v>
      </c>
      <c r="D417">
        <v>102</v>
      </c>
      <c r="E417" t="s">
        <v>11</v>
      </c>
      <c r="F417" t="s">
        <v>481</v>
      </c>
      <c r="G417" t="s">
        <v>155</v>
      </c>
      <c r="H417">
        <v>28</v>
      </c>
    </row>
    <row r="418" spans="1:8" x14ac:dyDescent="0.25">
      <c r="A418" t="s">
        <v>8</v>
      </c>
      <c r="B418" t="s">
        <v>648</v>
      </c>
      <c r="C418" t="s">
        <v>649</v>
      </c>
      <c r="D418">
        <v>102</v>
      </c>
      <c r="E418" t="s">
        <v>11</v>
      </c>
      <c r="F418" t="s">
        <v>650</v>
      </c>
      <c r="G418" t="s">
        <v>205</v>
      </c>
      <c r="H418">
        <v>107</v>
      </c>
    </row>
    <row r="419" spans="1:8" x14ac:dyDescent="0.25">
      <c r="A419" t="s">
        <v>13</v>
      </c>
      <c r="B419" t="s">
        <v>648</v>
      </c>
      <c r="C419" t="s">
        <v>649</v>
      </c>
      <c r="D419">
        <v>102</v>
      </c>
      <c r="E419" t="s">
        <v>11</v>
      </c>
      <c r="F419" t="s">
        <v>650</v>
      </c>
      <c r="G419" t="s">
        <v>205</v>
      </c>
      <c r="H419">
        <v>59</v>
      </c>
    </row>
    <row r="420" spans="1:8" x14ac:dyDescent="0.25">
      <c r="A420" t="s">
        <v>13</v>
      </c>
      <c r="B420" t="s">
        <v>651</v>
      </c>
      <c r="C420" t="s">
        <v>652</v>
      </c>
      <c r="D420">
        <v>102</v>
      </c>
      <c r="E420" t="s">
        <v>11</v>
      </c>
      <c r="F420" t="s">
        <v>653</v>
      </c>
      <c r="G420" t="s">
        <v>654</v>
      </c>
      <c r="H420">
        <v>1</v>
      </c>
    </row>
    <row r="421" spans="1:8" x14ac:dyDescent="0.25">
      <c r="A421" t="s">
        <v>8</v>
      </c>
      <c r="B421" t="s">
        <v>655</v>
      </c>
      <c r="C421" t="s">
        <v>656</v>
      </c>
      <c r="D421">
        <v>102</v>
      </c>
      <c r="E421" t="s">
        <v>11</v>
      </c>
      <c r="F421" t="s">
        <v>653</v>
      </c>
      <c r="G421" t="s">
        <v>657</v>
      </c>
      <c r="H421">
        <v>36</v>
      </c>
    </row>
    <row r="422" spans="1:8" x14ac:dyDescent="0.25">
      <c r="A422" t="s">
        <v>13</v>
      </c>
      <c r="B422" t="s">
        <v>655</v>
      </c>
      <c r="C422" t="s">
        <v>656</v>
      </c>
      <c r="D422">
        <v>102</v>
      </c>
      <c r="E422" t="s">
        <v>11</v>
      </c>
      <c r="F422" t="s">
        <v>653</v>
      </c>
      <c r="G422" t="s">
        <v>657</v>
      </c>
      <c r="H422">
        <v>4</v>
      </c>
    </row>
    <row r="423" spans="1:8" x14ac:dyDescent="0.25">
      <c r="A423" t="s">
        <v>8</v>
      </c>
      <c r="B423" t="s">
        <v>658</v>
      </c>
      <c r="C423" t="s">
        <v>659</v>
      </c>
      <c r="D423">
        <v>102</v>
      </c>
      <c r="E423" t="s">
        <v>11</v>
      </c>
      <c r="F423" t="s">
        <v>653</v>
      </c>
      <c r="G423" t="s">
        <v>657</v>
      </c>
      <c r="H423">
        <v>34</v>
      </c>
    </row>
    <row r="424" spans="1:8" x14ac:dyDescent="0.25">
      <c r="A424" t="s">
        <v>13</v>
      </c>
      <c r="B424" t="s">
        <v>658</v>
      </c>
      <c r="C424" t="s">
        <v>659</v>
      </c>
      <c r="D424">
        <v>102</v>
      </c>
      <c r="E424" t="s">
        <v>11</v>
      </c>
      <c r="F424" t="s">
        <v>653</v>
      </c>
      <c r="G424" t="s">
        <v>657</v>
      </c>
      <c r="H424">
        <v>1</v>
      </c>
    </row>
    <row r="425" spans="1:8" x14ac:dyDescent="0.25">
      <c r="A425" t="s">
        <v>8</v>
      </c>
      <c r="B425" t="s">
        <v>660</v>
      </c>
      <c r="C425" t="s">
        <v>661</v>
      </c>
      <c r="D425">
        <v>102</v>
      </c>
      <c r="E425" t="s">
        <v>11</v>
      </c>
      <c r="F425" t="s">
        <v>653</v>
      </c>
      <c r="G425" t="s">
        <v>654</v>
      </c>
      <c r="H425">
        <v>22</v>
      </c>
    </row>
    <row r="426" spans="1:8" x14ac:dyDescent="0.25">
      <c r="A426" t="s">
        <v>13</v>
      </c>
      <c r="B426" t="s">
        <v>660</v>
      </c>
      <c r="C426" t="s">
        <v>661</v>
      </c>
      <c r="D426">
        <v>102</v>
      </c>
      <c r="E426" t="s">
        <v>11</v>
      </c>
      <c r="F426" t="s">
        <v>653</v>
      </c>
      <c r="G426" t="s">
        <v>654</v>
      </c>
      <c r="H426">
        <v>28</v>
      </c>
    </row>
    <row r="427" spans="1:8" x14ac:dyDescent="0.25">
      <c r="A427" t="s">
        <v>8</v>
      </c>
      <c r="B427" t="s">
        <v>662</v>
      </c>
      <c r="C427" t="s">
        <v>663</v>
      </c>
      <c r="D427">
        <v>102</v>
      </c>
      <c r="E427" t="s">
        <v>11</v>
      </c>
      <c r="F427" t="s">
        <v>664</v>
      </c>
      <c r="G427" t="s">
        <v>488</v>
      </c>
      <c r="H427">
        <v>118</v>
      </c>
    </row>
    <row r="428" spans="1:8" x14ac:dyDescent="0.25">
      <c r="A428" t="s">
        <v>13</v>
      </c>
      <c r="B428" t="s">
        <v>662</v>
      </c>
      <c r="C428" t="s">
        <v>663</v>
      </c>
      <c r="D428">
        <v>102</v>
      </c>
      <c r="E428" t="s">
        <v>11</v>
      </c>
      <c r="F428" t="s">
        <v>664</v>
      </c>
      <c r="G428" t="s">
        <v>488</v>
      </c>
      <c r="H428">
        <v>50</v>
      </c>
    </row>
    <row r="429" spans="1:8" x14ac:dyDescent="0.25">
      <c r="A429" t="s">
        <v>8</v>
      </c>
      <c r="B429" t="s">
        <v>665</v>
      </c>
      <c r="C429" t="s">
        <v>666</v>
      </c>
      <c r="D429">
        <v>102</v>
      </c>
      <c r="E429" t="s">
        <v>11</v>
      </c>
      <c r="F429" t="s">
        <v>664</v>
      </c>
      <c r="G429" t="s">
        <v>491</v>
      </c>
      <c r="H429">
        <v>41</v>
      </c>
    </row>
    <row r="430" spans="1:8" x14ac:dyDescent="0.25">
      <c r="A430" t="s">
        <v>13</v>
      </c>
      <c r="B430" t="s">
        <v>665</v>
      </c>
      <c r="C430" t="s">
        <v>666</v>
      </c>
      <c r="D430">
        <v>102</v>
      </c>
      <c r="E430" t="s">
        <v>11</v>
      </c>
      <c r="F430" t="s">
        <v>664</v>
      </c>
      <c r="G430" t="s">
        <v>491</v>
      </c>
      <c r="H430">
        <v>60</v>
      </c>
    </row>
    <row r="431" spans="1:8" x14ac:dyDescent="0.25">
      <c r="A431" t="s">
        <v>8</v>
      </c>
      <c r="B431" t="s">
        <v>667</v>
      </c>
      <c r="C431" t="s">
        <v>668</v>
      </c>
      <c r="D431">
        <v>102</v>
      </c>
      <c r="E431" t="s">
        <v>11</v>
      </c>
      <c r="F431" t="s">
        <v>664</v>
      </c>
      <c r="G431" t="s">
        <v>488</v>
      </c>
      <c r="H431">
        <v>113</v>
      </c>
    </row>
    <row r="432" spans="1:8" x14ac:dyDescent="0.25">
      <c r="A432" t="s">
        <v>13</v>
      </c>
      <c r="B432" t="s">
        <v>667</v>
      </c>
      <c r="C432" t="s">
        <v>668</v>
      </c>
      <c r="D432">
        <v>102</v>
      </c>
      <c r="E432" t="s">
        <v>11</v>
      </c>
      <c r="F432" t="s">
        <v>664</v>
      </c>
      <c r="G432" t="s">
        <v>488</v>
      </c>
      <c r="H432">
        <v>89</v>
      </c>
    </row>
    <row r="433" spans="1:8" x14ac:dyDescent="0.25">
      <c r="A433" t="s">
        <v>8</v>
      </c>
      <c r="B433" t="s">
        <v>669</v>
      </c>
      <c r="C433" t="s">
        <v>670</v>
      </c>
      <c r="D433">
        <v>102</v>
      </c>
      <c r="E433" t="s">
        <v>11</v>
      </c>
      <c r="F433" t="s">
        <v>671</v>
      </c>
      <c r="G433" t="s">
        <v>672</v>
      </c>
      <c r="H433">
        <v>93</v>
      </c>
    </row>
    <row r="434" spans="1:8" x14ac:dyDescent="0.25">
      <c r="A434" t="s">
        <v>13</v>
      </c>
      <c r="B434" t="s">
        <v>669</v>
      </c>
      <c r="C434" t="s">
        <v>670</v>
      </c>
      <c r="D434">
        <v>102</v>
      </c>
      <c r="E434" t="s">
        <v>11</v>
      </c>
      <c r="F434" t="s">
        <v>671</v>
      </c>
      <c r="G434" t="s">
        <v>672</v>
      </c>
      <c r="H434">
        <v>26</v>
      </c>
    </row>
    <row r="435" spans="1:8" x14ac:dyDescent="0.25">
      <c r="A435" t="s">
        <v>8</v>
      </c>
      <c r="B435" t="s">
        <v>673</v>
      </c>
      <c r="C435" t="s">
        <v>674</v>
      </c>
      <c r="D435">
        <v>102</v>
      </c>
      <c r="E435" t="s">
        <v>11</v>
      </c>
      <c r="F435" t="s">
        <v>675</v>
      </c>
      <c r="G435" t="s">
        <v>53</v>
      </c>
      <c r="H435">
        <v>59</v>
      </c>
    </row>
    <row r="436" spans="1:8" x14ac:dyDescent="0.25">
      <c r="A436" t="s">
        <v>13</v>
      </c>
      <c r="B436" t="s">
        <v>673</v>
      </c>
      <c r="C436" t="s">
        <v>674</v>
      </c>
      <c r="D436">
        <v>102</v>
      </c>
      <c r="E436" t="s">
        <v>11</v>
      </c>
      <c r="F436" t="s">
        <v>675</v>
      </c>
      <c r="G436" t="s">
        <v>53</v>
      </c>
      <c r="H436">
        <v>74</v>
      </c>
    </row>
    <row r="437" spans="1:8" x14ac:dyDescent="0.25">
      <c r="A437" t="s">
        <v>8</v>
      </c>
      <c r="B437" t="s">
        <v>676</v>
      </c>
      <c r="C437" t="s">
        <v>677</v>
      </c>
      <c r="D437">
        <v>102</v>
      </c>
      <c r="E437" t="s">
        <v>11</v>
      </c>
      <c r="F437" t="s">
        <v>671</v>
      </c>
      <c r="G437" t="s">
        <v>512</v>
      </c>
      <c r="H437">
        <v>71</v>
      </c>
    </row>
    <row r="438" spans="1:8" x14ac:dyDescent="0.25">
      <c r="A438" t="s">
        <v>13</v>
      </c>
      <c r="B438" t="s">
        <v>676</v>
      </c>
      <c r="C438" t="s">
        <v>677</v>
      </c>
      <c r="D438">
        <v>102</v>
      </c>
      <c r="E438" t="s">
        <v>11</v>
      </c>
      <c r="F438" t="s">
        <v>671</v>
      </c>
      <c r="G438" t="s">
        <v>512</v>
      </c>
      <c r="H438">
        <v>82</v>
      </c>
    </row>
    <row r="439" spans="1:8" x14ac:dyDescent="0.25">
      <c r="A439" t="s">
        <v>8</v>
      </c>
      <c r="B439" t="s">
        <v>678</v>
      </c>
      <c r="C439" t="s">
        <v>679</v>
      </c>
      <c r="D439">
        <v>102</v>
      </c>
      <c r="E439" t="s">
        <v>11</v>
      </c>
      <c r="F439" t="s">
        <v>680</v>
      </c>
      <c r="G439" t="s">
        <v>173</v>
      </c>
      <c r="H439">
        <v>73</v>
      </c>
    </row>
    <row r="440" spans="1:8" x14ac:dyDescent="0.25">
      <c r="A440" t="s">
        <v>13</v>
      </c>
      <c r="B440" t="s">
        <v>678</v>
      </c>
      <c r="C440" t="s">
        <v>679</v>
      </c>
      <c r="D440">
        <v>102</v>
      </c>
      <c r="E440" t="s">
        <v>11</v>
      </c>
      <c r="F440" t="s">
        <v>680</v>
      </c>
      <c r="G440" t="s">
        <v>173</v>
      </c>
      <c r="H440">
        <v>75</v>
      </c>
    </row>
    <row r="441" spans="1:8" x14ac:dyDescent="0.25">
      <c r="A441" t="s">
        <v>8</v>
      </c>
      <c r="B441" t="s">
        <v>681</v>
      </c>
      <c r="C441" t="s">
        <v>682</v>
      </c>
      <c r="D441">
        <v>102</v>
      </c>
      <c r="E441" t="s">
        <v>11</v>
      </c>
      <c r="F441" t="s">
        <v>683</v>
      </c>
      <c r="G441" t="s">
        <v>684</v>
      </c>
      <c r="H441">
        <v>19</v>
      </c>
    </row>
    <row r="442" spans="1:8" x14ac:dyDescent="0.25">
      <c r="A442" t="s">
        <v>13</v>
      </c>
      <c r="B442" t="s">
        <v>681</v>
      </c>
      <c r="C442" t="s">
        <v>682</v>
      </c>
      <c r="D442">
        <v>102</v>
      </c>
      <c r="E442" t="s">
        <v>11</v>
      </c>
      <c r="F442" t="s">
        <v>683</v>
      </c>
      <c r="G442" t="s">
        <v>684</v>
      </c>
      <c r="H442">
        <v>29</v>
      </c>
    </row>
    <row r="443" spans="1:8" x14ac:dyDescent="0.25">
      <c r="A443" t="s">
        <v>8</v>
      </c>
      <c r="B443" t="s">
        <v>685</v>
      </c>
      <c r="C443" t="s">
        <v>686</v>
      </c>
      <c r="D443">
        <v>102</v>
      </c>
      <c r="E443" t="s">
        <v>11</v>
      </c>
      <c r="F443" t="s">
        <v>522</v>
      </c>
      <c r="G443" t="s">
        <v>173</v>
      </c>
      <c r="H443">
        <v>13</v>
      </c>
    </row>
    <row r="444" spans="1:8" x14ac:dyDescent="0.25">
      <c r="A444" t="s">
        <v>13</v>
      </c>
      <c r="B444" t="s">
        <v>685</v>
      </c>
      <c r="C444" t="s">
        <v>686</v>
      </c>
      <c r="D444">
        <v>102</v>
      </c>
      <c r="E444" t="s">
        <v>11</v>
      </c>
      <c r="F444" t="s">
        <v>522</v>
      </c>
      <c r="G444" t="s">
        <v>173</v>
      </c>
      <c r="H444">
        <v>10</v>
      </c>
    </row>
    <row r="445" spans="1:8" x14ac:dyDescent="0.25">
      <c r="A445" t="s">
        <v>8</v>
      </c>
      <c r="B445" t="s">
        <v>687</v>
      </c>
      <c r="C445" t="s">
        <v>688</v>
      </c>
      <c r="D445">
        <v>102</v>
      </c>
      <c r="E445" t="s">
        <v>11</v>
      </c>
      <c r="F445" t="s">
        <v>689</v>
      </c>
      <c r="G445" t="s">
        <v>690</v>
      </c>
      <c r="H445">
        <v>19</v>
      </c>
    </row>
    <row r="446" spans="1:8" x14ac:dyDescent="0.25">
      <c r="A446" t="s">
        <v>13</v>
      </c>
      <c r="B446" t="s">
        <v>687</v>
      </c>
      <c r="C446" t="s">
        <v>688</v>
      </c>
      <c r="D446">
        <v>102</v>
      </c>
      <c r="E446" t="s">
        <v>11</v>
      </c>
      <c r="F446" t="s">
        <v>689</v>
      </c>
      <c r="G446" t="s">
        <v>690</v>
      </c>
      <c r="H446">
        <v>23</v>
      </c>
    </row>
    <row r="447" spans="1:8" x14ac:dyDescent="0.25">
      <c r="A447" t="s">
        <v>8</v>
      </c>
      <c r="B447" t="s">
        <v>691</v>
      </c>
      <c r="C447" t="s">
        <v>692</v>
      </c>
      <c r="D447">
        <v>102</v>
      </c>
      <c r="E447" t="s">
        <v>11</v>
      </c>
      <c r="F447" t="s">
        <v>689</v>
      </c>
      <c r="G447" t="s">
        <v>693</v>
      </c>
      <c r="H447">
        <v>14</v>
      </c>
    </row>
    <row r="448" spans="1:8" x14ac:dyDescent="0.25">
      <c r="A448" t="s">
        <v>13</v>
      </c>
      <c r="B448" t="s">
        <v>691</v>
      </c>
      <c r="C448" t="s">
        <v>692</v>
      </c>
      <c r="D448">
        <v>102</v>
      </c>
      <c r="E448" t="s">
        <v>11</v>
      </c>
      <c r="F448" t="s">
        <v>689</v>
      </c>
      <c r="G448" t="s">
        <v>693</v>
      </c>
      <c r="H448">
        <v>14</v>
      </c>
    </row>
    <row r="449" spans="1:8" x14ac:dyDescent="0.25">
      <c r="A449" t="s">
        <v>8</v>
      </c>
      <c r="B449" t="s">
        <v>694</v>
      </c>
      <c r="C449" t="s">
        <v>695</v>
      </c>
      <c r="D449">
        <v>102</v>
      </c>
      <c r="E449" t="s">
        <v>11</v>
      </c>
      <c r="F449" t="s">
        <v>696</v>
      </c>
      <c r="G449" t="s">
        <v>218</v>
      </c>
      <c r="H449">
        <v>35</v>
      </c>
    </row>
    <row r="450" spans="1:8" x14ac:dyDescent="0.25">
      <c r="A450" t="s">
        <v>13</v>
      </c>
      <c r="B450" t="s">
        <v>694</v>
      </c>
      <c r="C450" t="s">
        <v>695</v>
      </c>
      <c r="D450">
        <v>102</v>
      </c>
      <c r="E450" t="s">
        <v>11</v>
      </c>
      <c r="F450" t="s">
        <v>696</v>
      </c>
      <c r="G450" t="s">
        <v>218</v>
      </c>
      <c r="H450">
        <v>39</v>
      </c>
    </row>
    <row r="451" spans="1:8" x14ac:dyDescent="0.25">
      <c r="A451" t="s">
        <v>8</v>
      </c>
      <c r="B451" t="s">
        <v>697</v>
      </c>
      <c r="C451" t="s">
        <v>698</v>
      </c>
      <c r="D451">
        <v>102</v>
      </c>
      <c r="E451" t="s">
        <v>11</v>
      </c>
      <c r="F451" t="s">
        <v>699</v>
      </c>
      <c r="G451" t="s">
        <v>218</v>
      </c>
      <c r="H451">
        <v>23</v>
      </c>
    </row>
    <row r="452" spans="1:8" x14ac:dyDescent="0.25">
      <c r="A452" t="s">
        <v>13</v>
      </c>
      <c r="B452" t="s">
        <v>697</v>
      </c>
      <c r="C452" t="s">
        <v>698</v>
      </c>
      <c r="D452">
        <v>102</v>
      </c>
      <c r="E452" t="s">
        <v>11</v>
      </c>
      <c r="F452" t="s">
        <v>699</v>
      </c>
      <c r="G452" t="s">
        <v>218</v>
      </c>
      <c r="H452">
        <v>21</v>
      </c>
    </row>
    <row r="453" spans="1:8" x14ac:dyDescent="0.25">
      <c r="A453" t="s">
        <v>13</v>
      </c>
      <c r="B453" t="s">
        <v>700</v>
      </c>
      <c r="C453" t="s">
        <v>701</v>
      </c>
      <c r="D453">
        <v>102</v>
      </c>
      <c r="E453" t="s">
        <v>11</v>
      </c>
      <c r="F453" t="s">
        <v>702</v>
      </c>
      <c r="G453" t="s">
        <v>703</v>
      </c>
      <c r="H453">
        <v>1</v>
      </c>
    </row>
    <row r="454" spans="1:8" x14ac:dyDescent="0.25">
      <c r="A454" t="s">
        <v>8</v>
      </c>
      <c r="B454" t="s">
        <v>704</v>
      </c>
      <c r="C454" t="s">
        <v>705</v>
      </c>
      <c r="D454">
        <v>102</v>
      </c>
      <c r="E454" t="s">
        <v>11</v>
      </c>
      <c r="F454" t="s">
        <v>706</v>
      </c>
      <c r="G454">
        <v>0</v>
      </c>
      <c r="H454">
        <v>16</v>
      </c>
    </row>
    <row r="455" spans="1:8" x14ac:dyDescent="0.25">
      <c r="A455" t="s">
        <v>13</v>
      </c>
      <c r="B455" t="s">
        <v>704</v>
      </c>
      <c r="C455" t="s">
        <v>705</v>
      </c>
      <c r="D455">
        <v>102</v>
      </c>
      <c r="E455" t="s">
        <v>11</v>
      </c>
      <c r="F455" t="s">
        <v>706</v>
      </c>
      <c r="G455">
        <v>0</v>
      </c>
      <c r="H455">
        <v>14</v>
      </c>
    </row>
    <row r="456" spans="1:8" x14ac:dyDescent="0.25">
      <c r="A456" t="s">
        <v>13</v>
      </c>
      <c r="B456" t="s">
        <v>707</v>
      </c>
      <c r="C456" t="s">
        <v>708</v>
      </c>
      <c r="D456">
        <v>102</v>
      </c>
      <c r="E456" t="s">
        <v>11</v>
      </c>
      <c r="F456" t="s">
        <v>709</v>
      </c>
      <c r="G456" t="s">
        <v>129</v>
      </c>
      <c r="H456">
        <v>1</v>
      </c>
    </row>
    <row r="457" spans="1:8" x14ac:dyDescent="0.25">
      <c r="A457" t="s">
        <v>8</v>
      </c>
      <c r="B457" t="s">
        <v>710</v>
      </c>
      <c r="C457" t="s">
        <v>711</v>
      </c>
      <c r="D457">
        <v>102</v>
      </c>
      <c r="E457" t="s">
        <v>11</v>
      </c>
      <c r="F457" t="s">
        <v>709</v>
      </c>
      <c r="G457" t="s">
        <v>129</v>
      </c>
      <c r="H457">
        <v>1</v>
      </c>
    </row>
    <row r="458" spans="1:8" x14ac:dyDescent="0.25">
      <c r="A458" t="s">
        <v>13</v>
      </c>
      <c r="B458" t="s">
        <v>712</v>
      </c>
      <c r="C458" t="s">
        <v>713</v>
      </c>
      <c r="D458">
        <v>102</v>
      </c>
      <c r="E458" t="s">
        <v>11</v>
      </c>
      <c r="F458" t="s">
        <v>709</v>
      </c>
      <c r="G458" t="s">
        <v>129</v>
      </c>
      <c r="H458">
        <v>4</v>
      </c>
    </row>
    <row r="459" spans="1:8" x14ac:dyDescent="0.25">
      <c r="A459" t="s">
        <v>8</v>
      </c>
      <c r="B459" t="s">
        <v>714</v>
      </c>
      <c r="C459" t="s">
        <v>715</v>
      </c>
      <c r="D459">
        <v>102</v>
      </c>
      <c r="E459" t="s">
        <v>11</v>
      </c>
      <c r="F459" t="s">
        <v>709</v>
      </c>
      <c r="G459" t="s">
        <v>129</v>
      </c>
      <c r="H459">
        <v>1</v>
      </c>
    </row>
    <row r="460" spans="1:8" x14ac:dyDescent="0.25">
      <c r="A460" t="s">
        <v>8</v>
      </c>
      <c r="B460" t="s">
        <v>716</v>
      </c>
      <c r="C460" t="s">
        <v>717</v>
      </c>
      <c r="D460">
        <v>102</v>
      </c>
      <c r="E460" t="s">
        <v>11</v>
      </c>
      <c r="F460" t="s">
        <v>709</v>
      </c>
      <c r="G460" t="s">
        <v>129</v>
      </c>
      <c r="H460">
        <v>2</v>
      </c>
    </row>
    <row r="461" spans="1:8" x14ac:dyDescent="0.25">
      <c r="A461" t="s">
        <v>8</v>
      </c>
      <c r="B461" t="s">
        <v>718</v>
      </c>
      <c r="C461" t="s">
        <v>719</v>
      </c>
      <c r="D461">
        <v>102</v>
      </c>
      <c r="E461" t="s">
        <v>11</v>
      </c>
      <c r="F461" t="s">
        <v>709</v>
      </c>
      <c r="G461" t="s">
        <v>129</v>
      </c>
      <c r="H461">
        <v>1</v>
      </c>
    </row>
    <row r="462" spans="1:8" x14ac:dyDescent="0.25">
      <c r="A462" t="s">
        <v>8</v>
      </c>
      <c r="B462" t="s">
        <v>720</v>
      </c>
      <c r="C462" t="s">
        <v>721</v>
      </c>
      <c r="D462">
        <v>102</v>
      </c>
      <c r="E462" t="s">
        <v>11</v>
      </c>
      <c r="F462" t="s">
        <v>709</v>
      </c>
      <c r="G462" t="s">
        <v>129</v>
      </c>
      <c r="H462">
        <v>2</v>
      </c>
    </row>
    <row r="463" spans="1:8" x14ac:dyDescent="0.25">
      <c r="A463" t="s">
        <v>8</v>
      </c>
      <c r="B463" t="s">
        <v>722</v>
      </c>
      <c r="C463" t="s">
        <v>723</v>
      </c>
      <c r="D463">
        <v>102</v>
      </c>
      <c r="E463" t="s">
        <v>11</v>
      </c>
      <c r="F463" t="s">
        <v>709</v>
      </c>
      <c r="G463" t="s">
        <v>129</v>
      </c>
      <c r="H463">
        <v>1</v>
      </c>
    </row>
    <row r="464" spans="1:8" x14ac:dyDescent="0.25">
      <c r="A464" t="s">
        <v>13</v>
      </c>
      <c r="B464" t="s">
        <v>722</v>
      </c>
      <c r="C464" t="s">
        <v>723</v>
      </c>
      <c r="D464">
        <v>102</v>
      </c>
      <c r="E464" t="s">
        <v>11</v>
      </c>
      <c r="F464" t="s">
        <v>709</v>
      </c>
      <c r="G464" t="s">
        <v>129</v>
      </c>
      <c r="H464">
        <v>1</v>
      </c>
    </row>
    <row r="465" spans="1:8" x14ac:dyDescent="0.25">
      <c r="A465" t="s">
        <v>13</v>
      </c>
      <c r="B465" t="s">
        <v>724</v>
      </c>
      <c r="C465" t="s">
        <v>725</v>
      </c>
      <c r="D465">
        <v>102</v>
      </c>
      <c r="E465" t="s">
        <v>11</v>
      </c>
      <c r="F465" t="s">
        <v>709</v>
      </c>
      <c r="G465" t="s">
        <v>129</v>
      </c>
      <c r="H465">
        <v>3</v>
      </c>
    </row>
    <row r="466" spans="1:8" x14ac:dyDescent="0.25">
      <c r="A466" t="s">
        <v>8</v>
      </c>
      <c r="B466" t="s">
        <v>726</v>
      </c>
      <c r="C466" t="s">
        <v>727</v>
      </c>
      <c r="D466">
        <v>102</v>
      </c>
      <c r="E466" t="s">
        <v>11</v>
      </c>
      <c r="F466" t="s">
        <v>709</v>
      </c>
      <c r="G466" t="s">
        <v>129</v>
      </c>
      <c r="H466">
        <v>1</v>
      </c>
    </row>
    <row r="467" spans="1:8" x14ac:dyDescent="0.25">
      <c r="A467" t="s">
        <v>8</v>
      </c>
      <c r="B467" t="s">
        <v>728</v>
      </c>
      <c r="C467" t="s">
        <v>729</v>
      </c>
      <c r="D467">
        <v>102</v>
      </c>
      <c r="E467" t="s">
        <v>11</v>
      </c>
      <c r="F467" t="s">
        <v>709</v>
      </c>
      <c r="G467" t="s">
        <v>129</v>
      </c>
      <c r="H467">
        <v>2</v>
      </c>
    </row>
    <row r="468" spans="1:8" x14ac:dyDescent="0.25">
      <c r="A468" t="s">
        <v>13</v>
      </c>
      <c r="B468" t="s">
        <v>730</v>
      </c>
      <c r="C468" t="s">
        <v>731</v>
      </c>
      <c r="D468">
        <v>102</v>
      </c>
      <c r="E468" t="s">
        <v>11</v>
      </c>
      <c r="F468" t="s">
        <v>709</v>
      </c>
      <c r="G468" t="s">
        <v>129</v>
      </c>
      <c r="H468">
        <v>2</v>
      </c>
    </row>
    <row r="469" spans="1:8" x14ac:dyDescent="0.25">
      <c r="A469" t="s">
        <v>8</v>
      </c>
      <c r="B469" t="s">
        <v>732</v>
      </c>
      <c r="C469" t="s">
        <v>733</v>
      </c>
      <c r="D469">
        <v>102</v>
      </c>
      <c r="E469" t="s">
        <v>11</v>
      </c>
      <c r="F469" t="s">
        <v>709</v>
      </c>
      <c r="G469" t="s">
        <v>129</v>
      </c>
      <c r="H469">
        <v>3</v>
      </c>
    </row>
    <row r="470" spans="1:8" x14ac:dyDescent="0.25">
      <c r="A470" t="s">
        <v>8</v>
      </c>
      <c r="B470" t="s">
        <v>734</v>
      </c>
      <c r="C470" t="s">
        <v>735</v>
      </c>
      <c r="D470">
        <v>102</v>
      </c>
      <c r="E470" t="s">
        <v>11</v>
      </c>
      <c r="F470" t="s">
        <v>709</v>
      </c>
      <c r="G470" t="s">
        <v>129</v>
      </c>
      <c r="H470">
        <v>4</v>
      </c>
    </row>
    <row r="471" spans="1:8" x14ac:dyDescent="0.25">
      <c r="A471" t="s">
        <v>8</v>
      </c>
      <c r="B471" t="s">
        <v>736</v>
      </c>
      <c r="C471" t="s">
        <v>737</v>
      </c>
      <c r="D471">
        <v>102</v>
      </c>
      <c r="E471" t="s">
        <v>11</v>
      </c>
      <c r="F471" t="s">
        <v>709</v>
      </c>
      <c r="G471" t="s">
        <v>129</v>
      </c>
      <c r="H471">
        <v>1</v>
      </c>
    </row>
    <row r="472" spans="1:8" x14ac:dyDescent="0.25">
      <c r="A472" t="s">
        <v>8</v>
      </c>
      <c r="B472" t="s">
        <v>738</v>
      </c>
      <c r="C472" t="s">
        <v>739</v>
      </c>
      <c r="D472">
        <v>102</v>
      </c>
      <c r="E472" t="s">
        <v>11</v>
      </c>
      <c r="F472" t="s">
        <v>709</v>
      </c>
      <c r="G472" t="s">
        <v>129</v>
      </c>
      <c r="H472">
        <v>3</v>
      </c>
    </row>
    <row r="473" spans="1:8" x14ac:dyDescent="0.25">
      <c r="A473" t="s">
        <v>13</v>
      </c>
      <c r="B473" t="s">
        <v>738</v>
      </c>
      <c r="C473" t="s">
        <v>739</v>
      </c>
      <c r="D473">
        <v>102</v>
      </c>
      <c r="E473" t="s">
        <v>11</v>
      </c>
      <c r="F473" t="s">
        <v>709</v>
      </c>
      <c r="G473" t="s">
        <v>129</v>
      </c>
      <c r="H473">
        <v>1</v>
      </c>
    </row>
    <row r="474" spans="1:8" x14ac:dyDescent="0.25">
      <c r="A474" t="s">
        <v>8</v>
      </c>
      <c r="B474" t="s">
        <v>740</v>
      </c>
      <c r="C474" t="s">
        <v>741</v>
      </c>
      <c r="D474">
        <v>102</v>
      </c>
      <c r="E474" t="s">
        <v>11</v>
      </c>
      <c r="F474" t="s">
        <v>709</v>
      </c>
      <c r="G474" t="s">
        <v>129</v>
      </c>
      <c r="H474">
        <v>1</v>
      </c>
    </row>
    <row r="475" spans="1:8" x14ac:dyDescent="0.25">
      <c r="A475" t="s">
        <v>13</v>
      </c>
      <c r="B475" t="s">
        <v>740</v>
      </c>
      <c r="C475" t="s">
        <v>741</v>
      </c>
      <c r="D475">
        <v>102</v>
      </c>
      <c r="E475" t="s">
        <v>11</v>
      </c>
      <c r="F475" t="s">
        <v>709</v>
      </c>
      <c r="G475" t="s">
        <v>129</v>
      </c>
      <c r="H475">
        <v>2</v>
      </c>
    </row>
    <row r="476" spans="1:8" x14ac:dyDescent="0.25">
      <c r="A476" t="s">
        <v>8</v>
      </c>
      <c r="B476" t="s">
        <v>742</v>
      </c>
      <c r="C476" t="s">
        <v>743</v>
      </c>
      <c r="D476">
        <v>102</v>
      </c>
      <c r="E476" t="s">
        <v>11</v>
      </c>
      <c r="F476" t="s">
        <v>709</v>
      </c>
      <c r="G476" t="s">
        <v>129</v>
      </c>
      <c r="H476">
        <v>2</v>
      </c>
    </row>
    <row r="477" spans="1:8" x14ac:dyDescent="0.25">
      <c r="A477" t="s">
        <v>8</v>
      </c>
      <c r="B477" t="s">
        <v>744</v>
      </c>
      <c r="C477" t="s">
        <v>745</v>
      </c>
      <c r="D477">
        <v>102</v>
      </c>
      <c r="E477" t="s">
        <v>11</v>
      </c>
      <c r="F477" t="s">
        <v>709</v>
      </c>
      <c r="G477" t="s">
        <v>129</v>
      </c>
      <c r="H477">
        <v>2</v>
      </c>
    </row>
    <row r="478" spans="1:8" x14ac:dyDescent="0.25">
      <c r="A478" t="s">
        <v>13</v>
      </c>
      <c r="B478" t="s">
        <v>744</v>
      </c>
      <c r="C478" t="s">
        <v>745</v>
      </c>
      <c r="D478">
        <v>102</v>
      </c>
      <c r="E478" t="s">
        <v>11</v>
      </c>
      <c r="F478" t="s">
        <v>709</v>
      </c>
      <c r="G478" t="s">
        <v>129</v>
      </c>
      <c r="H478">
        <v>1</v>
      </c>
    </row>
    <row r="479" spans="1:8" x14ac:dyDescent="0.25">
      <c r="A479" t="s">
        <v>13</v>
      </c>
      <c r="B479" t="s">
        <v>746</v>
      </c>
      <c r="C479" t="s">
        <v>747</v>
      </c>
      <c r="D479">
        <v>102</v>
      </c>
      <c r="E479" t="s">
        <v>11</v>
      </c>
      <c r="F479" t="s">
        <v>709</v>
      </c>
      <c r="G479" t="s">
        <v>129</v>
      </c>
      <c r="H479">
        <v>3</v>
      </c>
    </row>
    <row r="480" spans="1:8" x14ac:dyDescent="0.25">
      <c r="A480" t="s">
        <v>8</v>
      </c>
      <c r="B480" t="s">
        <v>748</v>
      </c>
      <c r="C480" t="s">
        <v>749</v>
      </c>
      <c r="D480">
        <v>102</v>
      </c>
      <c r="E480" t="s">
        <v>11</v>
      </c>
      <c r="F480" t="s">
        <v>709</v>
      </c>
      <c r="G480" t="s">
        <v>129</v>
      </c>
      <c r="H480">
        <v>3</v>
      </c>
    </row>
    <row r="481" spans="1:8" x14ac:dyDescent="0.25">
      <c r="A481" t="s">
        <v>13</v>
      </c>
      <c r="B481" t="s">
        <v>748</v>
      </c>
      <c r="C481" t="s">
        <v>749</v>
      </c>
      <c r="D481">
        <v>102</v>
      </c>
      <c r="E481" t="s">
        <v>11</v>
      </c>
      <c r="F481" t="s">
        <v>709</v>
      </c>
      <c r="G481" t="s">
        <v>129</v>
      </c>
      <c r="H481">
        <v>1</v>
      </c>
    </row>
    <row r="482" spans="1:8" x14ac:dyDescent="0.25">
      <c r="A482" t="s">
        <v>8</v>
      </c>
      <c r="B482" t="s">
        <v>750</v>
      </c>
      <c r="C482" t="s">
        <v>751</v>
      </c>
      <c r="D482">
        <v>102</v>
      </c>
      <c r="E482" t="s">
        <v>11</v>
      </c>
      <c r="F482" t="s">
        <v>709</v>
      </c>
      <c r="G482" t="s">
        <v>129</v>
      </c>
      <c r="H482">
        <v>1</v>
      </c>
    </row>
    <row r="483" spans="1:8" x14ac:dyDescent="0.25">
      <c r="A483" t="s">
        <v>13</v>
      </c>
      <c r="B483" t="s">
        <v>750</v>
      </c>
      <c r="C483" t="s">
        <v>751</v>
      </c>
      <c r="D483">
        <v>102</v>
      </c>
      <c r="E483" t="s">
        <v>11</v>
      </c>
      <c r="F483" t="s">
        <v>709</v>
      </c>
      <c r="G483" t="s">
        <v>129</v>
      </c>
      <c r="H483">
        <v>1</v>
      </c>
    </row>
    <row r="484" spans="1:8" x14ac:dyDescent="0.25">
      <c r="A484" t="s">
        <v>8</v>
      </c>
      <c r="B484" t="s">
        <v>752</v>
      </c>
      <c r="C484" t="s">
        <v>753</v>
      </c>
      <c r="D484">
        <v>102</v>
      </c>
      <c r="E484" t="s">
        <v>11</v>
      </c>
      <c r="F484" t="s">
        <v>709</v>
      </c>
      <c r="G484" t="s">
        <v>129</v>
      </c>
      <c r="H484">
        <v>1</v>
      </c>
    </row>
    <row r="485" spans="1:8" x14ac:dyDescent="0.25">
      <c r="A485" t="s">
        <v>13</v>
      </c>
      <c r="B485" t="s">
        <v>752</v>
      </c>
      <c r="C485" t="s">
        <v>753</v>
      </c>
      <c r="D485">
        <v>102</v>
      </c>
      <c r="E485" t="s">
        <v>11</v>
      </c>
      <c r="F485" t="s">
        <v>709</v>
      </c>
      <c r="G485" t="s">
        <v>129</v>
      </c>
      <c r="H485">
        <v>1</v>
      </c>
    </row>
    <row r="486" spans="1:8" x14ac:dyDescent="0.25">
      <c r="A486" t="s">
        <v>8</v>
      </c>
      <c r="B486" t="s">
        <v>754</v>
      </c>
      <c r="C486" t="s">
        <v>755</v>
      </c>
      <c r="D486">
        <v>102</v>
      </c>
      <c r="E486" t="s">
        <v>11</v>
      </c>
      <c r="F486" t="s">
        <v>709</v>
      </c>
      <c r="G486" t="s">
        <v>129</v>
      </c>
      <c r="H486">
        <v>1</v>
      </c>
    </row>
    <row r="487" spans="1:8" x14ac:dyDescent="0.25">
      <c r="A487" t="s">
        <v>13</v>
      </c>
      <c r="B487" t="s">
        <v>756</v>
      </c>
      <c r="C487" t="s">
        <v>757</v>
      </c>
      <c r="D487">
        <v>102</v>
      </c>
      <c r="E487" t="s">
        <v>11</v>
      </c>
      <c r="F487" t="s">
        <v>18</v>
      </c>
      <c r="G487" t="s">
        <v>129</v>
      </c>
      <c r="H487">
        <v>8</v>
      </c>
    </row>
    <row r="488" spans="1:8" x14ac:dyDescent="0.25">
      <c r="A488" t="s">
        <v>8</v>
      </c>
      <c r="B488" t="s">
        <v>758</v>
      </c>
      <c r="C488" t="s">
        <v>759</v>
      </c>
      <c r="D488">
        <v>102</v>
      </c>
      <c r="E488" t="s">
        <v>11</v>
      </c>
      <c r="F488" t="s">
        <v>18</v>
      </c>
      <c r="G488" t="s">
        <v>129</v>
      </c>
      <c r="H488">
        <v>20</v>
      </c>
    </row>
    <row r="489" spans="1:8" x14ac:dyDescent="0.25">
      <c r="A489" t="s">
        <v>13</v>
      </c>
      <c r="B489" t="s">
        <v>758</v>
      </c>
      <c r="C489" t="s">
        <v>759</v>
      </c>
      <c r="D489">
        <v>102</v>
      </c>
      <c r="E489" t="s">
        <v>11</v>
      </c>
      <c r="F489" t="s">
        <v>18</v>
      </c>
      <c r="G489" t="s">
        <v>129</v>
      </c>
      <c r="H489">
        <v>19</v>
      </c>
    </row>
    <row r="490" spans="1:8" x14ac:dyDescent="0.25">
      <c r="A490" t="s">
        <v>8</v>
      </c>
      <c r="B490" t="s">
        <v>760</v>
      </c>
      <c r="C490" t="s">
        <v>761</v>
      </c>
      <c r="D490">
        <v>102</v>
      </c>
      <c r="E490" t="s">
        <v>11</v>
      </c>
      <c r="F490" t="s">
        <v>18</v>
      </c>
      <c r="G490" t="s">
        <v>129</v>
      </c>
      <c r="H490">
        <v>24</v>
      </c>
    </row>
    <row r="491" spans="1:8" x14ac:dyDescent="0.25">
      <c r="A491" t="s">
        <v>13</v>
      </c>
      <c r="B491" t="s">
        <v>760</v>
      </c>
      <c r="C491" t="s">
        <v>761</v>
      </c>
      <c r="D491">
        <v>102</v>
      </c>
      <c r="E491" t="s">
        <v>11</v>
      </c>
      <c r="F491" t="s">
        <v>18</v>
      </c>
      <c r="G491" t="s">
        <v>129</v>
      </c>
      <c r="H491">
        <v>26</v>
      </c>
    </row>
    <row r="492" spans="1:8" x14ac:dyDescent="0.25">
      <c r="A492" t="s">
        <v>8</v>
      </c>
      <c r="B492" t="s">
        <v>762</v>
      </c>
      <c r="C492" t="s">
        <v>763</v>
      </c>
      <c r="D492">
        <v>102</v>
      </c>
      <c r="E492" t="s">
        <v>11</v>
      </c>
      <c r="F492" t="s">
        <v>18</v>
      </c>
      <c r="G492" t="s">
        <v>129</v>
      </c>
      <c r="H492">
        <v>8</v>
      </c>
    </row>
    <row r="493" spans="1:8" x14ac:dyDescent="0.25">
      <c r="A493" t="s">
        <v>13</v>
      </c>
      <c r="B493" t="s">
        <v>762</v>
      </c>
      <c r="C493" t="s">
        <v>763</v>
      </c>
      <c r="D493">
        <v>102</v>
      </c>
      <c r="E493" t="s">
        <v>11</v>
      </c>
      <c r="F493" t="s">
        <v>18</v>
      </c>
      <c r="G493" t="s">
        <v>129</v>
      </c>
      <c r="H493">
        <v>7</v>
      </c>
    </row>
    <row r="494" spans="1:8" x14ac:dyDescent="0.25">
      <c r="A494" t="s">
        <v>8</v>
      </c>
      <c r="B494" t="s">
        <v>764</v>
      </c>
      <c r="C494" t="s">
        <v>765</v>
      </c>
      <c r="D494">
        <v>102</v>
      </c>
      <c r="E494" t="s">
        <v>11</v>
      </c>
      <c r="F494" t="s">
        <v>358</v>
      </c>
      <c r="G494" t="s">
        <v>201</v>
      </c>
      <c r="H494">
        <v>1</v>
      </c>
    </row>
    <row r="495" spans="1:8" x14ac:dyDescent="0.25">
      <c r="A495" t="s">
        <v>13</v>
      </c>
      <c r="B495" t="s">
        <v>764</v>
      </c>
      <c r="C495" t="s">
        <v>765</v>
      </c>
      <c r="D495">
        <v>102</v>
      </c>
      <c r="E495" t="s">
        <v>11</v>
      </c>
      <c r="F495" t="s">
        <v>358</v>
      </c>
      <c r="G495" t="s">
        <v>201</v>
      </c>
      <c r="H495">
        <v>4</v>
      </c>
    </row>
    <row r="496" spans="1:8" x14ac:dyDescent="0.25">
      <c r="A496" t="s">
        <v>8</v>
      </c>
      <c r="B496" t="s">
        <v>766</v>
      </c>
      <c r="C496" t="s">
        <v>767</v>
      </c>
      <c r="D496">
        <v>102</v>
      </c>
      <c r="E496" t="s">
        <v>11</v>
      </c>
      <c r="F496" t="s">
        <v>358</v>
      </c>
      <c r="G496" t="s">
        <v>201</v>
      </c>
      <c r="H496">
        <v>1</v>
      </c>
    </row>
    <row r="497" spans="1:8" x14ac:dyDescent="0.25">
      <c r="A497" t="s">
        <v>13</v>
      </c>
      <c r="B497" t="s">
        <v>766</v>
      </c>
      <c r="C497" t="s">
        <v>767</v>
      </c>
      <c r="D497">
        <v>102</v>
      </c>
      <c r="E497" t="s">
        <v>11</v>
      </c>
      <c r="F497" t="s">
        <v>358</v>
      </c>
      <c r="G497" t="s">
        <v>201</v>
      </c>
      <c r="H497">
        <v>6</v>
      </c>
    </row>
    <row r="498" spans="1:8" x14ac:dyDescent="0.25">
      <c r="A498" t="s">
        <v>13</v>
      </c>
      <c r="B498" t="s">
        <v>768</v>
      </c>
      <c r="C498" t="s">
        <v>769</v>
      </c>
      <c r="D498">
        <v>102</v>
      </c>
      <c r="E498" t="s">
        <v>11</v>
      </c>
      <c r="F498" t="s">
        <v>358</v>
      </c>
      <c r="G498" t="s">
        <v>201</v>
      </c>
      <c r="H498">
        <v>4</v>
      </c>
    </row>
    <row r="499" spans="1:8" x14ac:dyDescent="0.25">
      <c r="A499" t="s">
        <v>13</v>
      </c>
      <c r="B499" t="s">
        <v>770</v>
      </c>
      <c r="C499" t="s">
        <v>771</v>
      </c>
      <c r="D499">
        <v>102</v>
      </c>
      <c r="E499" t="s">
        <v>11</v>
      </c>
      <c r="F499" t="s">
        <v>358</v>
      </c>
      <c r="G499" t="s">
        <v>201</v>
      </c>
      <c r="H499">
        <v>1</v>
      </c>
    </row>
    <row r="500" spans="1:8" x14ac:dyDescent="0.25">
      <c r="A500" t="s">
        <v>8</v>
      </c>
      <c r="B500" t="s">
        <v>772</v>
      </c>
      <c r="C500" t="s">
        <v>773</v>
      </c>
      <c r="D500">
        <v>102</v>
      </c>
      <c r="E500" t="s">
        <v>11</v>
      </c>
      <c r="F500" t="s">
        <v>354</v>
      </c>
      <c r="G500" t="s">
        <v>201</v>
      </c>
      <c r="H500">
        <v>2</v>
      </c>
    </row>
    <row r="501" spans="1:8" x14ac:dyDescent="0.25">
      <c r="A501" t="s">
        <v>13</v>
      </c>
      <c r="B501" t="s">
        <v>772</v>
      </c>
      <c r="C501" t="s">
        <v>773</v>
      </c>
      <c r="D501">
        <v>102</v>
      </c>
      <c r="E501" t="s">
        <v>11</v>
      </c>
      <c r="F501" t="s">
        <v>354</v>
      </c>
      <c r="G501" t="s">
        <v>201</v>
      </c>
      <c r="H501">
        <v>3</v>
      </c>
    </row>
    <row r="502" spans="1:8" x14ac:dyDescent="0.25">
      <c r="A502" t="s">
        <v>8</v>
      </c>
      <c r="B502" t="s">
        <v>774</v>
      </c>
      <c r="C502" t="s">
        <v>775</v>
      </c>
      <c r="D502">
        <v>102</v>
      </c>
      <c r="E502" t="s">
        <v>11</v>
      </c>
      <c r="F502" t="s">
        <v>354</v>
      </c>
      <c r="G502" t="s">
        <v>201</v>
      </c>
      <c r="H502">
        <v>5</v>
      </c>
    </row>
    <row r="503" spans="1:8" x14ac:dyDescent="0.25">
      <c r="A503" t="s">
        <v>8</v>
      </c>
      <c r="B503" t="s">
        <v>776</v>
      </c>
      <c r="C503" t="s">
        <v>777</v>
      </c>
      <c r="D503">
        <v>102</v>
      </c>
      <c r="E503" t="s">
        <v>11</v>
      </c>
      <c r="F503" t="s">
        <v>354</v>
      </c>
      <c r="G503" t="s">
        <v>201</v>
      </c>
      <c r="H503">
        <v>4</v>
      </c>
    </row>
    <row r="504" spans="1:8" x14ac:dyDescent="0.25">
      <c r="A504" t="s">
        <v>8</v>
      </c>
      <c r="B504" t="s">
        <v>778</v>
      </c>
      <c r="C504" t="s">
        <v>779</v>
      </c>
      <c r="D504">
        <v>102</v>
      </c>
      <c r="E504" t="s">
        <v>11</v>
      </c>
      <c r="F504" t="s">
        <v>354</v>
      </c>
      <c r="G504" t="s">
        <v>201</v>
      </c>
      <c r="H504">
        <v>1</v>
      </c>
    </row>
    <row r="505" spans="1:8" x14ac:dyDescent="0.25">
      <c r="A505" t="s">
        <v>8</v>
      </c>
      <c r="B505" t="s">
        <v>780</v>
      </c>
      <c r="C505" t="s">
        <v>781</v>
      </c>
      <c r="D505">
        <v>102</v>
      </c>
      <c r="E505" t="s">
        <v>11</v>
      </c>
      <c r="F505" t="s">
        <v>354</v>
      </c>
      <c r="G505" t="s">
        <v>201</v>
      </c>
      <c r="H505">
        <v>5</v>
      </c>
    </row>
    <row r="506" spans="1:8" x14ac:dyDescent="0.25">
      <c r="A506" t="s">
        <v>8</v>
      </c>
      <c r="B506" t="s">
        <v>782</v>
      </c>
      <c r="C506" t="s">
        <v>783</v>
      </c>
      <c r="D506">
        <v>102</v>
      </c>
      <c r="E506" t="s">
        <v>11</v>
      </c>
      <c r="F506" t="s">
        <v>354</v>
      </c>
      <c r="G506" t="s">
        <v>201</v>
      </c>
      <c r="H506">
        <v>4</v>
      </c>
    </row>
    <row r="507" spans="1:8" x14ac:dyDescent="0.25">
      <c r="A507" t="s">
        <v>13</v>
      </c>
      <c r="B507" t="s">
        <v>782</v>
      </c>
      <c r="C507" t="s">
        <v>783</v>
      </c>
      <c r="D507">
        <v>102</v>
      </c>
      <c r="E507" t="s">
        <v>11</v>
      </c>
      <c r="F507" t="s">
        <v>354</v>
      </c>
      <c r="G507" t="s">
        <v>201</v>
      </c>
      <c r="H507">
        <v>5</v>
      </c>
    </row>
    <row r="508" spans="1:8" x14ac:dyDescent="0.25">
      <c r="A508" t="s">
        <v>8</v>
      </c>
      <c r="B508" t="s">
        <v>784</v>
      </c>
      <c r="C508" t="s">
        <v>785</v>
      </c>
      <c r="D508">
        <v>102</v>
      </c>
      <c r="E508" t="s">
        <v>11</v>
      </c>
      <c r="F508" t="s">
        <v>354</v>
      </c>
      <c r="G508" t="s">
        <v>201</v>
      </c>
      <c r="H508">
        <v>3</v>
      </c>
    </row>
    <row r="509" spans="1:8" x14ac:dyDescent="0.25">
      <c r="A509" t="s">
        <v>13</v>
      </c>
      <c r="B509" t="s">
        <v>784</v>
      </c>
      <c r="C509" t="s">
        <v>785</v>
      </c>
      <c r="D509">
        <v>102</v>
      </c>
      <c r="E509" t="s">
        <v>11</v>
      </c>
      <c r="F509" t="s">
        <v>354</v>
      </c>
      <c r="G509" t="s">
        <v>201</v>
      </c>
      <c r="H509">
        <v>4</v>
      </c>
    </row>
    <row r="510" spans="1:8" x14ac:dyDescent="0.25">
      <c r="A510" t="s">
        <v>13</v>
      </c>
      <c r="B510" t="s">
        <v>786</v>
      </c>
      <c r="C510" t="s">
        <v>787</v>
      </c>
      <c r="D510">
        <v>102</v>
      </c>
      <c r="E510" t="s">
        <v>11</v>
      </c>
      <c r="F510" t="s">
        <v>354</v>
      </c>
      <c r="G510" t="s">
        <v>201</v>
      </c>
      <c r="H510">
        <v>2</v>
      </c>
    </row>
    <row r="511" spans="1:8" x14ac:dyDescent="0.25">
      <c r="A511" t="s">
        <v>8</v>
      </c>
      <c r="B511" t="s">
        <v>788</v>
      </c>
      <c r="C511" t="s">
        <v>789</v>
      </c>
      <c r="D511">
        <v>102</v>
      </c>
      <c r="E511" t="s">
        <v>11</v>
      </c>
      <c r="F511" t="s">
        <v>354</v>
      </c>
      <c r="G511" t="s">
        <v>201</v>
      </c>
      <c r="H511">
        <v>1</v>
      </c>
    </row>
    <row r="512" spans="1:8" x14ac:dyDescent="0.25">
      <c r="A512" t="s">
        <v>8</v>
      </c>
      <c r="B512" t="s">
        <v>790</v>
      </c>
      <c r="C512" t="s">
        <v>791</v>
      </c>
      <c r="D512">
        <v>102</v>
      </c>
      <c r="E512" t="s">
        <v>11</v>
      </c>
      <c r="F512" t="s">
        <v>354</v>
      </c>
      <c r="G512" t="s">
        <v>201</v>
      </c>
      <c r="H512">
        <v>4</v>
      </c>
    </row>
    <row r="513" spans="1:8" x14ac:dyDescent="0.25">
      <c r="A513" t="s">
        <v>13</v>
      </c>
      <c r="B513" t="s">
        <v>792</v>
      </c>
      <c r="C513" t="s">
        <v>793</v>
      </c>
      <c r="D513">
        <v>102</v>
      </c>
      <c r="E513" t="s">
        <v>11</v>
      </c>
      <c r="F513" t="s">
        <v>354</v>
      </c>
      <c r="G513" t="s">
        <v>201</v>
      </c>
      <c r="H513">
        <v>6</v>
      </c>
    </row>
    <row r="514" spans="1:8" x14ac:dyDescent="0.25">
      <c r="A514" t="s">
        <v>8</v>
      </c>
      <c r="B514" t="s">
        <v>794</v>
      </c>
      <c r="C514" t="s">
        <v>795</v>
      </c>
      <c r="D514">
        <v>102</v>
      </c>
      <c r="E514" t="s">
        <v>11</v>
      </c>
      <c r="F514" t="s">
        <v>354</v>
      </c>
      <c r="G514" t="s">
        <v>201</v>
      </c>
      <c r="H514">
        <v>1</v>
      </c>
    </row>
    <row r="515" spans="1:8" x14ac:dyDescent="0.25">
      <c r="A515" t="s">
        <v>8</v>
      </c>
      <c r="B515" t="s">
        <v>796</v>
      </c>
      <c r="C515" t="s">
        <v>797</v>
      </c>
      <c r="D515">
        <v>102</v>
      </c>
      <c r="E515" t="s">
        <v>11</v>
      </c>
      <c r="F515" t="s">
        <v>354</v>
      </c>
      <c r="G515" t="s">
        <v>201</v>
      </c>
      <c r="H515">
        <v>1</v>
      </c>
    </row>
    <row r="516" spans="1:8" x14ac:dyDescent="0.25">
      <c r="A516" t="s">
        <v>8</v>
      </c>
      <c r="B516" t="s">
        <v>798</v>
      </c>
      <c r="C516" t="s">
        <v>799</v>
      </c>
      <c r="D516">
        <v>102</v>
      </c>
      <c r="E516" t="s">
        <v>11</v>
      </c>
      <c r="F516" t="s">
        <v>354</v>
      </c>
      <c r="G516" t="s">
        <v>201</v>
      </c>
      <c r="H516">
        <v>1</v>
      </c>
    </row>
    <row r="517" spans="1:8" x14ac:dyDescent="0.25">
      <c r="A517" t="s">
        <v>8</v>
      </c>
      <c r="B517" t="s">
        <v>800</v>
      </c>
      <c r="C517" t="s">
        <v>801</v>
      </c>
      <c r="D517">
        <v>102</v>
      </c>
      <c r="E517" t="s">
        <v>11</v>
      </c>
      <c r="F517" t="s">
        <v>802</v>
      </c>
      <c r="G517" t="s">
        <v>803</v>
      </c>
      <c r="H517">
        <v>1250</v>
      </c>
    </row>
    <row r="518" spans="1:8" x14ac:dyDescent="0.25">
      <c r="A518" t="s">
        <v>13</v>
      </c>
      <c r="B518" t="s">
        <v>800</v>
      </c>
      <c r="C518" t="s">
        <v>801</v>
      </c>
      <c r="D518">
        <v>102</v>
      </c>
      <c r="E518" t="s">
        <v>11</v>
      </c>
      <c r="F518" t="s">
        <v>802</v>
      </c>
      <c r="G518" t="s">
        <v>803</v>
      </c>
      <c r="H518">
        <v>2000</v>
      </c>
    </row>
    <row r="519" spans="1:8" x14ac:dyDescent="0.25">
      <c r="A519" t="s">
        <v>8</v>
      </c>
      <c r="B519" t="s">
        <v>804</v>
      </c>
      <c r="C519" t="s">
        <v>805</v>
      </c>
      <c r="D519">
        <v>102</v>
      </c>
      <c r="E519" t="s">
        <v>11</v>
      </c>
      <c r="F519" t="s">
        <v>802</v>
      </c>
      <c r="G519" t="s">
        <v>803</v>
      </c>
      <c r="H519">
        <v>1000</v>
      </c>
    </row>
    <row r="520" spans="1:8" x14ac:dyDescent="0.25">
      <c r="A520" t="s">
        <v>13</v>
      </c>
      <c r="B520" t="s">
        <v>804</v>
      </c>
      <c r="C520" t="s">
        <v>805</v>
      </c>
      <c r="D520">
        <v>102</v>
      </c>
      <c r="E520" t="s">
        <v>11</v>
      </c>
      <c r="F520" t="s">
        <v>802</v>
      </c>
      <c r="G520" t="s">
        <v>803</v>
      </c>
      <c r="H520">
        <v>1500</v>
      </c>
    </row>
    <row r="521" spans="1:8" x14ac:dyDescent="0.25">
      <c r="A521" t="s">
        <v>8</v>
      </c>
      <c r="B521" t="s">
        <v>806</v>
      </c>
      <c r="C521" t="s">
        <v>807</v>
      </c>
      <c r="D521">
        <v>102</v>
      </c>
      <c r="E521" t="s">
        <v>11</v>
      </c>
      <c r="F521" t="s">
        <v>802</v>
      </c>
      <c r="G521" t="s">
        <v>803</v>
      </c>
      <c r="H521">
        <v>1000</v>
      </c>
    </row>
    <row r="522" spans="1:8" x14ac:dyDescent="0.25">
      <c r="A522" t="s">
        <v>13</v>
      </c>
      <c r="B522" t="s">
        <v>806</v>
      </c>
      <c r="C522" t="s">
        <v>807</v>
      </c>
      <c r="D522">
        <v>102</v>
      </c>
      <c r="E522" t="s">
        <v>11</v>
      </c>
      <c r="F522" t="s">
        <v>802</v>
      </c>
      <c r="G522" t="s">
        <v>803</v>
      </c>
      <c r="H522">
        <v>2000</v>
      </c>
    </row>
    <row r="523" spans="1:8" x14ac:dyDescent="0.25">
      <c r="A523" t="s">
        <v>13</v>
      </c>
      <c r="B523" t="s">
        <v>808</v>
      </c>
      <c r="C523" t="s">
        <v>809</v>
      </c>
      <c r="D523">
        <v>102</v>
      </c>
      <c r="E523" t="s">
        <v>11</v>
      </c>
      <c r="F523" t="s">
        <v>368</v>
      </c>
      <c r="G523" t="s">
        <v>810</v>
      </c>
      <c r="H523">
        <v>2</v>
      </c>
    </row>
    <row r="524" spans="1:8" x14ac:dyDescent="0.25">
      <c r="A524" t="s">
        <v>13</v>
      </c>
      <c r="B524" t="s">
        <v>811</v>
      </c>
      <c r="C524" t="s">
        <v>812</v>
      </c>
      <c r="D524">
        <v>102</v>
      </c>
      <c r="E524" t="s">
        <v>11</v>
      </c>
      <c r="F524" t="s">
        <v>368</v>
      </c>
      <c r="G524" t="s">
        <v>810</v>
      </c>
      <c r="H52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Inventario al 24 Abril 2019</vt:lpstr>
      <vt:lpstr>Ventas 2018- 2019</vt:lpstr>
      <vt:lpstr>ExistenciaenSAP_TIENDA1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Ninoshka Sanchez</dc:creator>
  <cp:lastModifiedBy>Ninoshka Sanchez</cp:lastModifiedBy>
  <dcterms:created xsi:type="dcterms:W3CDTF">2019-04-24T14:31:58Z</dcterms:created>
  <dcterms:modified xsi:type="dcterms:W3CDTF">2019-04-24T15:18:29Z</dcterms:modified>
</cp:coreProperties>
</file>