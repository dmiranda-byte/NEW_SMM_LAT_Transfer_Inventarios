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"/>
    </mc:Choice>
  </mc:AlternateContent>
  <xr:revisionPtr revIDLastSave="0" documentId="8_{DFE59143-743E-4E46-BCB5-5A1E3C0176D7}" xr6:coauthVersionLast="45" xr6:coauthVersionMax="45" xr10:uidLastSave="{00000000-0000-0000-0000-000000000000}"/>
  <bookViews>
    <workbookView xWindow="-120" yWindow="-120" windowWidth="20730" windowHeight="11160" xr2:uid="{D52CCB23-9397-4FD8-A15C-8C7932EE3352}"/>
  </bookViews>
  <sheets>
    <sheet name="Watches" sheetId="4" r:id="rId1"/>
    <sheet name="Sunglasses" sheetId="3" r:id="rId2"/>
  </sheets>
  <definedNames>
    <definedName name="_xlnm._FilterDatabase" localSheetId="1" hidden="1">Sunglasses!$A$2:$S$2</definedName>
    <definedName name="_xlnm._FilterDatabase" localSheetId="0" hidden="1">Watches!$A$2:$R$2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3" i="3" l="1"/>
  <c r="J4" i="3"/>
  <c r="J5" i="3"/>
  <c r="J8" i="3"/>
  <c r="J9" i="3"/>
  <c r="J12" i="3"/>
  <c r="J13" i="3"/>
  <c r="J16" i="3"/>
  <c r="J17" i="3"/>
  <c r="J20" i="3"/>
  <c r="J24" i="3"/>
  <c r="J28" i="3"/>
  <c r="J32" i="3"/>
  <c r="J27" i="3" l="1"/>
  <c r="J3" i="3"/>
  <c r="J30" i="3"/>
  <c r="J26" i="3"/>
  <c r="J22" i="3"/>
  <c r="J18" i="3"/>
  <c r="J14" i="3"/>
  <c r="J10" i="3"/>
  <c r="J6" i="3"/>
  <c r="J31" i="3"/>
  <c r="J23" i="3"/>
  <c r="J19" i="3"/>
  <c r="J15" i="3"/>
  <c r="J11" i="3"/>
  <c r="J7" i="3"/>
  <c r="J29" i="3"/>
  <c r="J25" i="3"/>
  <c r="J21" i="3"/>
  <c r="Q22" i="3"/>
  <c r="E33" i="3"/>
  <c r="Q4" i="3" l="1"/>
  <c r="Q27" i="3"/>
  <c r="P14" i="4" l="1"/>
  <c r="P17" i="4"/>
  <c r="P16" i="4"/>
  <c r="Q20" i="3"/>
  <c r="H33" i="3"/>
  <c r="F33" i="3"/>
  <c r="G33" i="3" l="1"/>
  <c r="P23" i="3" s="1"/>
  <c r="B33" i="3"/>
  <c r="I33" i="3"/>
  <c r="G18" i="4" l="1"/>
  <c r="H18" i="4"/>
  <c r="F18" i="4"/>
  <c r="O16" i="4" s="1"/>
  <c r="E18" i="4"/>
  <c r="P15" i="4"/>
  <c r="B18" i="4"/>
  <c r="C18" i="4"/>
  <c r="D18" i="4"/>
  <c r="J18" i="4"/>
  <c r="K18" i="4"/>
  <c r="L18" i="4"/>
  <c r="M18" i="4"/>
  <c r="N18" i="4"/>
  <c r="Q3" i="3"/>
  <c r="O17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3" i="4"/>
  <c r="D33" i="3"/>
  <c r="C33" i="3"/>
  <c r="I18" i="4" l="1"/>
  <c r="P4" i="4"/>
  <c r="P5" i="4"/>
  <c r="P6" i="4"/>
  <c r="P7" i="4"/>
  <c r="P8" i="4"/>
  <c r="P9" i="4"/>
  <c r="P10" i="4"/>
  <c r="P11" i="4"/>
  <c r="P12" i="4"/>
  <c r="P13" i="4"/>
  <c r="P3" i="4"/>
  <c r="P18" i="4"/>
  <c r="O6" i="4"/>
  <c r="Q8" i="3"/>
  <c r="Q15" i="3"/>
  <c r="Q16" i="3"/>
  <c r="Q21" i="3"/>
  <c r="Q13" i="3"/>
  <c r="Q7" i="3"/>
  <c r="Q9" i="3"/>
  <c r="Q17" i="3"/>
  <c r="Q29" i="3"/>
  <c r="Q11" i="3"/>
  <c r="Q26" i="3"/>
  <c r="Q24" i="3"/>
  <c r="O3" i="4" l="1"/>
  <c r="O13" i="4"/>
  <c r="O9" i="4"/>
  <c r="O5" i="4"/>
  <c r="O18" i="4"/>
  <c r="O12" i="4"/>
  <c r="O8" i="4"/>
  <c r="O4" i="4"/>
  <c r="O15" i="4"/>
  <c r="O11" i="4"/>
  <c r="O7" i="4"/>
  <c r="O14" i="4"/>
  <c r="O10" i="4"/>
  <c r="J33" i="3"/>
  <c r="Q14" i="3"/>
  <c r="Q12" i="3"/>
  <c r="Q30" i="3"/>
  <c r="Q5" i="3"/>
  <c r="Q10" i="3"/>
  <c r="Q6" i="3"/>
  <c r="Q19" i="3"/>
  <c r="Q25" i="3"/>
  <c r="Q31" i="3"/>
  <c r="Q28" i="3"/>
  <c r="Q18" i="3"/>
  <c r="P3" i="3"/>
  <c r="Q33" i="3" l="1"/>
  <c r="P33" i="3"/>
  <c r="P27" i="3"/>
  <c r="P18" i="3"/>
  <c r="P10" i="3"/>
  <c r="P30" i="3"/>
  <c r="P14" i="3"/>
  <c r="P28" i="3"/>
  <c r="P25" i="3"/>
  <c r="P5" i="3"/>
  <c r="P16" i="3"/>
  <c r="P13" i="3"/>
  <c r="P24" i="3"/>
  <c r="P17" i="3"/>
  <c r="P22" i="3"/>
  <c r="P26" i="3"/>
  <c r="P11" i="3"/>
  <c r="P21" i="3"/>
  <c r="P12" i="3"/>
  <c r="P19" i="3"/>
  <c r="P7" i="3"/>
  <c r="P9" i="3"/>
  <c r="P29" i="3"/>
  <c r="P8" i="3"/>
  <c r="P31" i="3"/>
  <c r="P4" i="3"/>
  <c r="P15" i="3"/>
  <c r="P6" i="3"/>
  <c r="P20" i="3"/>
</calcChain>
</file>

<file path=xl/sharedStrings.xml><?xml version="1.0" encoding="utf-8"?>
<sst xmlns="http://schemas.openxmlformats.org/spreadsheetml/2006/main" count="109" uniqueCount="76">
  <si>
    <t>Marca</t>
  </si>
  <si>
    <t>ARMANI EXCHANGE</t>
  </si>
  <si>
    <t>ARNETTE</t>
  </si>
  <si>
    <t>B+D</t>
  </si>
  <si>
    <t>BULB BOTZ</t>
  </si>
  <si>
    <t>BURBERRY</t>
  </si>
  <si>
    <t>CARRERA</t>
  </si>
  <si>
    <t>CASIO</t>
  </si>
  <si>
    <t>CITIZEN</t>
  </si>
  <si>
    <t>COSTA DEL MAR</t>
  </si>
  <si>
    <t>DIESEL</t>
  </si>
  <si>
    <t>DOLCE GABBANA</t>
  </si>
  <si>
    <t>FOSSIL</t>
  </si>
  <si>
    <t>GUCCI</t>
  </si>
  <si>
    <t>GUESS</t>
  </si>
  <si>
    <t>LEGO</t>
  </si>
  <si>
    <t>MAUI JIM</t>
  </si>
  <si>
    <t>MCQ</t>
  </si>
  <si>
    <t>MICHAEL KORS</t>
  </si>
  <si>
    <t>OAKLEY</t>
  </si>
  <si>
    <t>OAKLEY JR</t>
  </si>
  <si>
    <t>POLAROID</t>
  </si>
  <si>
    <t>POLAROID KIDS</t>
  </si>
  <si>
    <t>PRADA</t>
  </si>
  <si>
    <t>PRADA SPORT</t>
  </si>
  <si>
    <t>PUMA</t>
  </si>
  <si>
    <t>RALPH</t>
  </si>
  <si>
    <t>RAY BAN</t>
  </si>
  <si>
    <t>RAY BAN JUNIOR</t>
  </si>
  <si>
    <t>SAINT LAURENT</t>
  </si>
  <si>
    <t>SKAGEN</t>
  </si>
  <si>
    <t>STELLA MCCARTNEY JR</t>
  </si>
  <si>
    <t>SWATCH</t>
  </si>
  <si>
    <t>TAG HEUER</t>
  </si>
  <si>
    <t>TOM FORD</t>
  </si>
  <si>
    <t>TOMMY HILFIGER</t>
  </si>
  <si>
    <t>VERSACE</t>
  </si>
  <si>
    <t>Total general</t>
  </si>
  <si>
    <t>CODIGOS</t>
  </si>
  <si>
    <t>INVENTARIO</t>
  </si>
  <si>
    <t>ACTIVOS</t>
  </si>
  <si>
    <t xml:space="preserve"> CON INV COLON</t>
  </si>
  <si>
    <t>CON INV. EN TOCUMEN</t>
  </si>
  <si>
    <t>EXHIBICION MAXIMA</t>
  </si>
  <si>
    <t>UNIDADES</t>
  </si>
  <si>
    <t>DOLARES</t>
  </si>
  <si>
    <t>TOTAL BODEGAS + TRANSITO Tocumen</t>
  </si>
  <si>
    <t>COLON</t>
  </si>
  <si>
    <t>ON ORDER COLON</t>
  </si>
  <si>
    <t>BODEGAS TOC</t>
  </si>
  <si>
    <t>ON ORDER TOCUMEN</t>
  </si>
  <si>
    <t>TIENDAS</t>
  </si>
  <si>
    <t>PARTICIPACION</t>
  </si>
  <si>
    <t>COBERTURA VENTA BODEGAS MAS TRANSITO TOCUMEN</t>
  </si>
  <si>
    <t>TOTALES</t>
  </si>
  <si>
    <t>DIOR</t>
  </si>
  <si>
    <t>VALENTINO</t>
  </si>
  <si>
    <t>VENTA PROMEDIO</t>
  </si>
  <si>
    <t>LONGINES</t>
  </si>
  <si>
    <t>TISSOT</t>
  </si>
  <si>
    <t>Modelos DOT se quedan sin inventario, ajustar compras.</t>
  </si>
  <si>
    <t>Considerar colocar marca en Gondola contemplando que Porlaroid, Carrera y Tommy  no tiene Inventario.</t>
  </si>
  <si>
    <t xml:space="preserve">VENTA DICIEMBRE PROYECTADO </t>
  </si>
  <si>
    <t>Falta variedad, se incluyó en una tienda nueva.</t>
  </si>
  <si>
    <t>Falta Inventario, exhibiciones reducidas.</t>
  </si>
  <si>
    <t>Falta Variedad, exhibiciones con piezas repetidas para cubrir.</t>
  </si>
  <si>
    <t>Se retiró la marca de una tienda.</t>
  </si>
  <si>
    <t>Marca descontinuada, considerar rematar y colocar MCQ.</t>
  </si>
  <si>
    <t>se colocó en descuento, se verificara la venta.</t>
  </si>
  <si>
    <t>Inventario defectuoso, con el 30% no se vendería.</t>
  </si>
  <si>
    <t>MARCA DESCONTINUADA, Considerar incluir otra marca  de reojes.</t>
  </si>
  <si>
    <t>considerar revisar inventario.</t>
  </si>
  <si>
    <t>Inventario actual no resistirá el mes de enero.</t>
  </si>
  <si>
    <t>MARCA DESCONTINUADA,revisrar On Order.</t>
  </si>
  <si>
    <t>Se recibio reposicion, sin embargo no se despacharon los manuales y garantias.</t>
  </si>
  <si>
    <t>Importante que se actualize la reposicion.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</si>
</sst>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81">
    <xf numFmtId="0" fontId="0" fillId="0" borderId="0" xfId="0"/>
    <xf numFmtId="0" fontId="5" fillId="2" borderId="0" xfId="3" applyFont="1" applyFill="1"/>
    <xf numFmtId="3" fontId="6" fillId="2" borderId="0" xfId="3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center"/>
    </xf>
    <xf numFmtId="0" fontId="3" fillId="3" borderId="0" xfId="3" applyFont="1" applyFill="1"/>
    <xf numFmtId="0" fontId="3" fillId="0" borderId="0" xfId="3" applyFont="1" applyAlignment="1">
      <alignment wrapText="1"/>
    </xf>
    <xf numFmtId="0" fontId="6" fillId="2" borderId="5" xfId="3" applyFont="1" applyFill="1" applyBorder="1" applyAlignment="1">
      <alignment wrapText="1"/>
    </xf>
    <xf numFmtId="3" fontId="5" fillId="2" borderId="6" xfId="3" applyNumberFormat="1" applyFont="1" applyFill="1" applyBorder="1" applyAlignment="1">
      <alignment horizontal="center" wrapText="1"/>
    </xf>
    <xf numFmtId="3" fontId="5" fillId="2" borderId="5" xfId="3" applyNumberFormat="1" applyFont="1" applyFill="1" applyBorder="1" applyAlignment="1">
      <alignment horizontal="center" wrapText="1"/>
    </xf>
    <xf numFmtId="3" fontId="5" fillId="2" borderId="5" xfId="0" applyNumberFormat="1" applyFont="1" applyFill="1" applyBorder="1" applyAlignment="1">
      <alignment horizontal="center" wrapText="1"/>
    </xf>
    <xf numFmtId="3" fontId="5" fillId="2" borderId="5" xfId="0" applyNumberFormat="1" applyFont="1" applyFill="1" applyBorder="1" applyAlignment="1">
      <alignment wrapText="1"/>
    </xf>
    <xf numFmtId="3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3" fontId="3" fillId="0" borderId="5" xfId="3" applyNumberFormat="1" applyFont="1" applyBorder="1" applyAlignment="1">
      <alignment horizontal="center"/>
    </xf>
    <xf numFmtId="3" fontId="3" fillId="0" borderId="5" xfId="1" applyNumberFormat="1" applyFont="1" applyBorder="1" applyAlignment="1">
      <alignment horizontal="center"/>
    </xf>
    <xf numFmtId="9" fontId="3" fillId="0" borderId="5" xfId="2" applyFont="1" applyBorder="1" applyAlignment="1">
      <alignment horizontal="center"/>
    </xf>
    <xf numFmtId="0" fontId="3" fillId="0" borderId="5" xfId="3" applyFont="1" applyBorder="1" applyAlignment="1">
      <alignment wrapText="1"/>
    </xf>
    <xf numFmtId="0" fontId="6" fillId="0" borderId="5" xfId="3" applyFont="1" applyBorder="1"/>
    <xf numFmtId="3" fontId="6" fillId="0" borderId="5" xfId="3" applyNumberFormat="1" applyFont="1" applyBorder="1" applyAlignment="1">
      <alignment horizontal="center"/>
    </xf>
    <xf numFmtId="43" fontId="6" fillId="0" borderId="5" xfId="1" applyFont="1" applyBorder="1"/>
    <xf numFmtId="9" fontId="6" fillId="0" borderId="5" xfId="2" applyFont="1" applyBorder="1" applyAlignment="1">
      <alignment horizontal="center"/>
    </xf>
    <xf numFmtId="3" fontId="6" fillId="0" borderId="5" xfId="1" applyNumberFormat="1" applyFont="1" applyBorder="1" applyAlignment="1">
      <alignment horizontal="center"/>
    </xf>
    <xf numFmtId="0" fontId="6" fillId="0" borderId="5" xfId="3" applyFont="1" applyBorder="1" applyAlignment="1">
      <alignment wrapText="1"/>
    </xf>
    <xf numFmtId="3" fontId="5" fillId="0" borderId="6" xfId="3" applyNumberFormat="1" applyFont="1" applyFill="1" applyBorder="1" applyAlignment="1">
      <alignment horizontal="center" wrapText="1"/>
    </xf>
    <xf numFmtId="3" fontId="5" fillId="0" borderId="5" xfId="0" applyNumberFormat="1" applyFont="1" applyFill="1" applyBorder="1" applyAlignment="1">
      <alignment horizontal="center" wrapText="1"/>
    </xf>
    <xf numFmtId="0" fontId="3" fillId="0" borderId="5" xfId="3" applyFont="1" applyFill="1" applyBorder="1" applyAlignment="1">
      <alignment wrapText="1"/>
    </xf>
    <xf numFmtId="3" fontId="7" fillId="0" borderId="6" xfId="3" applyNumberFormat="1" applyFont="1" applyFill="1" applyBorder="1" applyAlignment="1">
      <alignment horizontal="center" wrapText="1"/>
    </xf>
    <xf numFmtId="3" fontId="7" fillId="0" borderId="5" xfId="3" applyNumberFormat="1" applyFont="1" applyFill="1" applyBorder="1" applyAlignment="1">
      <alignment horizontal="center" wrapText="1"/>
    </xf>
    <xf numFmtId="3" fontId="7" fillId="0" borderId="5" xfId="0" applyNumberFormat="1" applyFont="1" applyFill="1" applyBorder="1" applyAlignment="1">
      <alignment horizontal="center" wrapText="1"/>
    </xf>
    <xf numFmtId="3" fontId="7" fillId="0" borderId="5" xfId="0" applyNumberFormat="1" applyFont="1" applyFill="1" applyBorder="1" applyAlignment="1">
      <alignment horizontal="center"/>
    </xf>
    <xf numFmtId="0" fontId="0" fillId="0" borderId="0" xfId="0" applyFont="1" applyFill="1"/>
    <xf numFmtId="3" fontId="6" fillId="0" borderId="0" xfId="3" applyNumberFormat="1" applyFont="1" applyBorder="1" applyAlignment="1">
      <alignment horizontal="center"/>
    </xf>
    <xf numFmtId="43" fontId="6" fillId="0" borderId="0" xfId="1" applyFont="1" applyBorder="1"/>
    <xf numFmtId="9" fontId="6" fillId="0" borderId="0" xfId="2" applyFont="1" applyBorder="1" applyAlignment="1">
      <alignment horizontal="center"/>
    </xf>
    <xf numFmtId="3" fontId="6" fillId="0" borderId="0" xfId="1" applyNumberFormat="1" applyFont="1" applyBorder="1" applyAlignment="1">
      <alignment horizontal="center"/>
    </xf>
    <xf numFmtId="0" fontId="6" fillId="0" borderId="0" xfId="3" applyFont="1" applyBorder="1" applyAlignment="1">
      <alignment wrapText="1"/>
    </xf>
    <xf numFmtId="43" fontId="5" fillId="2" borderId="5" xfId="1" applyFont="1" applyFill="1" applyBorder="1" applyAlignment="1">
      <alignment wrapText="1"/>
    </xf>
    <xf numFmtId="43" fontId="7" fillId="0" borderId="5" xfId="1" applyFont="1" applyFill="1" applyBorder="1" applyAlignment="1">
      <alignment wrapText="1"/>
    </xf>
    <xf numFmtId="43" fontId="0" fillId="0" borderId="0" xfId="1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left"/>
    </xf>
    <xf numFmtId="1" fontId="0" fillId="0" borderId="5" xfId="0" applyNumberFormat="1" applyBorder="1" applyAlignment="1">
      <alignment horizontal="center"/>
    </xf>
    <xf numFmtId="0" fontId="0" fillId="0" borderId="5" xfId="0" applyBorder="1"/>
    <xf numFmtId="0" fontId="2" fillId="2" borderId="5" xfId="0" applyFont="1" applyFill="1" applyBorder="1" applyAlignment="1">
      <alignment horizontal="left"/>
    </xf>
    <xf numFmtId="1" fontId="2" fillId="2" borderId="5" xfId="0" applyNumberFormat="1" applyFont="1" applyFill="1" applyBorder="1" applyAlignment="1">
      <alignment horizontal="center"/>
    </xf>
    <xf numFmtId="43" fontId="2" fillId="2" borderId="5" xfId="1" applyFont="1" applyFill="1" applyBorder="1" applyAlignment="1">
      <alignment horizontal="center"/>
    </xf>
    <xf numFmtId="9" fontId="2" fillId="2" borderId="5" xfId="2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3" fillId="0" borderId="5" xfId="3" applyFont="1" applyFill="1" applyBorder="1"/>
    <xf numFmtId="0" fontId="3" fillId="0" borderId="0" xfId="3" applyFont="1" applyFill="1" applyBorder="1"/>
    <xf numFmtId="0" fontId="3" fillId="4" borderId="5" xfId="3" applyFont="1" applyFill="1" applyBorder="1"/>
    <xf numFmtId="3" fontId="7" fillId="4" borderId="6" xfId="3" applyNumberFormat="1" applyFont="1" applyFill="1" applyBorder="1" applyAlignment="1">
      <alignment horizontal="center" wrapText="1"/>
    </xf>
    <xf numFmtId="3" fontId="3" fillId="4" borderId="5" xfId="3" applyNumberFormat="1" applyFont="1" applyFill="1" applyBorder="1" applyAlignment="1">
      <alignment horizontal="center"/>
    </xf>
    <xf numFmtId="3" fontId="7" fillId="4" borderId="5" xfId="0" applyNumberFormat="1" applyFont="1" applyFill="1" applyBorder="1" applyAlignment="1">
      <alignment horizontal="center" wrapText="1"/>
    </xf>
    <xf numFmtId="43" fontId="7" fillId="4" borderId="5" xfId="1" applyFont="1" applyFill="1" applyBorder="1" applyAlignment="1">
      <alignment wrapText="1"/>
    </xf>
    <xf numFmtId="1" fontId="0" fillId="4" borderId="5" xfId="0" applyNumberFormat="1" applyFill="1" applyBorder="1" applyAlignment="1">
      <alignment horizontal="center"/>
    </xf>
    <xf numFmtId="3" fontId="7" fillId="4" borderId="5" xfId="0" applyNumberFormat="1" applyFont="1" applyFill="1" applyBorder="1" applyAlignment="1">
      <alignment horizontal="center"/>
    </xf>
    <xf numFmtId="9" fontId="3" fillId="4" borderId="5" xfId="2" applyFont="1" applyFill="1" applyBorder="1" applyAlignment="1">
      <alignment horizontal="center"/>
    </xf>
    <xf numFmtId="3" fontId="3" fillId="4" borderId="5" xfId="1" applyNumberFormat="1" applyFont="1" applyFill="1" applyBorder="1" applyAlignment="1">
      <alignment horizontal="center"/>
    </xf>
    <xf numFmtId="0" fontId="3" fillId="4" borderId="5" xfId="3" applyFont="1" applyFill="1" applyBorder="1" applyAlignment="1">
      <alignment wrapText="1"/>
    </xf>
    <xf numFmtId="3" fontId="7" fillId="4" borderId="5" xfId="3" applyNumberFormat="1" applyFont="1" applyFill="1" applyBorder="1" applyAlignment="1">
      <alignment horizontal="center" wrapText="1"/>
    </xf>
    <xf numFmtId="9" fontId="3" fillId="0" borderId="5" xfId="2" applyFont="1" applyFill="1" applyBorder="1" applyAlignment="1">
      <alignment horizontal="center"/>
    </xf>
    <xf numFmtId="0" fontId="3" fillId="4" borderId="5" xfId="3" applyFont="1" applyFill="1" applyBorder="1" applyAlignment="1">
      <alignment horizontal="center" wrapText="1"/>
    </xf>
    <xf numFmtId="0" fontId="3" fillId="4" borderId="5" xfId="0" applyFont="1" applyFill="1" applyBorder="1"/>
    <xf numFmtId="0" fontId="3" fillId="0" borderId="7" xfId="3" applyFont="1" applyFill="1" applyBorder="1"/>
    <xf numFmtId="3" fontId="3" fillId="0" borderId="7" xfId="3" applyNumberFormat="1" applyFont="1" applyBorder="1" applyAlignment="1">
      <alignment horizontal="center"/>
    </xf>
    <xf numFmtId="0" fontId="0" fillId="0" borderId="5" xfId="0" applyBorder="1" applyAlignment="1">
      <alignment wrapText="1"/>
    </xf>
    <xf numFmtId="3" fontId="3" fillId="0" borderId="5" xfId="3" applyNumberFormat="1" applyFont="1" applyFill="1" applyBorder="1" applyAlignment="1">
      <alignment horizontal="center"/>
    </xf>
    <xf numFmtId="1" fontId="0" fillId="0" borderId="5" xfId="0" applyNumberFormat="1" applyFill="1" applyBorder="1" applyAlignment="1">
      <alignment horizontal="center"/>
    </xf>
    <xf numFmtId="3" fontId="3" fillId="0" borderId="5" xfId="1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0" fontId="0" fillId="4" borderId="5" xfId="0" applyFill="1" applyBorder="1"/>
    <xf numFmtId="0" fontId="6" fillId="2" borderId="5" xfId="3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" fontId="5" fillId="2" borderId="4" xfId="3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wrapText="1"/>
    </xf>
    <xf numFmtId="0" fontId="6" fillId="2" borderId="1" xfId="3" applyFont="1" applyFill="1" applyBorder="1" applyAlignment="1">
      <alignment horizontal="center"/>
    </xf>
    <xf numFmtId="0" fontId="6" fillId="2" borderId="2" xfId="3" applyFont="1" applyFill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</cellXfs>
  <cellStyles count="4">
    <cellStyle name="Millares" xfId="1" builtinId="3"/>
    <cellStyle name="Normal" xfId="0" builtinId="0"/>
    <cellStyle name="Normal 2" xfId="3" xr:uid="{AA064E06-9D6D-48AE-8599-F26E59922B2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E893-A842-4E7F-8AF4-A2CACF90471D}">
  <dimension ref="A1:Q1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4" sqref="H4"/>
    </sheetView>
  </sheetViews>
  <sheetFormatPr baseColWidth="10" defaultRowHeight="15" x14ac:dyDescent="0.25"/>
  <cols>
    <col min="1" max="1" width="18.5703125" bestFit="1" customWidth="1"/>
    <col min="2" max="4" width="11.42578125" style="39"/>
    <col min="6" max="8" width="11.42578125" style="38"/>
    <col min="10" max="14" width="11.42578125" style="39"/>
    <col min="17" max="17" width="87.7109375" bestFit="1" customWidth="1"/>
  </cols>
  <sheetData>
    <row r="1" spans="1:17" ht="31.5" customHeight="1" x14ac:dyDescent="0.25">
      <c r="A1" s="1"/>
      <c r="B1" s="72" t="s">
        <v>38</v>
      </c>
      <c r="C1" s="72"/>
      <c r="D1" s="72"/>
      <c r="E1" s="73" t="s">
        <v>57</v>
      </c>
      <c r="F1" s="73"/>
      <c r="G1" s="75" t="s">
        <v>62</v>
      </c>
      <c r="H1" s="75"/>
      <c r="I1" s="3"/>
      <c r="J1" s="74" t="s">
        <v>39</v>
      </c>
      <c r="K1" s="74"/>
      <c r="L1" s="74"/>
      <c r="M1" s="74"/>
      <c r="N1" s="3"/>
      <c r="O1" s="4"/>
      <c r="P1" s="3"/>
      <c r="Q1" s="5"/>
    </row>
    <row r="2" spans="1:17" ht="90" x14ac:dyDescent="0.25">
      <c r="A2" s="6" t="s">
        <v>0</v>
      </c>
      <c r="B2" s="7" t="s">
        <v>40</v>
      </c>
      <c r="C2" s="7" t="s">
        <v>41</v>
      </c>
      <c r="D2" s="7" t="s">
        <v>42</v>
      </c>
      <c r="E2" s="9" t="s">
        <v>44</v>
      </c>
      <c r="F2" s="36" t="s">
        <v>45</v>
      </c>
      <c r="G2" s="9" t="s">
        <v>44</v>
      </c>
      <c r="H2" s="36" t="s">
        <v>45</v>
      </c>
      <c r="I2" s="10" t="s">
        <v>46</v>
      </c>
      <c r="J2" s="11" t="s">
        <v>47</v>
      </c>
      <c r="K2" s="9" t="s">
        <v>48</v>
      </c>
      <c r="L2" s="11" t="s">
        <v>49</v>
      </c>
      <c r="M2" s="9" t="s">
        <v>50</v>
      </c>
      <c r="N2" s="9" t="s">
        <v>51</v>
      </c>
      <c r="O2" s="12" t="s">
        <v>52</v>
      </c>
      <c r="P2" s="9" t="s">
        <v>53</v>
      </c>
      <c r="Q2" s="9"/>
    </row>
    <row r="3" spans="1:17" x14ac:dyDescent="0.25">
      <c r="A3" s="40" t="s">
        <v>33</v>
      </c>
      <c r="B3" s="26">
        <v>85</v>
      </c>
      <c r="C3" s="26">
        <v>1</v>
      </c>
      <c r="D3" s="26">
        <v>60</v>
      </c>
      <c r="E3" s="28">
        <v>19</v>
      </c>
      <c r="F3" s="37">
        <v>32735.500000000004</v>
      </c>
      <c r="G3" s="28">
        <v>25.655172413793103</v>
      </c>
      <c r="H3" s="37">
        <v>36666.586206896551</v>
      </c>
      <c r="I3" s="41">
        <f>L3+M3+J3</f>
        <v>16</v>
      </c>
      <c r="J3" s="29">
        <v>1</v>
      </c>
      <c r="K3" s="28">
        <v>85</v>
      </c>
      <c r="L3" s="29">
        <v>7</v>
      </c>
      <c r="M3" s="29">
        <v>8</v>
      </c>
      <c r="N3" s="28">
        <v>90</v>
      </c>
      <c r="O3" s="15">
        <f t="shared" ref="O3:O18" si="0">F3/$F$18</f>
        <v>0.27180836486911242</v>
      </c>
      <c r="P3" s="14">
        <f t="shared" ref="P3:P16" si="1">(J3+L3+M3)/E3</f>
        <v>0.84210526315789469</v>
      </c>
      <c r="Q3" s="66" t="s">
        <v>74</v>
      </c>
    </row>
    <row r="4" spans="1:17" x14ac:dyDescent="0.25">
      <c r="A4" s="40" t="s">
        <v>12</v>
      </c>
      <c r="B4" s="26">
        <v>122</v>
      </c>
      <c r="C4" s="26">
        <v>29</v>
      </c>
      <c r="D4" s="26">
        <v>87</v>
      </c>
      <c r="E4" s="28">
        <v>110.66666666666667</v>
      </c>
      <c r="F4" s="37">
        <v>12817.503333333332</v>
      </c>
      <c r="G4" s="28">
        <v>223.41379310344828</v>
      </c>
      <c r="H4" s="37">
        <v>25354.846551724135</v>
      </c>
      <c r="I4" s="41">
        <f t="shared" ref="I4:I17" si="2">L4+M4+J4</f>
        <v>391</v>
      </c>
      <c r="J4" s="29">
        <v>183</v>
      </c>
      <c r="K4" s="28">
        <v>122</v>
      </c>
      <c r="L4" s="29">
        <v>146</v>
      </c>
      <c r="M4" s="29">
        <v>62</v>
      </c>
      <c r="N4" s="28">
        <v>260</v>
      </c>
      <c r="O4" s="15">
        <f t="shared" si="0"/>
        <v>0.10642588696484644</v>
      </c>
      <c r="P4" s="14">
        <f t="shared" si="1"/>
        <v>3.5331325301204819</v>
      </c>
      <c r="Q4" s="42"/>
    </row>
    <row r="5" spans="1:17" x14ac:dyDescent="0.25">
      <c r="A5" s="40" t="s">
        <v>8</v>
      </c>
      <c r="B5" s="26">
        <v>97</v>
      </c>
      <c r="C5" s="26">
        <v>1</v>
      </c>
      <c r="D5" s="26">
        <v>77</v>
      </c>
      <c r="E5" s="28">
        <v>27.666666666666668</v>
      </c>
      <c r="F5" s="37">
        <v>7782.3999999999978</v>
      </c>
      <c r="G5" s="28">
        <v>24.586206896551726</v>
      </c>
      <c r="H5" s="37">
        <v>6320.6327586206889</v>
      </c>
      <c r="I5" s="41">
        <f t="shared" si="2"/>
        <v>29</v>
      </c>
      <c r="J5" s="29">
        <v>1</v>
      </c>
      <c r="K5" s="28">
        <v>97</v>
      </c>
      <c r="L5" s="29">
        <v>28</v>
      </c>
      <c r="M5" s="29">
        <v>0</v>
      </c>
      <c r="N5" s="28">
        <v>118</v>
      </c>
      <c r="O5" s="15">
        <f t="shared" si="0"/>
        <v>6.4618576736490338E-2</v>
      </c>
      <c r="P5" s="14">
        <f t="shared" si="1"/>
        <v>1.0481927710843373</v>
      </c>
      <c r="Q5" s="42"/>
    </row>
    <row r="6" spans="1:17" x14ac:dyDescent="0.25">
      <c r="A6" s="40" t="s">
        <v>18</v>
      </c>
      <c r="B6" s="26">
        <v>134</v>
      </c>
      <c r="C6" s="26">
        <v>2</v>
      </c>
      <c r="D6" s="26">
        <v>72</v>
      </c>
      <c r="E6" s="28">
        <v>22</v>
      </c>
      <c r="F6" s="37">
        <v>4811.3466666666664</v>
      </c>
      <c r="G6" s="28">
        <v>45.96551724137931</v>
      </c>
      <c r="H6" s="37">
        <v>9354.5279310344831</v>
      </c>
      <c r="I6" s="41">
        <f t="shared" si="2"/>
        <v>49</v>
      </c>
      <c r="J6" s="29">
        <v>8</v>
      </c>
      <c r="K6" s="28">
        <v>134</v>
      </c>
      <c r="L6" s="29">
        <v>41</v>
      </c>
      <c r="M6" s="29">
        <v>0</v>
      </c>
      <c r="N6" s="28">
        <v>149</v>
      </c>
      <c r="O6" s="15">
        <f t="shared" si="0"/>
        <v>3.9949420973717245E-2</v>
      </c>
      <c r="P6" s="14">
        <f t="shared" si="1"/>
        <v>2.2272727272727271</v>
      </c>
      <c r="Q6" s="42"/>
    </row>
    <row r="7" spans="1:17" x14ac:dyDescent="0.25">
      <c r="A7" s="40" t="s">
        <v>35</v>
      </c>
      <c r="B7" s="26">
        <v>113</v>
      </c>
      <c r="C7" s="26">
        <v>33</v>
      </c>
      <c r="D7" s="26">
        <v>105</v>
      </c>
      <c r="E7" s="28">
        <v>53.666666666666664</v>
      </c>
      <c r="F7" s="37">
        <v>6976.0566666666664</v>
      </c>
      <c r="G7" s="28">
        <v>64.137931034482762</v>
      </c>
      <c r="H7" s="37">
        <v>7595</v>
      </c>
      <c r="I7" s="41">
        <f t="shared" si="2"/>
        <v>423</v>
      </c>
      <c r="J7" s="29">
        <v>132</v>
      </c>
      <c r="K7" s="28">
        <v>113</v>
      </c>
      <c r="L7" s="29">
        <v>281</v>
      </c>
      <c r="M7" s="29">
        <v>10</v>
      </c>
      <c r="N7" s="28">
        <v>177</v>
      </c>
      <c r="O7" s="15">
        <f t="shared" si="0"/>
        <v>5.792337235725549E-2</v>
      </c>
      <c r="P7" s="14">
        <f t="shared" si="1"/>
        <v>7.8819875776397517</v>
      </c>
      <c r="Q7" s="42"/>
    </row>
    <row r="8" spans="1:17" x14ac:dyDescent="0.25">
      <c r="A8" s="40" t="s">
        <v>7</v>
      </c>
      <c r="B8" s="26">
        <v>79</v>
      </c>
      <c r="C8" s="26">
        <v>4</v>
      </c>
      <c r="D8" s="26">
        <v>54</v>
      </c>
      <c r="E8" s="28">
        <v>46.333333333333336</v>
      </c>
      <c r="F8" s="37">
        <v>5686.68</v>
      </c>
      <c r="G8" s="28">
        <v>28.862068965517242</v>
      </c>
      <c r="H8" s="37">
        <v>4075.751724137931</v>
      </c>
      <c r="I8" s="41">
        <f t="shared" si="2"/>
        <v>54</v>
      </c>
      <c r="J8" s="29">
        <v>12</v>
      </c>
      <c r="K8" s="28">
        <v>79</v>
      </c>
      <c r="L8" s="29">
        <v>41</v>
      </c>
      <c r="M8" s="29">
        <v>1</v>
      </c>
      <c r="N8" s="28">
        <v>91</v>
      </c>
      <c r="O8" s="15">
        <f t="shared" si="0"/>
        <v>4.7217460931828874E-2</v>
      </c>
      <c r="P8" s="14">
        <f t="shared" si="1"/>
        <v>1.1654676258992804</v>
      </c>
      <c r="Q8" s="42"/>
    </row>
    <row r="9" spans="1:17" x14ac:dyDescent="0.25">
      <c r="A9" s="40" t="s">
        <v>32</v>
      </c>
      <c r="B9" s="26">
        <v>214</v>
      </c>
      <c r="C9" s="26">
        <v>23</v>
      </c>
      <c r="D9" s="26">
        <v>179</v>
      </c>
      <c r="E9" s="28">
        <v>181.33333333333334</v>
      </c>
      <c r="F9" s="37">
        <v>15087.623333333331</v>
      </c>
      <c r="G9" s="28">
        <v>161.41379310344828</v>
      </c>
      <c r="H9" s="37">
        <v>13799.810344827585</v>
      </c>
      <c r="I9" s="41">
        <f t="shared" si="2"/>
        <v>359</v>
      </c>
      <c r="J9" s="29">
        <v>52</v>
      </c>
      <c r="K9" s="28">
        <v>214</v>
      </c>
      <c r="L9" s="29">
        <v>304</v>
      </c>
      <c r="M9" s="29">
        <v>3</v>
      </c>
      <c r="N9" s="28">
        <v>226</v>
      </c>
      <c r="O9" s="15">
        <f t="shared" si="0"/>
        <v>0.1252750753156176</v>
      </c>
      <c r="P9" s="14">
        <f t="shared" si="1"/>
        <v>1.9797794117647058</v>
      </c>
      <c r="Q9" s="42"/>
    </row>
    <row r="10" spans="1:17" x14ac:dyDescent="0.25">
      <c r="A10" s="70" t="s">
        <v>15</v>
      </c>
      <c r="B10" s="51">
        <v>35</v>
      </c>
      <c r="C10" s="51">
        <v>10</v>
      </c>
      <c r="D10" s="51">
        <v>28</v>
      </c>
      <c r="E10" s="53">
        <v>174.66666666666666</v>
      </c>
      <c r="F10" s="54">
        <v>4464.8200000000006</v>
      </c>
      <c r="G10" s="53">
        <v>128.27586206896552</v>
      </c>
      <c r="H10" s="54">
        <v>3506.8482758620694</v>
      </c>
      <c r="I10" s="55">
        <f t="shared" si="2"/>
        <v>133</v>
      </c>
      <c r="J10" s="56">
        <v>47</v>
      </c>
      <c r="K10" s="53">
        <v>35</v>
      </c>
      <c r="L10" s="56">
        <v>75</v>
      </c>
      <c r="M10" s="56">
        <v>11</v>
      </c>
      <c r="N10" s="53">
        <v>188</v>
      </c>
      <c r="O10" s="57">
        <f t="shared" si="0"/>
        <v>3.7072151750696052E-2</v>
      </c>
      <c r="P10" s="58">
        <f t="shared" si="1"/>
        <v>0.76145038167938939</v>
      </c>
      <c r="Q10" s="71" t="s">
        <v>71</v>
      </c>
    </row>
    <row r="11" spans="1:17" x14ac:dyDescent="0.25">
      <c r="A11" s="70" t="s">
        <v>14</v>
      </c>
      <c r="B11" s="51">
        <v>206</v>
      </c>
      <c r="C11" s="51">
        <v>1</v>
      </c>
      <c r="D11" s="51">
        <v>76</v>
      </c>
      <c r="E11" s="53">
        <v>37.333333333333336</v>
      </c>
      <c r="F11" s="54">
        <v>5326.63</v>
      </c>
      <c r="G11" s="53">
        <v>76.965517241379317</v>
      </c>
      <c r="H11" s="54">
        <v>9744.9034482758616</v>
      </c>
      <c r="I11" s="55">
        <f t="shared" si="2"/>
        <v>47</v>
      </c>
      <c r="J11" s="56">
        <v>1</v>
      </c>
      <c r="K11" s="53">
        <v>206</v>
      </c>
      <c r="L11" s="56">
        <v>46</v>
      </c>
      <c r="M11" s="56">
        <v>0</v>
      </c>
      <c r="N11" s="53">
        <v>98</v>
      </c>
      <c r="O11" s="57">
        <f t="shared" si="0"/>
        <v>4.4227905196583532E-2</v>
      </c>
      <c r="P11" s="58">
        <f t="shared" si="1"/>
        <v>1.2589285714285714</v>
      </c>
      <c r="Q11" s="71" t="s">
        <v>75</v>
      </c>
    </row>
    <row r="12" spans="1:17" x14ac:dyDescent="0.25">
      <c r="A12" s="40" t="s">
        <v>10</v>
      </c>
      <c r="B12" s="26">
        <v>65</v>
      </c>
      <c r="C12" s="26">
        <v>18</v>
      </c>
      <c r="D12" s="26">
        <v>54</v>
      </c>
      <c r="E12" s="28">
        <v>17.666666666666668</v>
      </c>
      <c r="F12" s="37">
        <v>2810.9633333333331</v>
      </c>
      <c r="G12" s="28">
        <v>24.586206896551726</v>
      </c>
      <c r="H12" s="37">
        <v>4379.99</v>
      </c>
      <c r="I12" s="41">
        <f t="shared" si="2"/>
        <v>158</v>
      </c>
      <c r="J12" s="29">
        <v>49</v>
      </c>
      <c r="K12" s="28">
        <v>65</v>
      </c>
      <c r="L12" s="29">
        <v>109</v>
      </c>
      <c r="M12" s="29">
        <v>0</v>
      </c>
      <c r="N12" s="28">
        <v>48</v>
      </c>
      <c r="O12" s="15">
        <f t="shared" si="0"/>
        <v>2.3339901554592507E-2</v>
      </c>
      <c r="P12" s="14">
        <f t="shared" si="1"/>
        <v>8.9433962264150946</v>
      </c>
      <c r="Q12" s="42"/>
    </row>
    <row r="13" spans="1:17" x14ac:dyDescent="0.25">
      <c r="A13" s="70" t="s">
        <v>1</v>
      </c>
      <c r="B13" s="51">
        <v>9</v>
      </c>
      <c r="C13" s="51">
        <v>0</v>
      </c>
      <c r="D13" s="51">
        <v>1</v>
      </c>
      <c r="E13" s="53"/>
      <c r="F13" s="54"/>
      <c r="G13" s="53"/>
      <c r="H13" s="54"/>
      <c r="I13" s="55">
        <f t="shared" si="2"/>
        <v>0</v>
      </c>
      <c r="J13" s="56">
        <v>0</v>
      </c>
      <c r="K13" s="53">
        <v>9</v>
      </c>
      <c r="L13" s="56">
        <v>0</v>
      </c>
      <c r="M13" s="56">
        <v>0</v>
      </c>
      <c r="N13" s="53">
        <v>1</v>
      </c>
      <c r="O13" s="57">
        <f t="shared" si="0"/>
        <v>0</v>
      </c>
      <c r="P13" s="58" t="e">
        <f t="shared" si="1"/>
        <v>#DIV/0!</v>
      </c>
      <c r="Q13" s="71" t="s">
        <v>73</v>
      </c>
    </row>
    <row r="14" spans="1:17" x14ac:dyDescent="0.25">
      <c r="A14" s="40" t="s">
        <v>4</v>
      </c>
      <c r="B14" s="26">
        <v>9</v>
      </c>
      <c r="C14" s="26">
        <v>6</v>
      </c>
      <c r="D14" s="26">
        <v>7</v>
      </c>
      <c r="E14" s="28">
        <v>44.333333333333336</v>
      </c>
      <c r="F14" s="37">
        <v>1112.1566666666668</v>
      </c>
      <c r="G14" s="28">
        <v>22.448275862068964</v>
      </c>
      <c r="H14" s="37">
        <v>595.19999999999993</v>
      </c>
      <c r="I14" s="41">
        <f t="shared" si="2"/>
        <v>90</v>
      </c>
      <c r="J14" s="29">
        <v>55</v>
      </c>
      <c r="K14" s="28">
        <v>9</v>
      </c>
      <c r="L14" s="29">
        <v>32</v>
      </c>
      <c r="M14" s="29">
        <v>3</v>
      </c>
      <c r="N14" s="28">
        <v>30</v>
      </c>
      <c r="O14" s="15">
        <f t="shared" si="0"/>
        <v>9.2344239447984342E-3</v>
      </c>
      <c r="P14" s="14">
        <f>(J14+L14+M14)/E14</f>
        <v>2.0300751879699246</v>
      </c>
      <c r="Q14" s="42"/>
    </row>
    <row r="15" spans="1:17" x14ac:dyDescent="0.25">
      <c r="A15" s="40" t="s">
        <v>30</v>
      </c>
      <c r="B15" s="26">
        <v>4</v>
      </c>
      <c r="C15" s="26">
        <v>0</v>
      </c>
      <c r="D15" s="26">
        <v>3</v>
      </c>
      <c r="E15" s="28">
        <v>5.333333333333333</v>
      </c>
      <c r="F15" s="37">
        <v>425</v>
      </c>
      <c r="G15" s="28">
        <v>3.2068965517241379</v>
      </c>
      <c r="H15" s="37">
        <v>303.05172413793105</v>
      </c>
      <c r="I15" s="41">
        <f t="shared" si="2"/>
        <v>0</v>
      </c>
      <c r="J15" s="29">
        <v>0</v>
      </c>
      <c r="K15" s="28">
        <v>4</v>
      </c>
      <c r="L15" s="29">
        <v>0</v>
      </c>
      <c r="M15" s="29">
        <v>0</v>
      </c>
      <c r="N15" s="28">
        <v>4</v>
      </c>
      <c r="O15" s="15">
        <f t="shared" si="0"/>
        <v>3.5288465143154301E-3</v>
      </c>
      <c r="P15" s="14">
        <f t="shared" si="1"/>
        <v>0</v>
      </c>
      <c r="Q15" s="42" t="s">
        <v>70</v>
      </c>
    </row>
    <row r="16" spans="1:17" x14ac:dyDescent="0.25">
      <c r="A16" s="40" t="s">
        <v>58</v>
      </c>
      <c r="B16" s="26">
        <v>94</v>
      </c>
      <c r="C16" s="26">
        <v>13</v>
      </c>
      <c r="D16" s="26">
        <v>28</v>
      </c>
      <c r="E16" s="28">
        <v>8.5</v>
      </c>
      <c r="F16" s="37">
        <v>10825</v>
      </c>
      <c r="G16" s="28">
        <v>6.4137931034482758</v>
      </c>
      <c r="H16" s="37">
        <v>8845.6896551724149</v>
      </c>
      <c r="I16" s="41">
        <f t="shared" si="2"/>
        <v>14</v>
      </c>
      <c r="J16" s="29">
        <v>14</v>
      </c>
      <c r="K16" s="28">
        <v>94</v>
      </c>
      <c r="L16" s="29">
        <v>0</v>
      </c>
      <c r="M16" s="29">
        <v>0</v>
      </c>
      <c r="N16" s="28">
        <v>29</v>
      </c>
      <c r="O16" s="15">
        <f t="shared" si="0"/>
        <v>8.9881796511681253E-2</v>
      </c>
      <c r="P16" s="14">
        <f t="shared" si="1"/>
        <v>1.6470588235294117</v>
      </c>
      <c r="Q16" s="42"/>
    </row>
    <row r="17" spans="1:17" x14ac:dyDescent="0.25">
      <c r="A17" s="40" t="s">
        <v>59</v>
      </c>
      <c r="B17" s="26">
        <v>96</v>
      </c>
      <c r="C17" s="26">
        <v>16</v>
      </c>
      <c r="D17" s="26">
        <v>96</v>
      </c>
      <c r="E17" s="28">
        <v>25</v>
      </c>
      <c r="F17" s="37">
        <v>9574.2749999999996</v>
      </c>
      <c r="G17" s="28">
        <v>44.896551724137929</v>
      </c>
      <c r="H17" s="37">
        <v>16216.1</v>
      </c>
      <c r="I17" s="41">
        <f t="shared" si="2"/>
        <v>154</v>
      </c>
      <c r="J17" s="29">
        <v>16</v>
      </c>
      <c r="K17" s="28">
        <v>96</v>
      </c>
      <c r="L17" s="29">
        <v>114</v>
      </c>
      <c r="M17" s="29">
        <v>24</v>
      </c>
      <c r="N17" s="28">
        <v>99</v>
      </c>
      <c r="O17" s="15">
        <f t="shared" si="0"/>
        <v>7.9496816378464383E-2</v>
      </c>
      <c r="P17" s="14">
        <f>(J17+L17+M17)/E17</f>
        <v>6.16</v>
      </c>
      <c r="Q17" s="66"/>
    </row>
    <row r="18" spans="1:17" x14ac:dyDescent="0.25">
      <c r="A18" s="43" t="s">
        <v>37</v>
      </c>
      <c r="B18" s="47">
        <f t="shared" ref="B18:N18" si="3">SUM(B3:B17)</f>
        <v>1362</v>
      </c>
      <c r="C18" s="47">
        <f t="shared" si="3"/>
        <v>157</v>
      </c>
      <c r="D18" s="47">
        <f t="shared" si="3"/>
        <v>927</v>
      </c>
      <c r="E18" s="44">
        <f t="shared" si="3"/>
        <v>773.5</v>
      </c>
      <c r="F18" s="45">
        <f t="shared" si="3"/>
        <v>120435.955</v>
      </c>
      <c r="G18" s="44">
        <f t="shared" si="3"/>
        <v>880.82758620689663</v>
      </c>
      <c r="H18" s="45">
        <f t="shared" si="3"/>
        <v>146758.93862068962</v>
      </c>
      <c r="I18" s="44">
        <f t="shared" si="3"/>
        <v>1917</v>
      </c>
      <c r="J18" s="47">
        <f t="shared" si="3"/>
        <v>571</v>
      </c>
      <c r="K18" s="47">
        <f t="shared" si="3"/>
        <v>1362</v>
      </c>
      <c r="L18" s="47">
        <f t="shared" si="3"/>
        <v>1224</v>
      </c>
      <c r="M18" s="47">
        <f t="shared" si="3"/>
        <v>122</v>
      </c>
      <c r="N18" s="47">
        <f t="shared" si="3"/>
        <v>1608</v>
      </c>
      <c r="O18" s="46">
        <f t="shared" si="0"/>
        <v>1</v>
      </c>
      <c r="P18" s="44">
        <f>(J18+L18+M18)/E18</f>
        <v>2.4783451842275372</v>
      </c>
      <c r="Q18" s="42"/>
    </row>
  </sheetData>
  <autoFilter ref="A2:R2" xr:uid="{EFDDDD78-F957-4C72-8E59-46E068352F9C}"/>
  <mergeCells count="4">
    <mergeCell ref="B1:D1"/>
    <mergeCell ref="E1:F1"/>
    <mergeCell ref="J1:M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C1CF-DDDC-41BF-B5EE-9D019963FF27}">
  <dimension ref="A1:S3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32" sqref="R32"/>
    </sheetView>
  </sheetViews>
  <sheetFormatPr baseColWidth="10" defaultRowHeight="15" x14ac:dyDescent="0.25"/>
  <cols>
    <col min="1" max="1" width="22.42578125" customWidth="1"/>
    <col min="2" max="2" width="13.28515625" customWidth="1"/>
    <col min="3" max="3" width="13.85546875" customWidth="1"/>
    <col min="4" max="4" width="13.42578125" customWidth="1"/>
    <col min="7" max="7" width="17.85546875" style="38" customWidth="1"/>
    <col min="8" max="8" width="12.28515625" customWidth="1"/>
    <col min="9" max="9" width="17.42578125" style="38" customWidth="1"/>
    <col min="18" max="18" width="31.85546875" customWidth="1"/>
  </cols>
  <sheetData>
    <row r="1" spans="1:19" ht="48.75" customHeight="1" thickBot="1" x14ac:dyDescent="0.3">
      <c r="A1" s="1"/>
      <c r="B1" s="76" t="s">
        <v>38</v>
      </c>
      <c r="C1" s="77"/>
      <c r="D1" s="78"/>
      <c r="E1" s="2"/>
      <c r="F1" s="79" t="s">
        <v>57</v>
      </c>
      <c r="G1" s="79"/>
      <c r="H1" s="80" t="s">
        <v>62</v>
      </c>
      <c r="I1" s="80"/>
      <c r="J1" s="3"/>
      <c r="K1" s="74" t="s">
        <v>39</v>
      </c>
      <c r="L1" s="74"/>
      <c r="M1" s="74"/>
      <c r="N1" s="74"/>
      <c r="O1" s="3"/>
      <c r="P1" s="4"/>
      <c r="Q1" s="3"/>
      <c r="R1" s="5"/>
    </row>
    <row r="2" spans="1:19" ht="90" x14ac:dyDescent="0.25">
      <c r="A2" s="6" t="s">
        <v>0</v>
      </c>
      <c r="B2" s="7" t="s">
        <v>40</v>
      </c>
      <c r="C2" s="7" t="s">
        <v>41</v>
      </c>
      <c r="D2" s="7" t="s">
        <v>42</v>
      </c>
      <c r="E2" s="8" t="s">
        <v>43</v>
      </c>
      <c r="F2" s="9" t="s">
        <v>44</v>
      </c>
      <c r="G2" s="36" t="s">
        <v>45</v>
      </c>
      <c r="H2" s="9" t="s">
        <v>44</v>
      </c>
      <c r="I2" s="36" t="s">
        <v>45</v>
      </c>
      <c r="J2" s="10" t="s">
        <v>46</v>
      </c>
      <c r="K2" s="11" t="s">
        <v>47</v>
      </c>
      <c r="L2" s="9" t="s">
        <v>48</v>
      </c>
      <c r="M2" s="11" t="s">
        <v>49</v>
      </c>
      <c r="N2" s="9" t="s">
        <v>50</v>
      </c>
      <c r="O2" s="9" t="s">
        <v>51</v>
      </c>
      <c r="P2" s="12" t="s">
        <v>52</v>
      </c>
      <c r="Q2" s="9" t="s">
        <v>53</v>
      </c>
      <c r="R2" s="9"/>
    </row>
    <row r="3" spans="1:19" s="30" customFormat="1" x14ac:dyDescent="0.25">
      <c r="A3" s="48" t="s">
        <v>27</v>
      </c>
      <c r="B3" s="26">
        <v>461</v>
      </c>
      <c r="C3" s="26">
        <v>195</v>
      </c>
      <c r="D3" s="26">
        <v>345</v>
      </c>
      <c r="E3" s="13">
        <v>220</v>
      </c>
      <c r="F3" s="28">
        <v>985.66666666666663</v>
      </c>
      <c r="G3" s="37">
        <v>144641.66333333377</v>
      </c>
      <c r="H3" s="28">
        <v>1054</v>
      </c>
      <c r="I3" s="37">
        <v>149639.15931034554</v>
      </c>
      <c r="J3" s="41">
        <f t="shared" ref="J3:J32" si="0">M3+N3</f>
        <v>2342</v>
      </c>
      <c r="K3" s="29">
        <v>3578</v>
      </c>
      <c r="L3" s="28">
        <v>461</v>
      </c>
      <c r="M3" s="29">
        <v>2194</v>
      </c>
      <c r="N3" s="29">
        <v>148</v>
      </c>
      <c r="O3" s="28">
        <v>1164</v>
      </c>
      <c r="P3" s="15">
        <f t="shared" ref="P3:P31" si="1">G3/$G$33</f>
        <v>0.43172773328781905</v>
      </c>
      <c r="Q3" s="14">
        <f t="shared" ref="Q3:Q23" si="2">(K3+M3+N3)/F3</f>
        <v>6.0060872505918166</v>
      </c>
      <c r="R3" s="16"/>
      <c r="S3"/>
    </row>
    <row r="4" spans="1:19" s="30" customFormat="1" x14ac:dyDescent="0.25">
      <c r="A4" s="25" t="s">
        <v>1</v>
      </c>
      <c r="B4" s="26">
        <v>135</v>
      </c>
      <c r="C4" s="26">
        <v>34</v>
      </c>
      <c r="D4" s="26">
        <v>92</v>
      </c>
      <c r="E4" s="27">
        <v>60</v>
      </c>
      <c r="F4" s="28">
        <v>434.33333333333331</v>
      </c>
      <c r="G4" s="37">
        <v>32939.693333333336</v>
      </c>
      <c r="H4" s="28">
        <v>510.9655172413793</v>
      </c>
      <c r="I4" s="37">
        <v>37789.267241379312</v>
      </c>
      <c r="J4" s="41">
        <f t="shared" si="0"/>
        <v>332</v>
      </c>
      <c r="K4" s="29">
        <v>1831</v>
      </c>
      <c r="L4" s="28">
        <v>135</v>
      </c>
      <c r="M4" s="29">
        <v>177</v>
      </c>
      <c r="N4" s="29">
        <v>155</v>
      </c>
      <c r="O4" s="28">
        <v>485</v>
      </c>
      <c r="P4" s="15">
        <f t="shared" si="1"/>
        <v>9.8318691933339739E-2</v>
      </c>
      <c r="Q4" s="14">
        <f t="shared" si="2"/>
        <v>4.9800460475825021</v>
      </c>
      <c r="R4" s="28"/>
    </row>
    <row r="5" spans="1:19" s="30" customFormat="1" x14ac:dyDescent="0.25">
      <c r="A5" s="48" t="s">
        <v>19</v>
      </c>
      <c r="B5" s="26">
        <v>154</v>
      </c>
      <c r="C5" s="26">
        <v>30</v>
      </c>
      <c r="D5" s="26">
        <v>106</v>
      </c>
      <c r="E5" s="13">
        <v>100</v>
      </c>
      <c r="F5" s="28">
        <v>156.66666666666666</v>
      </c>
      <c r="G5" s="37">
        <v>24526.653333333325</v>
      </c>
      <c r="H5" s="28">
        <v>145.37931034482759</v>
      </c>
      <c r="I5" s="37">
        <v>22923.623448275859</v>
      </c>
      <c r="J5" s="41">
        <f t="shared" si="0"/>
        <v>237</v>
      </c>
      <c r="K5" s="29">
        <v>187</v>
      </c>
      <c r="L5" s="28">
        <v>154</v>
      </c>
      <c r="M5" s="29">
        <v>200</v>
      </c>
      <c r="N5" s="29">
        <v>37</v>
      </c>
      <c r="O5" s="28">
        <v>310</v>
      </c>
      <c r="P5" s="15">
        <f t="shared" si="1"/>
        <v>7.3207374726697083E-2</v>
      </c>
      <c r="Q5" s="14">
        <f t="shared" si="2"/>
        <v>2.7063829787234046</v>
      </c>
      <c r="R5" s="16"/>
      <c r="S5"/>
    </row>
    <row r="6" spans="1:19" s="30" customFormat="1" ht="75.75" customHeight="1" x14ac:dyDescent="0.25">
      <c r="A6" s="50" t="s">
        <v>14</v>
      </c>
      <c r="B6" s="51">
        <v>367</v>
      </c>
      <c r="C6" s="51">
        <v>45</v>
      </c>
      <c r="D6" s="51">
        <v>156</v>
      </c>
      <c r="E6" s="52">
        <v>60</v>
      </c>
      <c r="F6" s="53">
        <v>268</v>
      </c>
      <c r="G6" s="54">
        <v>18851.49666666667</v>
      </c>
      <c r="H6" s="53">
        <v>165.68965517241381</v>
      </c>
      <c r="I6" s="54">
        <v>11261.765517241376</v>
      </c>
      <c r="J6" s="55">
        <f t="shared" si="0"/>
        <v>267</v>
      </c>
      <c r="K6" s="56">
        <v>116</v>
      </c>
      <c r="L6" s="53">
        <v>367</v>
      </c>
      <c r="M6" s="56">
        <v>126</v>
      </c>
      <c r="N6" s="56">
        <v>141</v>
      </c>
      <c r="O6" s="53">
        <v>452</v>
      </c>
      <c r="P6" s="57">
        <f t="shared" si="1"/>
        <v>5.626811623582352E-2</v>
      </c>
      <c r="Q6" s="58">
        <f t="shared" si="2"/>
        <v>1.4291044776119404</v>
      </c>
      <c r="R6" s="59" t="s">
        <v>72</v>
      </c>
      <c r="S6"/>
    </row>
    <row r="7" spans="1:19" s="30" customFormat="1" x14ac:dyDescent="0.25">
      <c r="A7" s="48" t="s">
        <v>13</v>
      </c>
      <c r="B7" s="26">
        <v>191</v>
      </c>
      <c r="C7" s="26">
        <v>0</v>
      </c>
      <c r="D7" s="26">
        <v>138</v>
      </c>
      <c r="E7" s="13">
        <v>40</v>
      </c>
      <c r="F7" s="28">
        <v>40.333333333333336</v>
      </c>
      <c r="G7" s="37">
        <v>12682.406666666668</v>
      </c>
      <c r="H7" s="28">
        <v>39.551724137931039</v>
      </c>
      <c r="I7" s="37">
        <v>12025.862068965516</v>
      </c>
      <c r="J7" s="41">
        <f t="shared" si="0"/>
        <v>87</v>
      </c>
      <c r="K7" s="29">
        <v>0</v>
      </c>
      <c r="L7" s="28">
        <v>191</v>
      </c>
      <c r="M7" s="29">
        <v>85</v>
      </c>
      <c r="N7" s="29">
        <v>2</v>
      </c>
      <c r="O7" s="28">
        <v>159</v>
      </c>
      <c r="P7" s="15">
        <f t="shared" si="1"/>
        <v>3.7854561103989257E-2</v>
      </c>
      <c r="Q7" s="14">
        <f t="shared" si="2"/>
        <v>2.1570247933884295</v>
      </c>
      <c r="R7" s="16"/>
      <c r="S7"/>
    </row>
    <row r="8" spans="1:19" s="30" customFormat="1" ht="30" x14ac:dyDescent="0.25">
      <c r="A8" s="63" t="s">
        <v>26</v>
      </c>
      <c r="B8" s="51">
        <v>133</v>
      </c>
      <c r="C8" s="51">
        <v>20</v>
      </c>
      <c r="D8" s="51">
        <v>75</v>
      </c>
      <c r="E8" s="52">
        <v>60</v>
      </c>
      <c r="F8" s="53">
        <v>132.66666666666666</v>
      </c>
      <c r="G8" s="54">
        <v>12022.643333333333</v>
      </c>
      <c r="H8" s="53">
        <v>99.41379310344827</v>
      </c>
      <c r="I8" s="54">
        <v>9220.8965517241377</v>
      </c>
      <c r="J8" s="55">
        <f t="shared" si="0"/>
        <v>175</v>
      </c>
      <c r="K8" s="56">
        <v>419</v>
      </c>
      <c r="L8" s="53">
        <v>133</v>
      </c>
      <c r="M8" s="56">
        <v>170</v>
      </c>
      <c r="N8" s="56">
        <v>5</v>
      </c>
      <c r="O8" s="53">
        <v>275</v>
      </c>
      <c r="P8" s="57">
        <f t="shared" si="1"/>
        <v>3.5885293592525472E-2</v>
      </c>
      <c r="Q8" s="58">
        <f t="shared" si="2"/>
        <v>4.4773869346733672</v>
      </c>
      <c r="R8" s="59" t="s">
        <v>63</v>
      </c>
      <c r="S8"/>
    </row>
    <row r="9" spans="1:19" ht="30" x14ac:dyDescent="0.25">
      <c r="A9" s="50" t="s">
        <v>18</v>
      </c>
      <c r="B9" s="51">
        <v>115</v>
      </c>
      <c r="C9" s="51">
        <v>17</v>
      </c>
      <c r="D9" s="51">
        <v>53</v>
      </c>
      <c r="E9" s="52">
        <v>60</v>
      </c>
      <c r="F9" s="53">
        <v>96.666666666666671</v>
      </c>
      <c r="G9" s="54">
        <v>10843.269999999999</v>
      </c>
      <c r="H9" s="53">
        <v>70.551724137931032</v>
      </c>
      <c r="I9" s="54">
        <v>7274.3637931034491</v>
      </c>
      <c r="J9" s="55">
        <f t="shared" si="0"/>
        <v>48</v>
      </c>
      <c r="K9" s="56">
        <v>66</v>
      </c>
      <c r="L9" s="53">
        <v>115</v>
      </c>
      <c r="M9" s="56">
        <v>46</v>
      </c>
      <c r="N9" s="56">
        <v>2</v>
      </c>
      <c r="O9" s="53">
        <v>152</v>
      </c>
      <c r="P9" s="57">
        <f t="shared" si="1"/>
        <v>3.2365089495268257E-2</v>
      </c>
      <c r="Q9" s="58">
        <f t="shared" si="2"/>
        <v>1.1793103448275861</v>
      </c>
      <c r="R9" s="62" t="s">
        <v>63</v>
      </c>
    </row>
    <row r="10" spans="1:19" ht="30" x14ac:dyDescent="0.25">
      <c r="A10" s="50" t="s">
        <v>16</v>
      </c>
      <c r="B10" s="51">
        <v>47</v>
      </c>
      <c r="C10" s="51">
        <v>3</v>
      </c>
      <c r="D10" s="51">
        <v>44</v>
      </c>
      <c r="E10" s="52">
        <v>60</v>
      </c>
      <c r="F10" s="53">
        <v>44</v>
      </c>
      <c r="G10" s="54">
        <v>9743.8366666666698</v>
      </c>
      <c r="H10" s="53">
        <v>57.724137931034484</v>
      </c>
      <c r="I10" s="54">
        <v>12248.794827586207</v>
      </c>
      <c r="J10" s="55">
        <f t="shared" si="0"/>
        <v>36</v>
      </c>
      <c r="K10" s="56">
        <v>3</v>
      </c>
      <c r="L10" s="53">
        <v>47</v>
      </c>
      <c r="M10" s="56">
        <v>36</v>
      </c>
      <c r="N10" s="56">
        <v>0</v>
      </c>
      <c r="O10" s="53">
        <v>104</v>
      </c>
      <c r="P10" s="57">
        <f t="shared" si="1"/>
        <v>2.9083491026594667E-2</v>
      </c>
      <c r="Q10" s="58">
        <f t="shared" si="2"/>
        <v>0.88636363636363635</v>
      </c>
      <c r="R10" s="59" t="s">
        <v>64</v>
      </c>
    </row>
    <row r="11" spans="1:19" ht="45" customHeight="1" x14ac:dyDescent="0.25">
      <c r="A11" s="50" t="s">
        <v>36</v>
      </c>
      <c r="B11" s="51">
        <v>81</v>
      </c>
      <c r="C11" s="51">
        <v>0</v>
      </c>
      <c r="D11" s="51">
        <v>36</v>
      </c>
      <c r="E11" s="52">
        <v>40</v>
      </c>
      <c r="F11" s="53">
        <v>38</v>
      </c>
      <c r="G11" s="54">
        <v>8918.123333333333</v>
      </c>
      <c r="H11" s="53">
        <v>32.068965517241381</v>
      </c>
      <c r="I11" s="54">
        <v>8075.7672413793107</v>
      </c>
      <c r="J11" s="55">
        <f t="shared" si="0"/>
        <v>5</v>
      </c>
      <c r="K11" s="56">
        <v>0</v>
      </c>
      <c r="L11" s="53">
        <v>81</v>
      </c>
      <c r="M11" s="56">
        <v>5</v>
      </c>
      <c r="N11" s="56">
        <v>0</v>
      </c>
      <c r="O11" s="53">
        <v>69</v>
      </c>
      <c r="P11" s="57">
        <f t="shared" si="1"/>
        <v>2.6618894467552081E-2</v>
      </c>
      <c r="Q11" s="58">
        <f t="shared" si="2"/>
        <v>0.13157894736842105</v>
      </c>
      <c r="R11" s="59" t="s">
        <v>64</v>
      </c>
    </row>
    <row r="12" spans="1:19" ht="30" x14ac:dyDescent="0.25">
      <c r="A12" s="50" t="s">
        <v>23</v>
      </c>
      <c r="B12" s="51">
        <v>73</v>
      </c>
      <c r="C12" s="51">
        <v>4</v>
      </c>
      <c r="D12" s="51">
        <v>32</v>
      </c>
      <c r="E12" s="52">
        <v>30</v>
      </c>
      <c r="F12" s="53">
        <v>26</v>
      </c>
      <c r="G12" s="54">
        <v>7697.2666666666664</v>
      </c>
      <c r="H12" s="53">
        <v>22.448275862068964</v>
      </c>
      <c r="I12" s="54">
        <v>6710.2172413793105</v>
      </c>
      <c r="J12" s="55">
        <f t="shared" si="0"/>
        <v>30</v>
      </c>
      <c r="K12" s="56">
        <v>14</v>
      </c>
      <c r="L12" s="53">
        <v>73</v>
      </c>
      <c r="M12" s="56">
        <v>25</v>
      </c>
      <c r="N12" s="56">
        <v>5</v>
      </c>
      <c r="O12" s="53">
        <v>52</v>
      </c>
      <c r="P12" s="57">
        <f t="shared" si="1"/>
        <v>2.2974870545104189E-2</v>
      </c>
      <c r="Q12" s="58">
        <f t="shared" si="2"/>
        <v>1.6923076923076923</v>
      </c>
      <c r="R12" s="59" t="s">
        <v>65</v>
      </c>
    </row>
    <row r="13" spans="1:19" ht="30" x14ac:dyDescent="0.25">
      <c r="A13" s="50" t="s">
        <v>12</v>
      </c>
      <c r="B13" s="51">
        <v>151</v>
      </c>
      <c r="C13" s="51">
        <v>8</v>
      </c>
      <c r="D13" s="51">
        <v>40</v>
      </c>
      <c r="E13" s="52">
        <v>60</v>
      </c>
      <c r="F13" s="53">
        <v>119</v>
      </c>
      <c r="G13" s="54">
        <v>6760.916666666667</v>
      </c>
      <c r="H13" s="53">
        <v>155</v>
      </c>
      <c r="I13" s="54">
        <v>8609.0206896551736</v>
      </c>
      <c r="J13" s="55">
        <f t="shared" si="0"/>
        <v>46</v>
      </c>
      <c r="K13" s="56">
        <v>55</v>
      </c>
      <c r="L13" s="53">
        <v>151</v>
      </c>
      <c r="M13" s="56">
        <v>19</v>
      </c>
      <c r="N13" s="56">
        <v>27</v>
      </c>
      <c r="O13" s="53">
        <v>129</v>
      </c>
      <c r="P13" s="57">
        <f t="shared" si="1"/>
        <v>2.0180044671645865E-2</v>
      </c>
      <c r="Q13" s="58">
        <f t="shared" si="2"/>
        <v>0.84873949579831931</v>
      </c>
      <c r="R13" s="59" t="s">
        <v>64</v>
      </c>
    </row>
    <row r="14" spans="1:19" x14ac:dyDescent="0.25">
      <c r="A14" s="48" t="s">
        <v>24</v>
      </c>
      <c r="B14" s="26">
        <v>63</v>
      </c>
      <c r="C14" s="26">
        <v>1</v>
      </c>
      <c r="D14" s="26">
        <v>39</v>
      </c>
      <c r="E14" s="13">
        <v>30</v>
      </c>
      <c r="F14" s="28">
        <v>26</v>
      </c>
      <c r="G14" s="37">
        <v>6425.833333333333</v>
      </c>
      <c r="H14" s="28">
        <v>22.448275862068964</v>
      </c>
      <c r="I14" s="37">
        <v>5074.1762068965518</v>
      </c>
      <c r="J14" s="41">
        <f t="shared" si="0"/>
        <v>32</v>
      </c>
      <c r="K14" s="29">
        <v>1</v>
      </c>
      <c r="L14" s="28">
        <v>63</v>
      </c>
      <c r="M14" s="29">
        <v>31</v>
      </c>
      <c r="N14" s="29">
        <v>1</v>
      </c>
      <c r="O14" s="28">
        <v>56</v>
      </c>
      <c r="P14" s="15">
        <f t="shared" si="1"/>
        <v>1.9179884934619473E-2</v>
      </c>
      <c r="Q14" s="14">
        <f t="shared" si="2"/>
        <v>1.2692307692307692</v>
      </c>
      <c r="R14" s="16" t="s">
        <v>66</v>
      </c>
    </row>
    <row r="15" spans="1:19" x14ac:dyDescent="0.25">
      <c r="A15" s="25" t="s">
        <v>2</v>
      </c>
      <c r="B15" s="26">
        <v>81</v>
      </c>
      <c r="C15" s="26">
        <v>12</v>
      </c>
      <c r="D15" s="26">
        <v>70</v>
      </c>
      <c r="E15" s="27">
        <v>60</v>
      </c>
      <c r="F15" s="28">
        <v>73</v>
      </c>
      <c r="G15" s="37">
        <v>5801.0933333333332</v>
      </c>
      <c r="H15" s="28">
        <v>80.172413793103445</v>
      </c>
      <c r="I15" s="37">
        <v>6169</v>
      </c>
      <c r="J15" s="41">
        <f t="shared" si="0"/>
        <v>120</v>
      </c>
      <c r="K15" s="29">
        <v>61</v>
      </c>
      <c r="L15" s="28">
        <v>81</v>
      </c>
      <c r="M15" s="29">
        <v>120</v>
      </c>
      <c r="N15" s="29">
        <v>0</v>
      </c>
      <c r="O15" s="28">
        <v>147</v>
      </c>
      <c r="P15" s="15">
        <f t="shared" si="1"/>
        <v>1.7315155382438822E-2</v>
      </c>
      <c r="Q15" s="14">
        <f t="shared" si="2"/>
        <v>2.4794520547945207</v>
      </c>
      <c r="R15" s="28"/>
      <c r="S15" s="30"/>
    </row>
    <row r="16" spans="1:19" ht="68.25" customHeight="1" x14ac:dyDescent="0.25">
      <c r="A16" s="25" t="s">
        <v>5</v>
      </c>
      <c r="B16" s="26">
        <v>88</v>
      </c>
      <c r="C16" s="26">
        <v>4</v>
      </c>
      <c r="D16" s="26">
        <v>64</v>
      </c>
      <c r="E16" s="27">
        <v>30</v>
      </c>
      <c r="F16" s="28">
        <v>25</v>
      </c>
      <c r="G16" s="37">
        <v>5572.5999999999995</v>
      </c>
      <c r="H16" s="28">
        <v>42.758620689655174</v>
      </c>
      <c r="I16" s="37">
        <v>9402.6206896551721</v>
      </c>
      <c r="J16" s="41">
        <f t="shared" si="0"/>
        <v>85</v>
      </c>
      <c r="K16" s="29">
        <v>20</v>
      </c>
      <c r="L16" s="28">
        <v>88</v>
      </c>
      <c r="M16" s="29">
        <v>85</v>
      </c>
      <c r="N16" s="29">
        <v>0</v>
      </c>
      <c r="O16" s="28">
        <v>82</v>
      </c>
      <c r="P16" s="15">
        <f t="shared" si="1"/>
        <v>1.663314643288712E-2</v>
      </c>
      <c r="Q16" s="14">
        <f t="shared" si="2"/>
        <v>4.2</v>
      </c>
      <c r="R16" s="28"/>
      <c r="S16" s="30"/>
    </row>
    <row r="17" spans="1:19" ht="30" x14ac:dyDescent="0.25">
      <c r="A17" s="50" t="s">
        <v>21</v>
      </c>
      <c r="B17" s="51">
        <v>207</v>
      </c>
      <c r="C17" s="51">
        <v>8</v>
      </c>
      <c r="D17" s="51">
        <v>16</v>
      </c>
      <c r="E17" s="52">
        <v>60</v>
      </c>
      <c r="F17" s="53">
        <v>77</v>
      </c>
      <c r="G17" s="54">
        <v>4445.8266666666668</v>
      </c>
      <c r="H17" s="53">
        <v>8.5517241379310338</v>
      </c>
      <c r="I17" s="54">
        <v>583.97586206896551</v>
      </c>
      <c r="J17" s="55">
        <f t="shared" si="0"/>
        <v>1</v>
      </c>
      <c r="K17" s="56">
        <v>9</v>
      </c>
      <c r="L17" s="53">
        <v>207</v>
      </c>
      <c r="M17" s="56">
        <v>1</v>
      </c>
      <c r="N17" s="56">
        <v>0</v>
      </c>
      <c r="O17" s="53">
        <v>25</v>
      </c>
      <c r="P17" s="57">
        <f t="shared" si="1"/>
        <v>1.3269943287137261E-2</v>
      </c>
      <c r="Q17" s="58">
        <f t="shared" si="2"/>
        <v>0.12987012987012986</v>
      </c>
      <c r="R17" s="59" t="s">
        <v>64</v>
      </c>
    </row>
    <row r="18" spans="1:19" x14ac:dyDescent="0.25">
      <c r="A18" s="48" t="s">
        <v>11</v>
      </c>
      <c r="B18" s="26">
        <v>64</v>
      </c>
      <c r="C18" s="26">
        <v>1</v>
      </c>
      <c r="D18" s="26">
        <v>28</v>
      </c>
      <c r="E18" s="13">
        <v>30</v>
      </c>
      <c r="F18" s="28">
        <v>15.333333333333334</v>
      </c>
      <c r="G18" s="37">
        <v>4416.8</v>
      </c>
      <c r="H18" s="28">
        <v>11.758620689655173</v>
      </c>
      <c r="I18" s="37">
        <v>3305.2413793103447</v>
      </c>
      <c r="J18" s="41">
        <f t="shared" si="0"/>
        <v>22</v>
      </c>
      <c r="K18" s="29">
        <v>5</v>
      </c>
      <c r="L18" s="28">
        <v>64</v>
      </c>
      <c r="M18" s="29">
        <v>22</v>
      </c>
      <c r="N18" s="29">
        <v>0</v>
      </c>
      <c r="O18" s="28">
        <v>47</v>
      </c>
      <c r="P18" s="15">
        <f t="shared" si="1"/>
        <v>1.3183304232275031E-2</v>
      </c>
      <c r="Q18" s="14">
        <f t="shared" si="2"/>
        <v>1.7608695652173911</v>
      </c>
      <c r="R18" s="16"/>
    </row>
    <row r="19" spans="1:19" ht="30" x14ac:dyDescent="0.25">
      <c r="A19" s="59" t="s">
        <v>6</v>
      </c>
      <c r="B19" s="51">
        <v>100</v>
      </c>
      <c r="C19" s="51">
        <v>3</v>
      </c>
      <c r="D19" s="51">
        <v>26</v>
      </c>
      <c r="E19" s="60">
        <v>60</v>
      </c>
      <c r="F19" s="53">
        <v>23.666666666666668</v>
      </c>
      <c r="G19" s="54">
        <v>3384.15</v>
      </c>
      <c r="H19" s="53">
        <v>33.137931034482754</v>
      </c>
      <c r="I19" s="54">
        <v>5167.7748275862077</v>
      </c>
      <c r="J19" s="55">
        <f t="shared" si="0"/>
        <v>12</v>
      </c>
      <c r="K19" s="56">
        <v>6</v>
      </c>
      <c r="L19" s="53">
        <v>100</v>
      </c>
      <c r="M19" s="56">
        <v>12</v>
      </c>
      <c r="N19" s="56">
        <v>0</v>
      </c>
      <c r="O19" s="53">
        <v>50</v>
      </c>
      <c r="P19" s="57">
        <f t="shared" si="1"/>
        <v>1.0101041255581766E-2</v>
      </c>
      <c r="Q19" s="58">
        <f t="shared" si="2"/>
        <v>0.76056338028169013</v>
      </c>
      <c r="R19" s="59" t="s">
        <v>64</v>
      </c>
      <c r="S19" s="30"/>
    </row>
    <row r="20" spans="1:19" x14ac:dyDescent="0.25">
      <c r="A20" s="48" t="s">
        <v>34</v>
      </c>
      <c r="B20" s="26">
        <v>80</v>
      </c>
      <c r="C20" s="26">
        <v>0</v>
      </c>
      <c r="D20" s="26">
        <v>33</v>
      </c>
      <c r="E20" s="13">
        <v>30</v>
      </c>
      <c r="F20" s="28">
        <v>7</v>
      </c>
      <c r="G20" s="37">
        <v>2746.8566666666666</v>
      </c>
      <c r="H20" s="28">
        <v>10.689655172413794</v>
      </c>
      <c r="I20" s="37">
        <v>4099.2689655172417</v>
      </c>
      <c r="J20" s="41">
        <f t="shared" si="0"/>
        <v>18</v>
      </c>
      <c r="K20" s="29">
        <v>0</v>
      </c>
      <c r="L20" s="28">
        <v>80</v>
      </c>
      <c r="M20" s="29">
        <v>7</v>
      </c>
      <c r="N20" s="29">
        <v>11</v>
      </c>
      <c r="O20" s="28">
        <v>32</v>
      </c>
      <c r="P20" s="15">
        <f t="shared" si="1"/>
        <v>8.1988424015394731E-3</v>
      </c>
      <c r="Q20" s="14">
        <f t="shared" si="2"/>
        <v>2.5714285714285716</v>
      </c>
      <c r="R20" s="16"/>
    </row>
    <row r="21" spans="1:19" x14ac:dyDescent="0.25">
      <c r="A21" s="25" t="s">
        <v>9</v>
      </c>
      <c r="B21" s="26">
        <v>83</v>
      </c>
      <c r="C21" s="26">
        <v>7</v>
      </c>
      <c r="D21" s="26">
        <v>80</v>
      </c>
      <c r="E21" s="27">
        <v>60</v>
      </c>
      <c r="F21" s="28">
        <v>10.333333333333334</v>
      </c>
      <c r="G21" s="37">
        <v>2054.5</v>
      </c>
      <c r="H21" s="28">
        <v>10.689655172413794</v>
      </c>
      <c r="I21" s="37">
        <v>2073.846551724138</v>
      </c>
      <c r="J21" s="41">
        <f t="shared" si="0"/>
        <v>45</v>
      </c>
      <c r="K21" s="29">
        <v>19</v>
      </c>
      <c r="L21" s="28">
        <v>83</v>
      </c>
      <c r="M21" s="29">
        <v>45</v>
      </c>
      <c r="N21" s="29">
        <v>0</v>
      </c>
      <c r="O21" s="28">
        <v>136</v>
      </c>
      <c r="P21" s="15">
        <f t="shared" si="1"/>
        <v>6.1322900165751331E-3</v>
      </c>
      <c r="Q21" s="14">
        <f t="shared" si="2"/>
        <v>6.193548387096774</v>
      </c>
      <c r="R21" s="28"/>
      <c r="S21" s="30"/>
    </row>
    <row r="22" spans="1:19" ht="30" x14ac:dyDescent="0.25">
      <c r="A22" s="50" t="s">
        <v>25</v>
      </c>
      <c r="B22" s="51">
        <v>9</v>
      </c>
      <c r="C22" s="51">
        <v>0</v>
      </c>
      <c r="D22" s="51">
        <v>4</v>
      </c>
      <c r="E22" s="52">
        <v>28</v>
      </c>
      <c r="F22" s="53">
        <v>29.666666666666668</v>
      </c>
      <c r="G22" s="54">
        <v>1579.116666666667</v>
      </c>
      <c r="H22" s="53">
        <v>3.2068965517241379</v>
      </c>
      <c r="I22" s="54">
        <v>200.21724137931037</v>
      </c>
      <c r="J22" s="55">
        <f t="shared" si="0"/>
        <v>0</v>
      </c>
      <c r="K22" s="56">
        <v>0</v>
      </c>
      <c r="L22" s="53">
        <v>9</v>
      </c>
      <c r="M22" s="56">
        <v>0</v>
      </c>
      <c r="N22" s="56">
        <v>0</v>
      </c>
      <c r="O22" s="53">
        <v>5</v>
      </c>
      <c r="P22" s="57">
        <f t="shared" si="1"/>
        <v>4.713361581897009E-3</v>
      </c>
      <c r="Q22" s="58">
        <f t="shared" si="2"/>
        <v>0</v>
      </c>
      <c r="R22" s="59" t="s">
        <v>69</v>
      </c>
    </row>
    <row r="23" spans="1:19" x14ac:dyDescent="0.25">
      <c r="A23" s="49" t="s">
        <v>55</v>
      </c>
      <c r="B23" s="26">
        <v>17</v>
      </c>
      <c r="C23" s="26">
        <v>4</v>
      </c>
      <c r="D23" s="26">
        <v>14</v>
      </c>
      <c r="E23" s="13">
        <v>20</v>
      </c>
      <c r="F23" s="28">
        <v>4</v>
      </c>
      <c r="G23" s="37">
        <v>1391.4699999999998</v>
      </c>
      <c r="H23" s="28">
        <v>4.2758620689655169</v>
      </c>
      <c r="I23" s="37">
        <v>1657.4096551724137</v>
      </c>
      <c r="J23" s="41">
        <f t="shared" si="0"/>
        <v>14</v>
      </c>
      <c r="K23" s="29">
        <v>4</v>
      </c>
      <c r="L23" s="28">
        <v>17</v>
      </c>
      <c r="M23" s="29">
        <v>14</v>
      </c>
      <c r="N23" s="29">
        <v>0</v>
      </c>
      <c r="O23" s="28">
        <v>14</v>
      </c>
      <c r="P23" s="61">
        <f t="shared" si="1"/>
        <v>4.153272129162229E-3</v>
      </c>
      <c r="Q23" s="58">
        <f t="shared" si="2"/>
        <v>4.5</v>
      </c>
      <c r="R23" s="16"/>
    </row>
    <row r="24" spans="1:19" ht="60" x14ac:dyDescent="0.25">
      <c r="A24" s="48" t="s">
        <v>17</v>
      </c>
      <c r="B24" s="26">
        <v>50</v>
      </c>
      <c r="C24" s="26">
        <v>7</v>
      </c>
      <c r="D24" s="26">
        <v>41</v>
      </c>
      <c r="E24" s="13">
        <v>30</v>
      </c>
      <c r="F24" s="28">
        <v>13.666666666666666</v>
      </c>
      <c r="G24" s="37">
        <v>1377.07</v>
      </c>
      <c r="H24" s="28">
        <v>9.6206896551724146</v>
      </c>
      <c r="I24" s="37">
        <v>793.70689655172396</v>
      </c>
      <c r="J24" s="41">
        <f t="shared" si="0"/>
        <v>104</v>
      </c>
      <c r="K24" s="29">
        <v>23</v>
      </c>
      <c r="L24" s="28">
        <v>50</v>
      </c>
      <c r="M24" s="29">
        <v>104</v>
      </c>
      <c r="N24" s="29">
        <v>0</v>
      </c>
      <c r="O24" s="28">
        <v>41</v>
      </c>
      <c r="P24" s="15">
        <f t="shared" si="1"/>
        <v>4.1102908800803696E-3</v>
      </c>
      <c r="Q24" s="14">
        <f t="shared" ref="Q24:Q31" si="3">(K24+M24+N24)/F24</f>
        <v>9.2926829268292686</v>
      </c>
      <c r="R24" s="16" t="s">
        <v>61</v>
      </c>
    </row>
    <row r="25" spans="1:19" ht="30" x14ac:dyDescent="0.25">
      <c r="A25" s="48" t="s">
        <v>35</v>
      </c>
      <c r="B25" s="26">
        <v>21</v>
      </c>
      <c r="C25" s="26">
        <v>0</v>
      </c>
      <c r="D25" s="26">
        <v>12</v>
      </c>
      <c r="E25" s="13">
        <v>30</v>
      </c>
      <c r="F25" s="28">
        <v>13.333333333333334</v>
      </c>
      <c r="G25" s="37">
        <v>1239.1666666666667</v>
      </c>
      <c r="H25" s="28">
        <v>3.2068965517241379</v>
      </c>
      <c r="I25" s="37">
        <v>292.46896551724143</v>
      </c>
      <c r="J25" s="41">
        <f t="shared" si="0"/>
        <v>0</v>
      </c>
      <c r="K25" s="29">
        <v>0</v>
      </c>
      <c r="L25" s="28">
        <v>21</v>
      </c>
      <c r="M25" s="29">
        <v>0</v>
      </c>
      <c r="N25" s="29">
        <v>0</v>
      </c>
      <c r="O25" s="28">
        <v>14</v>
      </c>
      <c r="P25" s="15">
        <f t="shared" si="1"/>
        <v>3.6986757745790639E-3</v>
      </c>
      <c r="Q25" s="14">
        <f t="shared" si="3"/>
        <v>0</v>
      </c>
      <c r="R25" s="16" t="s">
        <v>67</v>
      </c>
    </row>
    <row r="26" spans="1:19" x14ac:dyDescent="0.25">
      <c r="A26" s="64" t="s">
        <v>29</v>
      </c>
      <c r="B26" s="26">
        <v>48</v>
      </c>
      <c r="C26" s="26">
        <v>3</v>
      </c>
      <c r="D26" s="26">
        <v>34</v>
      </c>
      <c r="E26" s="65">
        <v>30</v>
      </c>
      <c r="F26" s="28">
        <v>3.6666666666666665</v>
      </c>
      <c r="G26" s="37">
        <v>1159.0833333333333</v>
      </c>
      <c r="H26" s="28">
        <v>4.2758620689655169</v>
      </c>
      <c r="I26" s="37">
        <v>1297.7241379310344</v>
      </c>
      <c r="J26" s="41">
        <f t="shared" si="0"/>
        <v>15</v>
      </c>
      <c r="K26" s="29">
        <v>3</v>
      </c>
      <c r="L26" s="28">
        <v>48</v>
      </c>
      <c r="M26" s="29">
        <v>14</v>
      </c>
      <c r="N26" s="29">
        <v>1</v>
      </c>
      <c r="O26" s="28">
        <v>27</v>
      </c>
      <c r="P26" s="15">
        <f t="shared" si="1"/>
        <v>3.4596423233772826E-3</v>
      </c>
      <c r="Q26" s="14">
        <f t="shared" si="3"/>
        <v>4.9090909090909092</v>
      </c>
      <c r="R26" s="16"/>
    </row>
    <row r="27" spans="1:19" ht="30" x14ac:dyDescent="0.25">
      <c r="A27" s="25" t="s">
        <v>3</v>
      </c>
      <c r="B27" s="26">
        <v>82</v>
      </c>
      <c r="C27" s="26">
        <v>11</v>
      </c>
      <c r="D27" s="26">
        <v>13</v>
      </c>
      <c r="E27" s="27">
        <v>24</v>
      </c>
      <c r="F27" s="28">
        <v>32.666666666666664</v>
      </c>
      <c r="G27" s="37">
        <v>1121.3</v>
      </c>
      <c r="H27" s="28">
        <v>32.068965517241381</v>
      </c>
      <c r="I27" s="37">
        <v>1067.8965517241379</v>
      </c>
      <c r="J27" s="41">
        <f t="shared" si="0"/>
        <v>120</v>
      </c>
      <c r="K27" s="29">
        <v>38</v>
      </c>
      <c r="L27" s="28">
        <v>82</v>
      </c>
      <c r="M27" s="29">
        <v>23</v>
      </c>
      <c r="N27" s="29">
        <v>97</v>
      </c>
      <c r="O27" s="28">
        <v>27</v>
      </c>
      <c r="P27" s="15">
        <f t="shared" si="1"/>
        <v>3.3468662913534665E-3</v>
      </c>
      <c r="Q27" s="14">
        <f t="shared" si="3"/>
        <v>4.8367346938775517</v>
      </c>
      <c r="R27" s="28" t="s">
        <v>60</v>
      </c>
      <c r="S27" s="30"/>
    </row>
    <row r="28" spans="1:19" x14ac:dyDescent="0.25">
      <c r="A28" s="48" t="s">
        <v>28</v>
      </c>
      <c r="B28" s="26">
        <v>36</v>
      </c>
      <c r="C28" s="26">
        <v>3</v>
      </c>
      <c r="D28" s="26">
        <v>30</v>
      </c>
      <c r="E28" s="13">
        <v>30</v>
      </c>
      <c r="F28" s="28">
        <v>13.666666666666666</v>
      </c>
      <c r="G28" s="37">
        <v>1025.1666666666667</v>
      </c>
      <c r="H28" s="28">
        <v>20.310344827586206</v>
      </c>
      <c r="I28" s="37">
        <v>1486.7172413793103</v>
      </c>
      <c r="J28" s="41">
        <f t="shared" si="0"/>
        <v>38</v>
      </c>
      <c r="K28" s="29">
        <v>14</v>
      </c>
      <c r="L28" s="28">
        <v>36</v>
      </c>
      <c r="M28" s="29">
        <v>38</v>
      </c>
      <c r="N28" s="29">
        <v>0</v>
      </c>
      <c r="O28" s="28">
        <v>64</v>
      </c>
      <c r="P28" s="15">
        <f t="shared" si="1"/>
        <v>3.0599266562791961E-3</v>
      </c>
      <c r="Q28" s="14">
        <f t="shared" si="3"/>
        <v>3.8048780487804881</v>
      </c>
      <c r="R28" s="16"/>
    </row>
    <row r="29" spans="1:19" ht="30" x14ac:dyDescent="0.25">
      <c r="A29" s="50" t="s">
        <v>22</v>
      </c>
      <c r="B29" s="51">
        <v>63</v>
      </c>
      <c r="C29" s="51">
        <v>1</v>
      </c>
      <c r="D29" s="51">
        <v>16</v>
      </c>
      <c r="E29" s="52">
        <v>30</v>
      </c>
      <c r="F29" s="53">
        <v>25.333333333333332</v>
      </c>
      <c r="G29" s="54">
        <v>905.16333333333341</v>
      </c>
      <c r="H29" s="53">
        <v>13.896551724137931</v>
      </c>
      <c r="I29" s="54">
        <v>463.61034482758623</v>
      </c>
      <c r="J29" s="55">
        <f t="shared" si="0"/>
        <v>10</v>
      </c>
      <c r="K29" s="56">
        <v>1</v>
      </c>
      <c r="L29" s="53">
        <v>63</v>
      </c>
      <c r="M29" s="56">
        <v>10</v>
      </c>
      <c r="N29" s="56">
        <v>0</v>
      </c>
      <c r="O29" s="53">
        <v>17</v>
      </c>
      <c r="P29" s="57">
        <f t="shared" si="1"/>
        <v>2.7017396312338138E-3</v>
      </c>
      <c r="Q29" s="58">
        <f t="shared" si="3"/>
        <v>0.43421052631578949</v>
      </c>
      <c r="R29" s="59" t="s">
        <v>64</v>
      </c>
    </row>
    <row r="30" spans="1:19" x14ac:dyDescent="0.25">
      <c r="A30" s="48" t="s">
        <v>20</v>
      </c>
      <c r="B30" s="26">
        <v>12</v>
      </c>
      <c r="C30" s="26">
        <v>2</v>
      </c>
      <c r="D30" s="26">
        <v>10</v>
      </c>
      <c r="E30" s="13">
        <v>30</v>
      </c>
      <c r="F30" s="28">
        <v>5.333333333333333</v>
      </c>
      <c r="G30" s="37">
        <v>651.65</v>
      </c>
      <c r="H30" s="28">
        <v>10.689655172413794</v>
      </c>
      <c r="I30" s="37">
        <v>1326.8000000000002</v>
      </c>
      <c r="J30" s="41">
        <f t="shared" si="0"/>
        <v>18</v>
      </c>
      <c r="K30" s="29">
        <v>12</v>
      </c>
      <c r="L30" s="28">
        <v>12</v>
      </c>
      <c r="M30" s="29">
        <v>18</v>
      </c>
      <c r="N30" s="29">
        <v>0</v>
      </c>
      <c r="O30" s="28">
        <v>17</v>
      </c>
      <c r="P30" s="15">
        <f t="shared" si="1"/>
        <v>1.945050761402378E-3</v>
      </c>
      <c r="Q30" s="14">
        <f t="shared" si="3"/>
        <v>5.625</v>
      </c>
      <c r="R30" s="16"/>
    </row>
    <row r="31" spans="1:19" ht="30" x14ac:dyDescent="0.25">
      <c r="A31" s="48" t="s">
        <v>31</v>
      </c>
      <c r="B31" s="26">
        <v>18</v>
      </c>
      <c r="C31" s="26">
        <v>0</v>
      </c>
      <c r="D31" s="26">
        <v>18</v>
      </c>
      <c r="E31" s="67">
        <v>30</v>
      </c>
      <c r="F31" s="28">
        <v>1.6666666666666667</v>
      </c>
      <c r="G31" s="37">
        <v>105</v>
      </c>
      <c r="H31" s="28">
        <v>2.1379310344827585</v>
      </c>
      <c r="I31" s="37">
        <v>149.65517241379311</v>
      </c>
      <c r="J31" s="68">
        <f t="shared" si="0"/>
        <v>11</v>
      </c>
      <c r="K31" s="29">
        <v>0</v>
      </c>
      <c r="L31" s="28">
        <v>18</v>
      </c>
      <c r="M31" s="29">
        <v>11</v>
      </c>
      <c r="N31" s="29">
        <v>0</v>
      </c>
      <c r="O31" s="28">
        <v>14</v>
      </c>
      <c r="P31" s="61">
        <f t="shared" si="1"/>
        <v>3.1340494122189777E-4</v>
      </c>
      <c r="Q31" s="69">
        <f t="shared" si="3"/>
        <v>6.6</v>
      </c>
      <c r="R31" s="25" t="s">
        <v>68</v>
      </c>
    </row>
    <row r="32" spans="1:19" ht="87.75" customHeight="1" x14ac:dyDescent="0.25">
      <c r="A32" s="48" t="s">
        <v>56</v>
      </c>
      <c r="B32" s="26">
        <v>37</v>
      </c>
      <c r="C32" s="26">
        <v>0</v>
      </c>
      <c r="D32" s="26">
        <v>21</v>
      </c>
      <c r="E32" s="13">
        <v>20</v>
      </c>
      <c r="F32" s="28"/>
      <c r="G32" s="37"/>
      <c r="H32" s="28">
        <v>2.1379310344827585</v>
      </c>
      <c r="I32" s="37">
        <v>702.31034482758616</v>
      </c>
      <c r="J32" s="41">
        <f t="shared" si="0"/>
        <v>0</v>
      </c>
      <c r="K32" s="29">
        <v>0</v>
      </c>
      <c r="L32" s="28">
        <v>37</v>
      </c>
      <c r="M32" s="29">
        <v>0</v>
      </c>
      <c r="N32" s="29">
        <v>0</v>
      </c>
      <c r="O32" s="28">
        <v>31</v>
      </c>
      <c r="P32" s="15"/>
      <c r="Q32" s="14"/>
      <c r="R32" s="16"/>
    </row>
    <row r="33" spans="1:18" x14ac:dyDescent="0.25">
      <c r="A33" s="17" t="s">
        <v>54</v>
      </c>
      <c r="B33" s="23">
        <f t="shared" ref="B33:I33" si="4">SUM(B3:B32)</f>
        <v>3067</v>
      </c>
      <c r="C33" s="23">
        <f t="shared" si="4"/>
        <v>423</v>
      </c>
      <c r="D33" s="23">
        <f t="shared" si="4"/>
        <v>1686</v>
      </c>
      <c r="E33" s="18">
        <f t="shared" si="4"/>
        <v>1452</v>
      </c>
      <c r="F33" s="24">
        <f t="shared" si="4"/>
        <v>2741.6666666666665</v>
      </c>
      <c r="G33" s="19">
        <f t="shared" si="4"/>
        <v>335029.81666666712</v>
      </c>
      <c r="H33" s="24">
        <f t="shared" si="4"/>
        <v>2678.8275862068976</v>
      </c>
      <c r="I33" s="19">
        <f t="shared" si="4"/>
        <v>331093.15896551782</v>
      </c>
      <c r="J33" s="24">
        <f t="shared" ref="J33" si="5">SUM(J3:J30)</f>
        <v>4259</v>
      </c>
      <c r="K33" s="24">
        <v>8296</v>
      </c>
      <c r="L33" s="24">
        <v>1721</v>
      </c>
      <c r="M33" s="24">
        <v>4746</v>
      </c>
      <c r="N33" s="24">
        <v>469</v>
      </c>
      <c r="O33" s="24">
        <v>4229</v>
      </c>
      <c r="P33" s="20">
        <f>G33/$G$33</f>
        <v>1</v>
      </c>
      <c r="Q33" s="21">
        <f>(K33+M33+N33)/H33</f>
        <v>5.0436243338568065</v>
      </c>
      <c r="R33" s="22"/>
    </row>
    <row r="34" spans="1:18" x14ac:dyDescent="0.25">
      <c r="E34" s="31"/>
      <c r="F34" s="31"/>
      <c r="G34" s="32"/>
      <c r="H34" s="31"/>
      <c r="I34" s="32"/>
      <c r="J34" s="31"/>
      <c r="K34" s="31"/>
      <c r="L34" s="31"/>
      <c r="M34" s="31"/>
      <c r="N34" s="31"/>
      <c r="O34" s="31"/>
      <c r="P34" s="33"/>
      <c r="Q34" s="34"/>
      <c r="R34" s="35"/>
    </row>
  </sheetData>
  <autoFilter ref="A2:S2" xr:uid="{63DCC21B-D652-4211-AC03-C61877927B0E}">
    <sortState xmlns:xlrd2="http://schemas.microsoft.com/office/spreadsheetml/2017/richdata2" ref="A3:S32">
      <sortCondition descending="1" ref="G2"/>
    </sortState>
  </autoFilter>
  <mergeCells count="4">
    <mergeCell ref="B1:D1"/>
    <mergeCell ref="F1:G1"/>
    <mergeCell ref="H1:I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Watches</vt:lpstr>
      <vt:lpstr>Sunglasses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2019-08-19T21:06:59Z</dcterms:created>
  <dcterms:modified xsi:type="dcterms:W3CDTF">2020-01-15T16:00:53Z</dcterms:modified>
</cp:coreProperties>
</file>